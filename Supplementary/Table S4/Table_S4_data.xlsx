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isantos/Documents/Tufenkji/Paints Project/Real experiment/Analysis/mIRage/Coupons vs Particles/"/>
    </mc:Choice>
  </mc:AlternateContent>
  <xr:revisionPtr revIDLastSave="0" documentId="13_ncr:1_{D8B1770A-8C19-FD49-B615-ED1A0F555CC9}" xr6:coauthVersionLast="47" xr6:coauthVersionMax="47" xr10:uidLastSave="{00000000-0000-0000-0000-000000000000}"/>
  <bookViews>
    <workbookView xWindow="2840" yWindow="1600" windowWidth="25040" windowHeight="14400" xr2:uid="{7634725D-3615-5648-B9EF-4C94BEC761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V14" i="1"/>
  <c r="V11" i="1"/>
  <c r="V8" i="1"/>
  <c r="V5" i="1"/>
  <c r="V2" i="1"/>
  <c r="U5" i="1"/>
  <c r="U8" i="1"/>
  <c r="U11" i="1"/>
  <c r="U14" i="1"/>
  <c r="U2" i="1"/>
  <c r="T14" i="1"/>
  <c r="T11" i="1"/>
  <c r="T8" i="1"/>
  <c r="T5" i="1"/>
  <c r="T2" i="1"/>
  <c r="S5" i="1"/>
  <c r="S8" i="1"/>
  <c r="S11" i="1"/>
  <c r="S14" i="1"/>
  <c r="S2" i="1"/>
  <c r="R5" i="1"/>
  <c r="R8" i="1"/>
  <c r="R11" i="1"/>
  <c r="R14" i="1"/>
</calcChain>
</file>

<file path=xl/sharedStrings.xml><?xml version="1.0" encoding="utf-8"?>
<sst xmlns="http://schemas.openxmlformats.org/spreadsheetml/2006/main" count="40" uniqueCount="40">
  <si>
    <t>cCC1-1</t>
  </si>
  <si>
    <t>cCC1-2</t>
  </si>
  <si>
    <t>cCC1-3</t>
  </si>
  <si>
    <t>cUV1-1</t>
  </si>
  <si>
    <t>cUV1-2</t>
  </si>
  <si>
    <t>cUV1-3</t>
  </si>
  <si>
    <t>cUVFT1-1</t>
  </si>
  <si>
    <t>cUVFT1-2</t>
  </si>
  <si>
    <t>cUVFT1-3</t>
  </si>
  <si>
    <t>cHC1-1</t>
  </si>
  <si>
    <t>cHC1-2</t>
  </si>
  <si>
    <t>cHC1-3</t>
  </si>
  <si>
    <t>cFT1-1</t>
  </si>
  <si>
    <t>cFT1-2</t>
  </si>
  <si>
    <t>cFT1-3</t>
  </si>
  <si>
    <t>pCC1-1</t>
  </si>
  <si>
    <t>pCC1-2</t>
  </si>
  <si>
    <t>pCC1-3</t>
  </si>
  <si>
    <t>pUV1-1</t>
  </si>
  <si>
    <t>pUV1-2</t>
  </si>
  <si>
    <t>pUV1-3</t>
  </si>
  <si>
    <t>pUVFT1-1</t>
  </si>
  <si>
    <t>pUVFT1-2</t>
  </si>
  <si>
    <t>pUVFT1-3</t>
  </si>
  <si>
    <t>pHC1-1</t>
  </si>
  <si>
    <t>pHC1-2</t>
  </si>
  <si>
    <t>pHC1-3</t>
  </si>
  <si>
    <t>pFT1-1</t>
  </si>
  <si>
    <t>pFT1-2</t>
  </si>
  <si>
    <t>pFT1-3</t>
  </si>
  <si>
    <t>AVERAGE CC</t>
  </si>
  <si>
    <t>AVERAGE UV</t>
  </si>
  <si>
    <t>AVERAGE UVFT</t>
  </si>
  <si>
    <t>AVERAGE HC</t>
  </si>
  <si>
    <t>AVERAGE FT</t>
  </si>
  <si>
    <t>CC</t>
  </si>
  <si>
    <t>UV</t>
  </si>
  <si>
    <t>UVFT</t>
  </si>
  <si>
    <t>HC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</si>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</sst>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CD93-6FD0-1844-9423-7EF75D88E21A}">
  <dimension ref="A1:V16"/>
  <sheetViews>
    <sheetView tabSelected="1" topLeftCell="J1" workbookViewId="0">
      <selection activeCell="R14" sqref="R14:V14"/>
    </sheetView>
  </sheetViews>
  <sheetFormatPr baseColWidth="10" defaultRowHeight="16" x14ac:dyDescent="0.2"/>
  <cols>
    <col min="17" max="17" width="13.83203125" customWidth="1"/>
    <col min="18" max="18" width="20.5" customWidth="1"/>
    <col min="19" max="19" width="21.6640625" customWidth="1"/>
    <col min="20" max="20" width="17.33203125" customWidth="1"/>
    <col min="21" max="21" width="20.6640625" customWidth="1"/>
    <col min="22" max="22" width="18.6640625" customWidth="1"/>
  </cols>
  <sheetData>
    <row r="1" spans="1:22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/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</row>
    <row r="2" spans="1:22" x14ac:dyDescent="0.2">
      <c r="A2" s="3" t="s">
        <v>15</v>
      </c>
      <c r="B2" s="1">
        <v>0.76150404000000005</v>
      </c>
      <c r="C2" s="1">
        <v>0.71279623000000003</v>
      </c>
      <c r="D2" s="1">
        <v>0.74130799999999997</v>
      </c>
      <c r="E2" s="1">
        <v>6.0735440000000002E-2</v>
      </c>
      <c r="F2" s="1">
        <v>-8.2381999999999997E-2</v>
      </c>
      <c r="G2" s="1">
        <v>0.27861340000000001</v>
      </c>
      <c r="H2" s="1">
        <v>0.19708572999999999</v>
      </c>
      <c r="I2" s="1">
        <v>0.74545611000000001</v>
      </c>
      <c r="J2" s="1">
        <v>0.68481508999999996</v>
      </c>
      <c r="K2" s="1">
        <v>0.77617037</v>
      </c>
      <c r="L2" s="1">
        <v>0.79946784000000004</v>
      </c>
      <c r="M2" s="1">
        <v>0.82003886000000004</v>
      </c>
      <c r="N2" s="1">
        <v>0.85728492000000001</v>
      </c>
      <c r="O2" s="1">
        <v>0.84140515000000005</v>
      </c>
      <c r="P2" s="1">
        <v>0.77874513999999995</v>
      </c>
      <c r="Q2" s="1" t="s">
        <v>35</v>
      </c>
      <c r="R2" s="4">
        <f>AVERAGE(B2:D4)</f>
        <v>0.67071722333333328</v>
      </c>
      <c r="S2" s="4">
        <f>AVERAGE(E2:G4)</f>
        <v>0.35360602111111117</v>
      </c>
      <c r="T2" s="4">
        <f>AVERAGE(H2:J4)</f>
        <v>0.62382726777777775</v>
      </c>
      <c r="U2" s="4">
        <f>AVERAGE(K2:M4)</f>
        <v>0.69405257222222216</v>
      </c>
      <c r="V2" s="4">
        <f>AVERAGE(N2:P4)</f>
        <v>0.68777088333333347</v>
      </c>
    </row>
    <row r="3" spans="1:22" x14ac:dyDescent="0.2">
      <c r="A3" s="3" t="s">
        <v>16</v>
      </c>
      <c r="B3" s="1">
        <v>0.52302808999999995</v>
      </c>
      <c r="C3" s="1">
        <v>0.48110494999999998</v>
      </c>
      <c r="D3" s="1">
        <v>0.37160093999999999</v>
      </c>
      <c r="E3" s="1">
        <v>0.67094770000000004</v>
      </c>
      <c r="F3" s="1">
        <v>0.69045352999999998</v>
      </c>
      <c r="G3" s="1">
        <v>0.79728748000000005</v>
      </c>
      <c r="H3" s="1">
        <v>0.77795539000000002</v>
      </c>
      <c r="I3" s="1">
        <v>0.61236539999999995</v>
      </c>
      <c r="J3" s="1">
        <v>0.63227257999999997</v>
      </c>
      <c r="K3" s="1">
        <v>0.52993920999999999</v>
      </c>
      <c r="L3" s="1">
        <v>0.47706137999999998</v>
      </c>
      <c r="M3" s="1">
        <v>0.36812007000000002</v>
      </c>
      <c r="N3" s="1">
        <v>0.39591303</v>
      </c>
      <c r="O3" s="1">
        <v>0.37966083</v>
      </c>
      <c r="P3" s="1">
        <v>0.41222004000000001</v>
      </c>
      <c r="Q3" s="1"/>
      <c r="R3" s="4"/>
      <c r="S3" s="4"/>
      <c r="T3" s="4"/>
      <c r="U3" s="4"/>
      <c r="V3" s="4"/>
    </row>
    <row r="4" spans="1:22" x14ac:dyDescent="0.2">
      <c r="A4" s="3" t="s">
        <v>17</v>
      </c>
      <c r="B4" s="1">
        <v>0.84468982999999997</v>
      </c>
      <c r="C4" s="1">
        <v>0.80620217000000005</v>
      </c>
      <c r="D4" s="1">
        <v>0.79422075999999997</v>
      </c>
      <c r="E4" s="1">
        <v>0.23727488999999999</v>
      </c>
      <c r="F4" s="1">
        <v>8.4707379999999999E-2</v>
      </c>
      <c r="G4" s="1">
        <v>0.44481637000000002</v>
      </c>
      <c r="H4" s="1">
        <v>0.38553332000000001</v>
      </c>
      <c r="I4" s="1">
        <v>0.82315897000000005</v>
      </c>
      <c r="J4" s="1">
        <v>0.75580281999999999</v>
      </c>
      <c r="K4" s="1">
        <v>0.85102728999999999</v>
      </c>
      <c r="L4" s="1">
        <v>0.83432642000000001</v>
      </c>
      <c r="M4" s="1">
        <v>0.79032170999999996</v>
      </c>
      <c r="N4" s="1">
        <v>0.83270246999999997</v>
      </c>
      <c r="O4" s="1">
        <v>0.84802781000000005</v>
      </c>
      <c r="P4" s="1">
        <v>0.84397856000000004</v>
      </c>
      <c r="Q4" s="1"/>
      <c r="R4" s="4"/>
      <c r="S4" s="4"/>
      <c r="T4" s="4"/>
      <c r="U4" s="4"/>
      <c r="V4" s="4"/>
    </row>
    <row r="5" spans="1:22" x14ac:dyDescent="0.2">
      <c r="A5" s="3" t="s">
        <v>18</v>
      </c>
      <c r="B5" s="1">
        <v>0.85467207999999995</v>
      </c>
      <c r="C5" s="1">
        <v>0.83198271999999995</v>
      </c>
      <c r="D5" s="1">
        <v>0.76097360000000003</v>
      </c>
      <c r="E5" s="1">
        <v>0.46772852999999998</v>
      </c>
      <c r="F5" s="1">
        <v>0.34734626000000002</v>
      </c>
      <c r="G5" s="1">
        <v>0.66776511999999999</v>
      </c>
      <c r="H5" s="1">
        <v>0.62416128000000004</v>
      </c>
      <c r="I5" s="1">
        <v>0.86050857999999997</v>
      </c>
      <c r="J5" s="1">
        <v>0.81886552000000001</v>
      </c>
      <c r="K5" s="1">
        <v>0.86429557999999995</v>
      </c>
      <c r="L5" s="1">
        <v>0.79533914000000006</v>
      </c>
      <c r="M5" s="1">
        <v>0.71823543999999995</v>
      </c>
      <c r="N5" s="1">
        <v>0.75077294000000006</v>
      </c>
      <c r="O5" s="1">
        <v>0.76743695999999995</v>
      </c>
      <c r="P5" s="1">
        <v>0.80373497000000005</v>
      </c>
      <c r="Q5" s="1" t="s">
        <v>36</v>
      </c>
      <c r="R5" s="4">
        <f t="shared" ref="R5" si="0">AVERAGE(B5:D7)</f>
        <v>0.82047557999999998</v>
      </c>
      <c r="S5" s="4">
        <f t="shared" ref="S5" si="1">AVERAGE(E5:G7)</f>
        <v>0.42570866666666674</v>
      </c>
      <c r="T5" s="4">
        <f>AVERAGE(H5:J7)</f>
        <v>0.74177574777777777</v>
      </c>
      <c r="U5" s="4">
        <f t="shared" ref="U5" si="2">AVERAGE(K5:M7)</f>
        <v>0.81260005999999996</v>
      </c>
      <c r="V5" s="4">
        <f>AVERAGE(N5:P7)</f>
        <v>0.8025290077777778</v>
      </c>
    </row>
    <row r="6" spans="1:22" x14ac:dyDescent="0.2">
      <c r="A6" s="3" t="s">
        <v>19</v>
      </c>
      <c r="B6" s="1">
        <v>0.86798993000000002</v>
      </c>
      <c r="C6" s="1">
        <v>0.85577614999999996</v>
      </c>
      <c r="D6" s="1">
        <v>0.80182600000000004</v>
      </c>
      <c r="E6" s="1">
        <v>0.33647716999999999</v>
      </c>
      <c r="F6" s="1">
        <v>0.16960312999999999</v>
      </c>
      <c r="G6" s="1">
        <v>0.52204996999999997</v>
      </c>
      <c r="H6" s="1">
        <v>0.47174592999999998</v>
      </c>
      <c r="I6" s="1">
        <v>0.86015291999999999</v>
      </c>
      <c r="J6" s="1">
        <v>0.78427999000000004</v>
      </c>
      <c r="K6" s="1">
        <v>0.88363577000000004</v>
      </c>
      <c r="L6" s="1">
        <v>0.81416540000000004</v>
      </c>
      <c r="M6" s="1">
        <v>0.75508259</v>
      </c>
      <c r="N6" s="1">
        <v>0.80389288000000003</v>
      </c>
      <c r="O6" s="1">
        <v>0.81812432999999996</v>
      </c>
      <c r="P6" s="1">
        <v>0.84044741000000001</v>
      </c>
      <c r="Q6" s="1"/>
      <c r="R6" s="4"/>
      <c r="S6" s="4"/>
      <c r="T6" s="4"/>
      <c r="U6" s="4"/>
      <c r="V6" s="4"/>
    </row>
    <row r="7" spans="1:22" x14ac:dyDescent="0.2">
      <c r="A7" s="3" t="s">
        <v>20</v>
      </c>
      <c r="B7" s="1">
        <v>0.84832547999999997</v>
      </c>
      <c r="C7" s="1">
        <v>0.79998860999999999</v>
      </c>
      <c r="D7" s="1">
        <v>0.76274565000000005</v>
      </c>
      <c r="E7" s="1">
        <v>0.41009280999999997</v>
      </c>
      <c r="F7" s="1">
        <v>0.29121515999999997</v>
      </c>
      <c r="G7" s="1">
        <v>0.61909985000000001</v>
      </c>
      <c r="H7" s="1">
        <v>0.54385234999999998</v>
      </c>
      <c r="I7" s="1">
        <v>0.87606307999999999</v>
      </c>
      <c r="J7" s="1">
        <v>0.83635208000000005</v>
      </c>
      <c r="K7" s="1">
        <v>0.87055877999999998</v>
      </c>
      <c r="L7" s="1">
        <v>0.82105731000000004</v>
      </c>
      <c r="M7" s="1">
        <v>0.79103053000000001</v>
      </c>
      <c r="N7" s="1">
        <v>0.83839635999999995</v>
      </c>
      <c r="O7" s="1">
        <v>0.81177113000000001</v>
      </c>
      <c r="P7" s="1">
        <v>0.78818409</v>
      </c>
      <c r="Q7" s="1"/>
      <c r="R7" s="4"/>
      <c r="S7" s="4"/>
      <c r="T7" s="4"/>
      <c r="U7" s="4"/>
      <c r="V7" s="4"/>
    </row>
    <row r="8" spans="1:22" x14ac:dyDescent="0.2">
      <c r="A8" s="3" t="s">
        <v>21</v>
      </c>
      <c r="B8" s="1">
        <v>0.82638402</v>
      </c>
      <c r="C8" s="1">
        <v>0.80790048999999997</v>
      </c>
      <c r="D8" s="1">
        <v>0.75801686000000001</v>
      </c>
      <c r="E8" s="1">
        <v>0.46617750000000002</v>
      </c>
      <c r="F8" s="1">
        <v>0.34612543000000001</v>
      </c>
      <c r="G8" s="1">
        <v>0.68275220999999997</v>
      </c>
      <c r="H8" s="1">
        <v>0.61467006000000002</v>
      </c>
      <c r="I8" s="1">
        <v>0.89686595999999996</v>
      </c>
      <c r="J8" s="1">
        <v>0.87844124999999995</v>
      </c>
      <c r="K8" s="1">
        <v>0.84768228000000001</v>
      </c>
      <c r="L8" s="1">
        <v>0.82233973999999999</v>
      </c>
      <c r="M8" s="1">
        <v>0.77578473999999997</v>
      </c>
      <c r="N8" s="1">
        <v>0.81053153</v>
      </c>
      <c r="O8" s="1">
        <v>0.79830772000000005</v>
      </c>
      <c r="P8" s="1">
        <v>0.78411118999999996</v>
      </c>
      <c r="Q8" s="1" t="s">
        <v>37</v>
      </c>
      <c r="R8" s="4">
        <f t="shared" ref="R8" si="3">AVERAGE(B8:D10)</f>
        <v>0.81824544888888895</v>
      </c>
      <c r="S8" s="4">
        <f t="shared" ref="S8" si="4">AVERAGE(E8:G10)</f>
        <v>0.35403819111111107</v>
      </c>
      <c r="T8" s="4">
        <f>AVERAGE(H8:J10)</f>
        <v>0.72320027111111107</v>
      </c>
      <c r="U8" s="4">
        <f t="shared" ref="U8" si="5">AVERAGE(K8:M10)</f>
        <v>0.8431375855555554</v>
      </c>
      <c r="V8" s="4">
        <f>AVERAGE(N8:P10)</f>
        <v>0.84330791777777769</v>
      </c>
    </row>
    <row r="9" spans="1:22" x14ac:dyDescent="0.2">
      <c r="A9" s="3" t="s">
        <v>22</v>
      </c>
      <c r="B9" s="1">
        <v>0.87500549000000005</v>
      </c>
      <c r="C9" s="1">
        <v>0.81255147000000005</v>
      </c>
      <c r="D9" s="1">
        <v>0.79760008000000004</v>
      </c>
      <c r="E9" s="1">
        <v>0.25192347999999998</v>
      </c>
      <c r="F9" s="1">
        <v>8.0674659999999995E-2</v>
      </c>
      <c r="G9" s="1">
        <v>0.43251173999999998</v>
      </c>
      <c r="H9" s="1">
        <v>0.34888617</v>
      </c>
      <c r="I9" s="1">
        <v>0.84509213000000005</v>
      </c>
      <c r="J9" s="1">
        <v>0.76643602</v>
      </c>
      <c r="K9" s="1">
        <v>0.89398734999999996</v>
      </c>
      <c r="L9" s="1">
        <v>0.84361617</v>
      </c>
      <c r="M9" s="1">
        <v>0.83811195999999999</v>
      </c>
      <c r="N9" s="1">
        <v>0.89522301999999998</v>
      </c>
      <c r="O9" s="1">
        <v>0.87186211000000002</v>
      </c>
      <c r="P9" s="1">
        <v>0.83929810000000005</v>
      </c>
      <c r="Q9" s="1"/>
      <c r="R9" s="4"/>
      <c r="S9" s="4"/>
      <c r="T9" s="4"/>
      <c r="U9" s="4"/>
      <c r="V9" s="4"/>
    </row>
    <row r="10" spans="1:22" x14ac:dyDescent="0.2">
      <c r="A10" s="3" t="s">
        <v>23</v>
      </c>
      <c r="B10" s="1">
        <v>0.84808275</v>
      </c>
      <c r="C10" s="1">
        <v>0.83059693999999995</v>
      </c>
      <c r="D10" s="1">
        <v>0.80807094000000002</v>
      </c>
      <c r="E10" s="1">
        <v>0.27625653999999999</v>
      </c>
      <c r="F10" s="1">
        <v>0.13390498000000001</v>
      </c>
      <c r="G10" s="1">
        <v>0.51601717999999996</v>
      </c>
      <c r="H10" s="1">
        <v>0.44043851000000001</v>
      </c>
      <c r="I10" s="1">
        <v>0.87875042000000003</v>
      </c>
      <c r="J10" s="1">
        <v>0.83922191999999995</v>
      </c>
      <c r="K10" s="1">
        <v>0.87218227000000004</v>
      </c>
      <c r="L10" s="1">
        <v>0.84741575000000002</v>
      </c>
      <c r="M10" s="1">
        <v>0.84711800999999998</v>
      </c>
      <c r="N10" s="1">
        <v>0.88243022999999998</v>
      </c>
      <c r="O10" s="1">
        <v>0.86719089999999999</v>
      </c>
      <c r="P10" s="1">
        <v>0.84081645999999999</v>
      </c>
      <c r="Q10" s="1"/>
      <c r="R10" s="4"/>
      <c r="S10" s="4"/>
      <c r="T10" s="4"/>
      <c r="U10" s="4"/>
      <c r="V10" s="4"/>
    </row>
    <row r="11" spans="1:22" x14ac:dyDescent="0.2">
      <c r="A11" s="3" t="s">
        <v>24</v>
      </c>
      <c r="B11" s="1">
        <v>0.73200949999999998</v>
      </c>
      <c r="C11" s="1">
        <v>0.68966521000000003</v>
      </c>
      <c r="D11" s="1">
        <v>0.68484327</v>
      </c>
      <c r="E11" s="1">
        <v>0.25599421</v>
      </c>
      <c r="F11" s="1">
        <v>0.13720513000000001</v>
      </c>
      <c r="G11" s="1">
        <v>0.46584223000000002</v>
      </c>
      <c r="H11" s="1">
        <v>0.39724748999999998</v>
      </c>
      <c r="I11" s="1">
        <v>0.78301843999999998</v>
      </c>
      <c r="J11" s="1">
        <v>0.72972585000000001</v>
      </c>
      <c r="K11" s="1">
        <v>0.75396901999999999</v>
      </c>
      <c r="L11" s="1">
        <v>0.78641046000000003</v>
      </c>
      <c r="M11" s="1">
        <v>0.76728536000000003</v>
      </c>
      <c r="N11" s="1">
        <v>0.81281353000000001</v>
      </c>
      <c r="O11" s="1">
        <v>0.78985203999999998</v>
      </c>
      <c r="P11" s="1">
        <v>0.74436347999999997</v>
      </c>
      <c r="Q11" s="1" t="s">
        <v>38</v>
      </c>
      <c r="R11" s="4">
        <f t="shared" ref="R11" si="6">AVERAGE(B11:D13)</f>
        <v>0.73399050666666676</v>
      </c>
      <c r="S11" s="4">
        <f t="shared" ref="S11" si="7">AVERAGE(E11:G13)</f>
        <v>0.31109574333333334</v>
      </c>
      <c r="T11" s="4">
        <f>AVERAGE(H11:J13)</f>
        <v>0.65497056666666664</v>
      </c>
      <c r="U11" s="4">
        <f t="shared" ref="U11" si="8">AVERAGE(K11:M13)</f>
        <v>0.79128022666666664</v>
      </c>
      <c r="V11" s="4">
        <f>AVERAGE(N11:P13)</f>
        <v>0.79830251111111117</v>
      </c>
    </row>
    <row r="12" spans="1:22" x14ac:dyDescent="0.2">
      <c r="A12" s="3" t="s">
        <v>25</v>
      </c>
      <c r="B12" s="1">
        <v>0.79260291999999999</v>
      </c>
      <c r="C12" s="1">
        <v>0.71641041999999999</v>
      </c>
      <c r="D12" s="1">
        <v>0.703681</v>
      </c>
      <c r="E12" s="1">
        <v>0.38334084000000002</v>
      </c>
      <c r="F12" s="1">
        <v>0.23252396</v>
      </c>
      <c r="G12" s="1">
        <v>0.53485517999999999</v>
      </c>
      <c r="H12" s="1">
        <v>0.44924547999999997</v>
      </c>
      <c r="I12" s="1">
        <v>0.82755517999999995</v>
      </c>
      <c r="J12" s="1">
        <v>0.76634963</v>
      </c>
      <c r="K12" s="1">
        <v>0.80586696999999996</v>
      </c>
      <c r="L12" s="1">
        <v>0.79676930000000001</v>
      </c>
      <c r="M12" s="1">
        <v>0.74931946999999999</v>
      </c>
      <c r="N12" s="1">
        <v>0.81967741999999999</v>
      </c>
      <c r="O12" s="1">
        <v>0.79041782000000005</v>
      </c>
      <c r="P12" s="1">
        <v>0.73566496000000003</v>
      </c>
      <c r="Q12" s="1"/>
      <c r="R12" s="4"/>
      <c r="S12" s="4"/>
      <c r="T12" s="4"/>
      <c r="U12" s="4"/>
      <c r="V12" s="4"/>
    </row>
    <row r="13" spans="1:22" x14ac:dyDescent="0.2">
      <c r="A13" s="3" t="s">
        <v>26</v>
      </c>
      <c r="B13" s="1">
        <v>0.80061391000000004</v>
      </c>
      <c r="C13" s="1">
        <v>0.74523938000000001</v>
      </c>
      <c r="D13" s="1">
        <v>0.74084894999999995</v>
      </c>
      <c r="E13" s="1">
        <v>0.23730596000000001</v>
      </c>
      <c r="F13" s="1">
        <v>0.10591982</v>
      </c>
      <c r="G13" s="1">
        <v>0.44687436000000003</v>
      </c>
      <c r="H13" s="1">
        <v>0.36142003</v>
      </c>
      <c r="I13" s="1">
        <v>0.82180518999999996</v>
      </c>
      <c r="J13" s="1">
        <v>0.75836780999999998</v>
      </c>
      <c r="K13" s="1">
        <v>0.82286957000000005</v>
      </c>
      <c r="L13" s="1">
        <v>0.82324518000000002</v>
      </c>
      <c r="M13" s="1">
        <v>0.81578671000000003</v>
      </c>
      <c r="N13" s="1">
        <v>0.86799473000000005</v>
      </c>
      <c r="O13" s="1">
        <v>0.83739529999999995</v>
      </c>
      <c r="P13" s="1">
        <v>0.78654332000000005</v>
      </c>
      <c r="Q13" s="1"/>
      <c r="R13" s="4"/>
      <c r="S13" s="4"/>
      <c r="T13" s="4"/>
      <c r="U13" s="4"/>
      <c r="V13" s="4"/>
    </row>
    <row r="14" spans="1:22" x14ac:dyDescent="0.2">
      <c r="A14" s="3" t="s">
        <v>27</v>
      </c>
      <c r="B14" s="1">
        <v>0.89051460000000005</v>
      </c>
      <c r="C14" s="1">
        <v>0.86032282000000004</v>
      </c>
      <c r="D14" s="1">
        <v>0.85416172999999995</v>
      </c>
      <c r="E14" s="1">
        <v>0.15707773999999999</v>
      </c>
      <c r="F14" s="1">
        <v>-4.1980000000000003E-3</v>
      </c>
      <c r="G14" s="1">
        <v>0.39433444000000001</v>
      </c>
      <c r="H14" s="1">
        <v>0.33635141000000002</v>
      </c>
      <c r="I14" s="1">
        <v>0.82426368000000005</v>
      </c>
      <c r="J14" s="1">
        <v>0.75475150999999996</v>
      </c>
      <c r="K14" s="1">
        <v>0.89792147</v>
      </c>
      <c r="L14" s="1">
        <v>0.85080065999999999</v>
      </c>
      <c r="M14" s="1">
        <v>0.84457959000000005</v>
      </c>
      <c r="N14" s="1">
        <v>0.86088757999999999</v>
      </c>
      <c r="O14" s="1">
        <v>0.88621753000000003</v>
      </c>
      <c r="P14" s="1">
        <v>0.88557273999999997</v>
      </c>
      <c r="Q14" s="1" t="s">
        <v>39</v>
      </c>
      <c r="R14" s="4">
        <f t="shared" ref="R14" si="9">AVERAGE(B14:D16)</f>
        <v>0.82503042333333332</v>
      </c>
      <c r="S14" s="4">
        <f t="shared" ref="S14" si="10">AVERAGE(E14:G16)</f>
        <v>0.12915815666666669</v>
      </c>
      <c r="T14" s="4">
        <f>AVERAGE(H14:J16)</f>
        <v>0.58911752222222225</v>
      </c>
      <c r="U14" s="4">
        <f t="shared" ref="U14" si="11">AVERAGE(K14:M16)</f>
        <v>0.84643662888888882</v>
      </c>
      <c r="V14" s="4">
        <f>AVERAGE(N14:P16)</f>
        <v>0.86917441555555552</v>
      </c>
    </row>
    <row r="15" spans="1:22" x14ac:dyDescent="0.2">
      <c r="A15" s="3" t="s">
        <v>28</v>
      </c>
      <c r="B15" s="1">
        <v>0.84366943000000005</v>
      </c>
      <c r="C15" s="1">
        <v>0.80364873000000003</v>
      </c>
      <c r="D15" s="1">
        <v>0.82206893999999997</v>
      </c>
      <c r="E15" s="1">
        <v>7.6159119999999997E-2</v>
      </c>
      <c r="F15" s="1">
        <v>-8.5595699999999997E-2</v>
      </c>
      <c r="G15" s="1">
        <v>0.29598121999999999</v>
      </c>
      <c r="H15" s="1">
        <v>0.22442011000000001</v>
      </c>
      <c r="I15" s="1">
        <v>0.79022183999999995</v>
      </c>
      <c r="J15" s="1">
        <v>0.71706245000000002</v>
      </c>
      <c r="K15" s="1">
        <v>0.85360667999999995</v>
      </c>
      <c r="L15" s="1">
        <v>0.84760100000000005</v>
      </c>
      <c r="M15" s="1">
        <v>0.84937903000000003</v>
      </c>
      <c r="N15" s="1">
        <v>0.88850569999999995</v>
      </c>
      <c r="O15" s="1">
        <v>0.89204300000000003</v>
      </c>
      <c r="P15" s="1">
        <v>0.86224244000000005</v>
      </c>
      <c r="Q15" s="1"/>
      <c r="R15" s="4"/>
      <c r="S15" s="4"/>
      <c r="T15" s="4"/>
      <c r="U15" s="4"/>
      <c r="V15" s="4"/>
    </row>
    <row r="16" spans="1:22" x14ac:dyDescent="0.2">
      <c r="A16" s="3" t="s">
        <v>29</v>
      </c>
      <c r="B16" s="1">
        <v>0.82653949999999998</v>
      </c>
      <c r="C16" s="1">
        <v>0.74879901999999998</v>
      </c>
      <c r="D16" s="1">
        <v>0.77554904000000002</v>
      </c>
      <c r="E16" s="1">
        <v>0.10273419</v>
      </c>
      <c r="F16" s="1">
        <v>-6.3575199999999998E-2</v>
      </c>
      <c r="G16" s="1">
        <v>0.28950559999999997</v>
      </c>
      <c r="H16" s="1">
        <v>0.20436671000000001</v>
      </c>
      <c r="I16" s="1">
        <v>0.76431572000000003</v>
      </c>
      <c r="J16" s="1">
        <v>0.68630427000000005</v>
      </c>
      <c r="K16" s="1">
        <v>0.83256156000000003</v>
      </c>
      <c r="L16" s="1">
        <v>0.81446445000000001</v>
      </c>
      <c r="M16" s="1">
        <v>0.82701522000000005</v>
      </c>
      <c r="N16" s="1">
        <v>0.87525094999999997</v>
      </c>
      <c r="O16" s="1">
        <v>0.86080884999999996</v>
      </c>
      <c r="P16" s="1">
        <v>0.81104094999999998</v>
      </c>
      <c r="Q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Santos</dc:creator>
  <cp:lastModifiedBy>Guadalupe Santos</cp:lastModifiedBy>
  <dcterms:created xsi:type="dcterms:W3CDTF">2025-03-05T20:47:12Z</dcterms:created>
  <dcterms:modified xsi:type="dcterms:W3CDTF">2025-03-06T01:20:00Z</dcterms:modified>
</cp:coreProperties>
</file>