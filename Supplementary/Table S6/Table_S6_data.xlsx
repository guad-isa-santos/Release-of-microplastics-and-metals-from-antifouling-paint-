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duisantos/Documents/Tufenkji/Raw data for SI/_manuscript tables/Supplementary/"/>
    </mc:Choice>
  </mc:AlternateContent>
  <xr:revisionPtr revIDLastSave="0" documentId="13_ncr:1_{41D1BF7A-7A8E-1147-9665-CDD49881B71E}" xr6:coauthVersionLast="47" xr6:coauthVersionMax="47" xr10:uidLastSave="{00000000-0000-0000-0000-000000000000}"/>
  <bookViews>
    <workbookView xWindow="1080" yWindow="5260" windowWidth="24840" windowHeight="13440" xr2:uid="{9289921D-944A-D44B-A30C-38C3C9E13BB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30" i="1" l="1"/>
  <c r="H31" i="1"/>
  <c r="M29" i="1" s="1"/>
  <c r="H32" i="1"/>
  <c r="H33" i="1"/>
  <c r="H34" i="1"/>
  <c r="H35" i="1"/>
  <c r="N35" i="1" s="1"/>
  <c r="H36" i="1"/>
  <c r="M35" i="1" s="1"/>
  <c r="H37" i="1"/>
  <c r="H29" i="1"/>
  <c r="N29" i="1" s="1"/>
  <c r="G29" i="1"/>
  <c r="G30" i="1"/>
  <c r="G31" i="1"/>
  <c r="G32" i="1"/>
  <c r="G33" i="1"/>
  <c r="G34" i="1"/>
  <c r="G35" i="1"/>
  <c r="G36" i="1"/>
  <c r="G37" i="1"/>
  <c r="F29" i="1"/>
  <c r="F35" i="1"/>
  <c r="M2" i="1"/>
  <c r="F2" i="1"/>
  <c r="N5" i="1"/>
  <c r="N8" i="1"/>
  <c r="N11" i="1"/>
  <c r="N14" i="1"/>
  <c r="N17" i="1"/>
  <c r="N20" i="1"/>
  <c r="N23" i="1"/>
  <c r="N26" i="1"/>
  <c r="N2" i="1"/>
  <c r="L5" i="1"/>
  <c r="L8" i="1"/>
  <c r="L11" i="1"/>
  <c r="L14" i="1"/>
  <c r="L17" i="1"/>
  <c r="L20" i="1"/>
  <c r="L23" i="1"/>
  <c r="L26" i="1"/>
  <c r="L2" i="1"/>
  <c r="M5" i="1"/>
  <c r="M8" i="1"/>
  <c r="M11" i="1"/>
  <c r="M14" i="1"/>
  <c r="M17" i="1"/>
  <c r="M20" i="1"/>
  <c r="M23" i="1"/>
  <c r="M26" i="1"/>
  <c r="K5" i="1"/>
  <c r="K8" i="1"/>
  <c r="K11" i="1"/>
  <c r="K14" i="1"/>
  <c r="K17" i="1"/>
  <c r="K20" i="1"/>
  <c r="K23" i="1"/>
  <c r="K26" i="1"/>
  <c r="K2" i="1"/>
  <c r="F30" i="1"/>
  <c r="F31" i="1"/>
  <c r="F32" i="1"/>
  <c r="F33" i="1"/>
  <c r="F34" i="1"/>
  <c r="F36" i="1"/>
  <c r="F37" i="1"/>
  <c r="F28" i="1"/>
  <c r="K32" i="1" l="1"/>
  <c r="J29" i="1"/>
  <c r="N32" i="1"/>
  <c r="L32" i="1"/>
  <c r="K29" i="1"/>
  <c r="K35" i="1"/>
  <c r="L35" i="1"/>
  <c r="M32" i="1"/>
  <c r="L29" i="1"/>
  <c r="I32" i="1"/>
  <c r="I35" i="1"/>
  <c r="J35" i="1"/>
  <c r="I29" i="1"/>
  <c r="J32" i="1"/>
  <c r="F3" i="1"/>
  <c r="F4" i="1"/>
  <c r="F5" i="1"/>
  <c r="F6" i="1"/>
  <c r="F7" i="1"/>
  <c r="F8" i="1"/>
  <c r="F9" i="1"/>
  <c r="F10" i="1"/>
  <c r="I8" i="1" s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J2" i="1" l="1"/>
  <c r="J26" i="1"/>
  <c r="J5" i="1"/>
  <c r="I14" i="1"/>
  <c r="I23" i="1"/>
  <c r="J8" i="1"/>
  <c r="J17" i="1"/>
  <c r="J14" i="1"/>
  <c r="J23" i="1"/>
  <c r="J20" i="1"/>
  <c r="I20" i="1"/>
  <c r="I17" i="1"/>
  <c r="I11" i="1"/>
  <c r="J11" i="1"/>
  <c r="I2" i="1"/>
  <c r="I26" i="1"/>
  <c r="I5" i="1"/>
</calcChain>
</file>

<file path=xl/sharedStrings.xml><?xml version="1.0" encoding="utf-8"?>
<sst xmlns="http://schemas.openxmlformats.org/spreadsheetml/2006/main" count="51" uniqueCount="51">
  <si>
    <t>2-10_1</t>
  </si>
  <si>
    <t>2-10_2</t>
  </si>
  <si>
    <t>2-10_3</t>
  </si>
  <si>
    <t>2-11_1</t>
  </si>
  <si>
    <t>2-11_2</t>
  </si>
  <si>
    <t>2-11_0</t>
  </si>
  <si>
    <t>2-12_1</t>
  </si>
  <si>
    <t>2-12_2</t>
  </si>
  <si>
    <t>2-12_0</t>
  </si>
  <si>
    <t>4-10_1</t>
  </si>
  <si>
    <t>4-10_2</t>
  </si>
  <si>
    <t>4-10_3</t>
  </si>
  <si>
    <t>4-11_1</t>
  </si>
  <si>
    <t>4-11_2</t>
  </si>
  <si>
    <t>4-11_0</t>
  </si>
  <si>
    <t>4-12_1</t>
  </si>
  <si>
    <t>4-12_2</t>
  </si>
  <si>
    <t>4-12_0</t>
  </si>
  <si>
    <t>6-10_1</t>
  </si>
  <si>
    <t>6-10_2</t>
  </si>
  <si>
    <t>6-10_3</t>
  </si>
  <si>
    <t>6-11_1</t>
  </si>
  <si>
    <t>6-11_2</t>
  </si>
  <si>
    <t>6-11_0</t>
  </si>
  <si>
    <t>6-12_1</t>
  </si>
  <si>
    <t>6-12_2</t>
  </si>
  <si>
    <t>6-12_0</t>
  </si>
  <si>
    <t xml:space="preserve"> Mass concentration</t>
  </si>
  <si>
    <t xml:space="preserve"> Ionic background (ug/L)</t>
  </si>
  <si>
    <t>Percentage</t>
  </si>
  <si>
    <t>Percentage average</t>
  </si>
  <si>
    <t>Percentage SD</t>
  </si>
  <si>
    <t>2-28_4x_1</t>
  </si>
  <si>
    <t>2-28_4x_2</t>
  </si>
  <si>
    <t>2-28_4x</t>
  </si>
  <si>
    <t>2-29_4x_1</t>
  </si>
  <si>
    <t>2-29_4x_2</t>
  </si>
  <si>
    <t>2-29_4x</t>
  </si>
  <si>
    <t>2-30_4x_1</t>
  </si>
  <si>
    <t>2-30_4x_2</t>
  </si>
  <si>
    <t>2-30_4x</t>
  </si>
  <si>
    <t>Dilution</t>
  </si>
  <si>
    <t>Mass concentrationevrage</t>
  </si>
  <si>
    <t>Ionic background average</t>
  </si>
  <si>
    <t>SD for mass concentration</t>
  </si>
  <si>
    <t>SD for ionic background</t>
  </si>
  <si>
    <t>Weathering</t>
  </si>
  <si>
    <t>FT t = 2</t>
  </si>
  <si>
    <t>FT t = 4</t>
  </si>
  <si>
    <t>FT t = 6</t>
  </si>
  <si>
    <t>CC t = 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</si>
</sst>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3B2C8F-56B5-9746-B5A0-0B607E7FE395}">
  <dimension ref="A1:N37"/>
  <sheetViews>
    <sheetView tabSelected="1" workbookViewId="0">
      <selection activeCell="B29" sqref="B29:B37"/>
    </sheetView>
  </sheetViews>
  <sheetFormatPr baseColWidth="10" defaultRowHeight="16" x14ac:dyDescent="0.2"/>
  <cols>
    <col min="9" max="9" width="17.83203125" customWidth="1"/>
    <col min="10" max="10" width="20" customWidth="1"/>
    <col min="13" max="13" width="28.5" customWidth="1"/>
    <col min="14" max="14" width="29.6640625" customWidth="1"/>
  </cols>
  <sheetData>
    <row r="1" spans="1:14" x14ac:dyDescent="0.2">
      <c r="A1" t="s">
        <v>46</v>
      </c>
      <c r="C1" t="s">
        <v>27</v>
      </c>
      <c r="D1" t="s">
        <v>28</v>
      </c>
      <c r="E1" t="s">
        <v>41</v>
      </c>
      <c r="F1" t="s">
        <v>29</v>
      </c>
      <c r="I1" t="s">
        <v>30</v>
      </c>
      <c r="J1" t="s">
        <v>31</v>
      </c>
      <c r="K1" t="s">
        <v>42</v>
      </c>
      <c r="L1" t="s">
        <v>44</v>
      </c>
      <c r="M1" t="s">
        <v>43</v>
      </c>
      <c r="N1" t="s">
        <v>45</v>
      </c>
    </row>
    <row r="2" spans="1:14" x14ac:dyDescent="0.2">
      <c r="A2" t="s">
        <v>47</v>
      </c>
      <c r="B2" t="s">
        <v>0</v>
      </c>
      <c r="C2">
        <v>0.62430775999999999</v>
      </c>
      <c r="D2">
        <v>4.4729263000000001</v>
      </c>
      <c r="E2">
        <v>1</v>
      </c>
      <c r="F2">
        <f>(C2/D2)*100</f>
        <v>13.957479245745677</v>
      </c>
      <c r="I2">
        <f>AVERAGE(F2:F4)</f>
        <v>15.725731096626532</v>
      </c>
      <c r="J2">
        <f>STDEV(F2:F4)</f>
        <v>1.5378659714824578</v>
      </c>
      <c r="K2">
        <f>AVERAGE(C2:C4)</f>
        <v>0.55119580666666668</v>
      </c>
      <c r="L2">
        <f>STDEV(C2:C4)</f>
        <v>6.404400867137558E-2</v>
      </c>
      <c r="M2">
        <f>AVERAGE(D2:D4)</f>
        <v>3.5563963666666667</v>
      </c>
      <c r="N2">
        <f>STDEV(D2:D4)</f>
        <v>0.79436556469258179</v>
      </c>
    </row>
    <row r="3" spans="1:14" x14ac:dyDescent="0.2">
      <c r="B3" t="s">
        <v>1</v>
      </c>
      <c r="C3">
        <v>0.52426359</v>
      </c>
      <c r="D3">
        <v>3.1296957999999999</v>
      </c>
      <c r="E3">
        <v>1</v>
      </c>
      <c r="F3">
        <f t="shared" ref="F3:F27" si="0">(C3/D3)*100</f>
        <v>16.751263493404057</v>
      </c>
    </row>
    <row r="4" spans="1:14" x14ac:dyDescent="0.2">
      <c r="B4" t="s">
        <v>2</v>
      </c>
      <c r="C4">
        <v>0.50501607000000004</v>
      </c>
      <c r="D4">
        <v>3.066567</v>
      </c>
      <c r="E4">
        <v>1</v>
      </c>
      <c r="F4">
        <f t="shared" si="0"/>
        <v>16.468450550729859</v>
      </c>
    </row>
    <row r="5" spans="1:14" x14ac:dyDescent="0.2">
      <c r="B5" t="s">
        <v>3</v>
      </c>
      <c r="C5">
        <v>0.13512510999999999</v>
      </c>
      <c r="D5">
        <v>1.6773921000000001</v>
      </c>
      <c r="E5">
        <v>1</v>
      </c>
      <c r="F5">
        <f t="shared" si="0"/>
        <v>8.0556662929317469</v>
      </c>
      <c r="I5">
        <f t="shared" ref="I5" si="1">AVERAGE(F5:F7)</f>
        <v>6.8735404215541847</v>
      </c>
      <c r="J5">
        <f t="shared" ref="J5" si="2">STDEV(F5:F7)</f>
        <v>1.1904642072515863</v>
      </c>
      <c r="K5">
        <f t="shared" ref="K5" si="3">AVERAGE(C5:C7)</f>
        <v>0.13505789666666668</v>
      </c>
      <c r="L5">
        <f t="shared" ref="L5" si="4">STDEV(C5:C7)</f>
        <v>1.1506027237866822E-2</v>
      </c>
      <c r="M5">
        <f t="shared" ref="M5" si="5">AVERAGE(D5:D7)</f>
        <v>2.0173903000000002</v>
      </c>
      <c r="N5">
        <f t="shared" ref="N5" si="6">STDEV(D5:D7)</f>
        <v>0.49241479632101848</v>
      </c>
    </row>
    <row r="6" spans="1:14" x14ac:dyDescent="0.2">
      <c r="B6" t="s">
        <v>4</v>
      </c>
      <c r="C6">
        <v>0.12351841</v>
      </c>
      <c r="D6">
        <v>1.7927082000000001</v>
      </c>
      <c r="E6">
        <v>1</v>
      </c>
      <c r="F6">
        <f t="shared" si="0"/>
        <v>6.8900454630597432</v>
      </c>
    </row>
    <row r="7" spans="1:14" x14ac:dyDescent="0.2">
      <c r="B7" t="s">
        <v>5</v>
      </c>
      <c r="C7">
        <v>0.14653016999999999</v>
      </c>
      <c r="D7">
        <v>2.5820706000000002</v>
      </c>
      <c r="E7">
        <v>1</v>
      </c>
      <c r="F7">
        <f t="shared" si="0"/>
        <v>5.674909508671063</v>
      </c>
    </row>
    <row r="8" spans="1:14" x14ac:dyDescent="0.2">
      <c r="B8" t="s">
        <v>6</v>
      </c>
      <c r="C8">
        <v>0.28826473000000002</v>
      </c>
      <c r="D8">
        <v>2.6579264999999999</v>
      </c>
      <c r="E8">
        <v>1</v>
      </c>
      <c r="F8">
        <f t="shared" si="0"/>
        <v>10.845474094185827</v>
      </c>
      <c r="I8">
        <f t="shared" ref="I8" si="7">AVERAGE(F8:F10)</f>
        <v>10.236550425727065</v>
      </c>
      <c r="J8">
        <f t="shared" ref="J8" si="8">STDEV(F8:F10)</f>
        <v>0.60797476990221022</v>
      </c>
      <c r="K8">
        <f t="shared" ref="K8" si="9">AVERAGE(C8:C10)</f>
        <v>0.32728833333333335</v>
      </c>
      <c r="L8">
        <f t="shared" ref="L8" si="10">STDEV(C8:C10)</f>
        <v>5.2076352919910161E-2</v>
      </c>
      <c r="M8">
        <f t="shared" ref="M8" si="11">AVERAGE(D8:D10)</f>
        <v>3.2240560333333335</v>
      </c>
      <c r="N8">
        <f t="shared" ref="N8" si="12">STDEV(D8:D10)</f>
        <v>0.70438981058656414</v>
      </c>
    </row>
    <row r="9" spans="1:14" x14ac:dyDescent="0.2">
      <c r="B9" t="s">
        <v>7</v>
      </c>
      <c r="C9">
        <v>0.30717924000000002</v>
      </c>
      <c r="D9">
        <v>3.0013659000000001</v>
      </c>
      <c r="E9">
        <v>1</v>
      </c>
      <c r="F9">
        <f t="shared" si="0"/>
        <v>10.234648164690617</v>
      </c>
    </row>
    <row r="10" spans="1:14" x14ac:dyDescent="0.2">
      <c r="B10" t="s">
        <v>8</v>
      </c>
      <c r="C10">
        <v>0.38642103</v>
      </c>
      <c r="D10">
        <v>4.0128757000000004</v>
      </c>
      <c r="E10">
        <v>1</v>
      </c>
      <c r="F10">
        <f t="shared" si="0"/>
        <v>9.6295290183047531</v>
      </c>
    </row>
    <row r="11" spans="1:14" x14ac:dyDescent="0.2">
      <c r="A11" t="s">
        <v>48</v>
      </c>
      <c r="B11" t="s">
        <v>9</v>
      </c>
      <c r="C11">
        <v>0.13857021999999999</v>
      </c>
      <c r="D11">
        <v>5.2155455999999996</v>
      </c>
      <c r="E11">
        <v>1</v>
      </c>
      <c r="F11">
        <f t="shared" si="0"/>
        <v>2.656869110683262</v>
      </c>
      <c r="I11">
        <f t="shared" ref="I11" si="13">AVERAGE(F11:F13)</f>
        <v>5.372452876311776</v>
      </c>
      <c r="J11">
        <f t="shared" ref="J11" si="14">STDEV(F11:F13)</f>
        <v>2.3671676344024477</v>
      </c>
      <c r="K11">
        <f t="shared" ref="K11" si="15">AVERAGE(C11:C13)</f>
        <v>0.20509137333333335</v>
      </c>
      <c r="L11">
        <f t="shared" ref="L11" si="16">STDEV(C11:C13)</f>
        <v>5.7696911834746636E-2</v>
      </c>
      <c r="M11">
        <f t="shared" ref="M11" si="17">AVERAGE(D11:D13)</f>
        <v>4.1020479333333331</v>
      </c>
      <c r="N11">
        <f t="shared" ref="N11" si="18">STDEV(D11:D13)</f>
        <v>0.9689576023425609</v>
      </c>
    </row>
    <row r="12" spans="1:14" x14ac:dyDescent="0.2">
      <c r="B12" t="s">
        <v>10</v>
      </c>
      <c r="C12">
        <v>0.24153562000000001</v>
      </c>
      <c r="D12">
        <v>3.4505835</v>
      </c>
      <c r="E12">
        <v>1</v>
      </c>
      <c r="F12">
        <f t="shared" si="0"/>
        <v>6.9998485763349887</v>
      </c>
    </row>
    <row r="13" spans="1:14" x14ac:dyDescent="0.2">
      <c r="B13" t="s">
        <v>11</v>
      </c>
      <c r="C13">
        <v>0.23516828000000001</v>
      </c>
      <c r="D13">
        <v>3.6400147</v>
      </c>
      <c r="E13">
        <v>1</v>
      </c>
      <c r="F13">
        <f t="shared" si="0"/>
        <v>6.4606409419170756</v>
      </c>
    </row>
    <row r="14" spans="1:14" x14ac:dyDescent="0.2">
      <c r="B14" t="s">
        <v>12</v>
      </c>
      <c r="C14">
        <v>5.1662420000000001E-2</v>
      </c>
      <c r="D14">
        <v>1.9203847999999999</v>
      </c>
      <c r="E14">
        <v>1</v>
      </c>
      <c r="F14">
        <f t="shared" si="0"/>
        <v>2.6902118783693769</v>
      </c>
      <c r="I14">
        <f t="shared" ref="I14" si="19">AVERAGE(F14:F16)</f>
        <v>2.3416810506646182</v>
      </c>
      <c r="J14">
        <f t="shared" ref="J14" si="20">STDEV(F14:F16)</f>
        <v>0.35399303104557817</v>
      </c>
      <c r="K14">
        <f t="shared" ref="K14" si="21">AVERAGE(C14:C16)</f>
        <v>5.4737308666666672E-2</v>
      </c>
      <c r="L14">
        <f t="shared" ref="L14" si="22">STDEV(C14:C16)</f>
        <v>4.1479467739545936E-3</v>
      </c>
      <c r="M14">
        <f t="shared" ref="M14" si="23">AVERAGE(D14:D16)</f>
        <v>2.3921652666666664</v>
      </c>
      <c r="N14">
        <f t="shared" ref="N14" si="24">STDEV(D14:D16)</f>
        <v>0.55187307102066019</v>
      </c>
    </row>
    <row r="15" spans="1:14" x14ac:dyDescent="0.2">
      <c r="B15" t="s">
        <v>13</v>
      </c>
      <c r="C15">
        <v>5.3094461000000003E-2</v>
      </c>
      <c r="D15">
        <v>2.2570686000000002</v>
      </c>
      <c r="E15">
        <v>1</v>
      </c>
      <c r="F15">
        <f t="shared" si="0"/>
        <v>2.352363636621412</v>
      </c>
    </row>
    <row r="16" spans="1:14" x14ac:dyDescent="0.2">
      <c r="B16" t="s">
        <v>14</v>
      </c>
      <c r="C16">
        <v>5.9455044999999998E-2</v>
      </c>
      <c r="D16">
        <v>2.9990424</v>
      </c>
      <c r="E16">
        <v>1</v>
      </c>
      <c r="F16">
        <f t="shared" si="0"/>
        <v>1.9824676370030647</v>
      </c>
    </row>
    <row r="17" spans="1:14" x14ac:dyDescent="0.2">
      <c r="B17" t="s">
        <v>15</v>
      </c>
      <c r="C17">
        <v>4.7528924E-2</v>
      </c>
      <c r="D17">
        <v>2.5588552999999998</v>
      </c>
      <c r="E17">
        <v>1</v>
      </c>
      <c r="F17">
        <f t="shared" si="0"/>
        <v>1.8574291402878467</v>
      </c>
      <c r="I17">
        <f t="shared" ref="I17" si="25">AVERAGE(F17:F19)</f>
        <v>1.4414919621268918</v>
      </c>
      <c r="J17">
        <f t="shared" ref="J17" si="26">STDEV(F17:F19)</f>
        <v>0.36251399521146943</v>
      </c>
      <c r="K17">
        <f t="shared" ref="K17" si="27">AVERAGE(C17:C19)</f>
        <v>4.4479302333333331E-2</v>
      </c>
      <c r="L17">
        <f t="shared" ref="L17" si="28">STDEV(C17:C19)</f>
        <v>4.2726167892180936E-3</v>
      </c>
      <c r="M17">
        <f t="shared" ref="M17" si="29">AVERAGE(D17:D19)</f>
        <v>3.1830079666666666</v>
      </c>
      <c r="N17">
        <f t="shared" ref="N17" si="30">STDEV(D17:D19)</f>
        <v>0.6652797202149876</v>
      </c>
    </row>
    <row r="18" spans="1:14" x14ac:dyDescent="0.2">
      <c r="B18" t="s">
        <v>16</v>
      </c>
      <c r="C18">
        <v>3.9595904000000001E-2</v>
      </c>
      <c r="D18">
        <v>3.1072413000000001</v>
      </c>
      <c r="E18">
        <v>1</v>
      </c>
      <c r="F18">
        <f t="shared" si="0"/>
        <v>1.2743105596594637</v>
      </c>
    </row>
    <row r="19" spans="1:14" x14ac:dyDescent="0.2">
      <c r="B19" t="s">
        <v>17</v>
      </c>
      <c r="C19">
        <v>4.6313079E-2</v>
      </c>
      <c r="D19">
        <v>3.8829273</v>
      </c>
      <c r="E19">
        <v>1</v>
      </c>
      <c r="F19">
        <f t="shared" si="0"/>
        <v>1.1927361864333643</v>
      </c>
    </row>
    <row r="20" spans="1:14" x14ac:dyDescent="0.2">
      <c r="A20" s="1" t="s">
        <v>49</v>
      </c>
      <c r="B20" t="s">
        <v>18</v>
      </c>
      <c r="C20">
        <v>3.0519319999999999E-2</v>
      </c>
      <c r="D20">
        <v>4.4552699000000002</v>
      </c>
      <c r="E20">
        <v>1</v>
      </c>
      <c r="F20">
        <f t="shared" si="0"/>
        <v>0.68501618723480706</v>
      </c>
      <c r="I20">
        <f t="shared" ref="I20" si="31">AVERAGE(F20:F22)</f>
        <v>0.77877387573939727</v>
      </c>
      <c r="J20">
        <f t="shared" ref="J20" si="32">STDEV(F20:F22)</f>
        <v>8.9785246165305671E-2</v>
      </c>
      <c r="K20">
        <f t="shared" ref="K20" si="33">AVERAGE(C20:C22)</f>
        <v>2.9575196999999998E-2</v>
      </c>
      <c r="L20">
        <f t="shared" ref="L20" si="34">STDEV(C20:C22)</f>
        <v>4.2090298918749675E-3</v>
      </c>
      <c r="M20">
        <f t="shared" ref="M20" si="35">AVERAGE(D20:D22)</f>
        <v>3.8245657000000004</v>
      </c>
      <c r="N20">
        <f t="shared" ref="N20" si="36">STDEV(D20:D22)</f>
        <v>0.64190564731159616</v>
      </c>
    </row>
    <row r="21" spans="1:14" x14ac:dyDescent="0.2">
      <c r="B21" t="s">
        <v>19</v>
      </c>
      <c r="C21">
        <v>2.4974284999999999E-2</v>
      </c>
      <c r="D21">
        <v>3.1720163000000001</v>
      </c>
      <c r="E21">
        <v>1</v>
      </c>
      <c r="F21">
        <f t="shared" si="0"/>
        <v>0.78733154681456075</v>
      </c>
    </row>
    <row r="22" spans="1:14" x14ac:dyDescent="0.2">
      <c r="B22" t="s">
        <v>20</v>
      </c>
      <c r="C22">
        <v>3.3231985999999998E-2</v>
      </c>
      <c r="D22">
        <v>3.8464109</v>
      </c>
      <c r="E22">
        <v>1</v>
      </c>
      <c r="F22">
        <f t="shared" si="0"/>
        <v>0.863973893168824</v>
      </c>
    </row>
    <row r="23" spans="1:14" x14ac:dyDescent="0.2">
      <c r="B23" t="s">
        <v>21</v>
      </c>
      <c r="C23">
        <v>3.2301029000000002E-2</v>
      </c>
      <c r="D23">
        <v>5.2474062999999997</v>
      </c>
      <c r="E23">
        <v>1</v>
      </c>
      <c r="F23">
        <f t="shared" si="0"/>
        <v>0.61556180622034173</v>
      </c>
      <c r="I23">
        <f t="shared" ref="I23" si="37">AVERAGE(F23:F25)</f>
        <v>0.54373402597962317</v>
      </c>
      <c r="J23">
        <f t="shared" ref="J23" si="38">STDEV(F23:F25)</f>
        <v>7.1520200411701929E-2</v>
      </c>
      <c r="K23">
        <f t="shared" ref="K23" si="39">AVERAGE(C23:C25)</f>
        <v>3.3040298666666669E-2</v>
      </c>
      <c r="L23">
        <f t="shared" ref="L23" si="40">STDEV(C23:C25)</f>
        <v>8.0877679903192687E-4</v>
      </c>
      <c r="M23">
        <f t="shared" ref="M23" si="41">AVERAGE(D23:D25)</f>
        <v>6.1519530666666666</v>
      </c>
      <c r="N23">
        <f t="shared" ref="N23" si="42">STDEV(D23:D25)</f>
        <v>0.8628296028332606</v>
      </c>
    </row>
    <row r="24" spans="1:14" x14ac:dyDescent="0.2">
      <c r="B24" t="s">
        <v>22</v>
      </c>
      <c r="C24">
        <v>3.3904129999999998E-2</v>
      </c>
      <c r="D24">
        <v>6.2425341999999997</v>
      </c>
      <c r="E24">
        <v>1</v>
      </c>
      <c r="F24">
        <f t="shared" si="0"/>
        <v>0.54311484589063208</v>
      </c>
    </row>
    <row r="25" spans="1:14" x14ac:dyDescent="0.2">
      <c r="B25" t="s">
        <v>23</v>
      </c>
      <c r="C25">
        <v>3.2915737E-2</v>
      </c>
      <c r="D25">
        <v>6.9659186999999996</v>
      </c>
      <c r="E25">
        <v>1</v>
      </c>
      <c r="F25">
        <f t="shared" si="0"/>
        <v>0.47252542582789553</v>
      </c>
    </row>
    <row r="26" spans="1:14" x14ac:dyDescent="0.2">
      <c r="B26" t="s">
        <v>24</v>
      </c>
      <c r="C26">
        <v>3.0204544E-2</v>
      </c>
      <c r="D26">
        <v>6.5886317999999999</v>
      </c>
      <c r="E26">
        <v>1</v>
      </c>
      <c r="F26">
        <f t="shared" si="0"/>
        <v>0.45843423819798218</v>
      </c>
      <c r="I26">
        <f t="shared" ref="I26" si="43">AVERAGE(F26:F28)</f>
        <v>0.36372329521124436</v>
      </c>
      <c r="J26">
        <f t="shared" ref="J26" si="44">STDEV(F26:F28)</f>
        <v>8.7172991980493553E-2</v>
      </c>
      <c r="K26">
        <f t="shared" ref="K26" si="45">AVERAGE(C26:C28)</f>
        <v>2.7317802999999998E-2</v>
      </c>
      <c r="L26">
        <f t="shared" ref="L26" si="46">STDEV(C26:C28)</f>
        <v>2.8134524184000344E-3</v>
      </c>
      <c r="M26">
        <f t="shared" ref="M26" si="47">AVERAGE(D26:D28)</f>
        <v>7.6708981999999999</v>
      </c>
      <c r="N26">
        <f t="shared" ref="N26" si="48">STDEV(D26:D28)</f>
        <v>1.0034426216833794</v>
      </c>
    </row>
    <row r="27" spans="1:14" x14ac:dyDescent="0.2">
      <c r="B27" t="s">
        <v>25</v>
      </c>
      <c r="C27">
        <v>2.7164997999999999E-2</v>
      </c>
      <c r="D27">
        <v>7.8536716999999996</v>
      </c>
      <c r="E27">
        <v>1</v>
      </c>
      <c r="F27">
        <f t="shared" si="0"/>
        <v>0.34588914634666995</v>
      </c>
    </row>
    <row r="28" spans="1:14" x14ac:dyDescent="0.2">
      <c r="B28" t="s">
        <v>26</v>
      </c>
      <c r="C28">
        <v>2.4583866999999999E-2</v>
      </c>
      <c r="D28">
        <v>8.5703911000000002</v>
      </c>
      <c r="E28">
        <v>1</v>
      </c>
      <c r="F28">
        <f>(C28/D28)*100</f>
        <v>0.28684650108908094</v>
      </c>
    </row>
    <row r="29" spans="1:14" x14ac:dyDescent="0.2">
      <c r="A29" t="s">
        <v>50</v>
      </c>
      <c r="B29" t="s">
        <v>32</v>
      </c>
      <c r="C29">
        <v>0.18671417000000001</v>
      </c>
      <c r="D29">
        <v>4.3699224000000001</v>
      </c>
      <c r="E29">
        <v>4</v>
      </c>
      <c r="F29">
        <f>(C29/D29)*100</f>
        <v>4.2727113415103206</v>
      </c>
      <c r="G29">
        <f>C29*E29</f>
        <v>0.74685668000000005</v>
      </c>
      <c r="H29">
        <f>D29*E29</f>
        <v>17.4796896</v>
      </c>
      <c r="I29">
        <f>AVERAGE(F29:F31)</f>
        <v>6.0744629213681938</v>
      </c>
      <c r="J29">
        <f>STDEV(F29:F31)</f>
        <v>5.0740389052473871</v>
      </c>
      <c r="K29">
        <f>AVERAGE(G29:G31)</f>
        <v>0.75294258666666669</v>
      </c>
      <c r="L29">
        <f>STDEV(G29:G31)</f>
        <v>0.16441863721764066</v>
      </c>
      <c r="M29">
        <f>AVERAGE(H29:H31)</f>
        <v>17.610512666666668</v>
      </c>
      <c r="N29">
        <f>STDEV(H29:H31)</f>
        <v>9.8795670452759072</v>
      </c>
    </row>
    <row r="30" spans="1:14" x14ac:dyDescent="0.2">
      <c r="B30" t="s">
        <v>33</v>
      </c>
      <c r="C30">
        <v>0.14791285000000001</v>
      </c>
      <c r="D30">
        <v>6.8887103999999999</v>
      </c>
      <c r="E30">
        <v>4</v>
      </c>
      <c r="F30">
        <f t="shared" ref="F30:F37" si="49">(C30/D30)*100</f>
        <v>2.1471776488092753</v>
      </c>
      <c r="G30">
        <f t="shared" ref="G30:G37" si="50">C30*E30</f>
        <v>0.59165140000000005</v>
      </c>
      <c r="H30">
        <f t="shared" ref="H30:H37" si="51">D30*E30</f>
        <v>27.5548416</v>
      </c>
    </row>
    <row r="31" spans="1:14" x14ac:dyDescent="0.2">
      <c r="B31" t="s">
        <v>34</v>
      </c>
      <c r="C31">
        <v>0.23007991999999999</v>
      </c>
      <c r="D31">
        <v>1.9492517</v>
      </c>
      <c r="E31">
        <v>4</v>
      </c>
      <c r="F31">
        <f t="shared" si="49"/>
        <v>11.803499773784985</v>
      </c>
      <c r="G31">
        <f t="shared" si="50"/>
        <v>0.92031967999999997</v>
      </c>
      <c r="H31">
        <f t="shared" si="51"/>
        <v>7.7970068000000001</v>
      </c>
    </row>
    <row r="32" spans="1:14" x14ac:dyDescent="0.2">
      <c r="B32" t="s">
        <v>35</v>
      </c>
      <c r="C32">
        <v>8.2073736999999994E-2</v>
      </c>
      <c r="D32">
        <v>2.3926994000000001</v>
      </c>
      <c r="E32">
        <v>4</v>
      </c>
      <c r="F32">
        <f t="shared" si="49"/>
        <v>3.4301733431286849</v>
      </c>
      <c r="G32">
        <f t="shared" si="50"/>
        <v>0.32829494799999998</v>
      </c>
      <c r="H32">
        <f t="shared" si="51"/>
        <v>9.5707976000000006</v>
      </c>
      <c r="I32">
        <f>AVERAGE(F32:F34)</f>
        <v>17.514171227377805</v>
      </c>
      <c r="J32">
        <f>STDEV(F32:F34)</f>
        <v>24.641968170050294</v>
      </c>
      <c r="K32">
        <f>AVERAGE(G32:G34)</f>
        <v>0.99240884933333329</v>
      </c>
      <c r="L32">
        <f>STDEV(G32:G34)</f>
        <v>0.96445891838848985</v>
      </c>
      <c r="M32">
        <f>AVERAGE(H32:H34)</f>
        <v>10.5450456</v>
      </c>
      <c r="N32">
        <f>STDEV(H32:H34)</f>
        <v>6.5214509855536429</v>
      </c>
    </row>
    <row r="33" spans="2:14" x14ac:dyDescent="0.2">
      <c r="B33" t="s">
        <v>36</v>
      </c>
      <c r="C33">
        <v>0.13756484999999999</v>
      </c>
      <c r="D33">
        <v>4.3747027999999997</v>
      </c>
      <c r="E33">
        <v>4</v>
      </c>
      <c r="F33">
        <f t="shared" si="49"/>
        <v>3.144553042551828</v>
      </c>
      <c r="G33">
        <f t="shared" si="50"/>
        <v>0.55025939999999995</v>
      </c>
      <c r="H33">
        <f t="shared" si="51"/>
        <v>17.498811199999999</v>
      </c>
    </row>
    <row r="34" spans="2:14" x14ac:dyDescent="0.2">
      <c r="B34" t="s">
        <v>37</v>
      </c>
      <c r="C34">
        <v>0.52466805000000005</v>
      </c>
      <c r="D34">
        <v>1.1413819999999999</v>
      </c>
      <c r="E34">
        <v>4</v>
      </c>
      <c r="F34">
        <f t="shared" si="49"/>
        <v>45.967787296452904</v>
      </c>
      <c r="G34">
        <f t="shared" si="50"/>
        <v>2.0986722000000002</v>
      </c>
      <c r="H34">
        <f t="shared" si="51"/>
        <v>4.5655279999999996</v>
      </c>
    </row>
    <row r="35" spans="2:14" x14ac:dyDescent="0.2">
      <c r="B35" t="s">
        <v>38</v>
      </c>
      <c r="C35">
        <v>0.43391593000000001</v>
      </c>
      <c r="D35">
        <v>4.3887269</v>
      </c>
      <c r="E35">
        <v>4</v>
      </c>
      <c r="F35">
        <f>(C35/D35)*100</f>
        <v>9.8870569959593517</v>
      </c>
      <c r="G35">
        <f t="shared" si="50"/>
        <v>1.73566372</v>
      </c>
      <c r="H35">
        <f t="shared" si="51"/>
        <v>17.5549076</v>
      </c>
      <c r="I35">
        <f>AVERAGE(F35:F37)</f>
        <v>6.35433120433854</v>
      </c>
      <c r="J35">
        <f t="shared" ref="J35" si="52">STDEV(F35:F37)</f>
        <v>3.0594370048025379</v>
      </c>
      <c r="K35">
        <f>AVERAGE(G35:G37)</f>
        <v>1.1595321013333333</v>
      </c>
      <c r="L35">
        <f>STDEV(G35:G37)</f>
        <v>0.71162608359771484</v>
      </c>
      <c r="M35">
        <f>AVERAGE(H35:H37)</f>
        <v>18.525036799999999</v>
      </c>
      <c r="N35">
        <f>STDEV(H35:H37)</f>
        <v>11.117970286627674</v>
      </c>
    </row>
    <row r="36" spans="2:14" x14ac:dyDescent="0.2">
      <c r="B36" t="s">
        <v>39</v>
      </c>
      <c r="C36">
        <v>0.34471932999999999</v>
      </c>
      <c r="D36">
        <v>7.5240704999999997</v>
      </c>
      <c r="E36">
        <v>4</v>
      </c>
      <c r="F36">
        <f t="shared" si="49"/>
        <v>4.5815536949049056</v>
      </c>
      <c r="G36">
        <f t="shared" si="50"/>
        <v>1.37887732</v>
      </c>
      <c r="H36">
        <f t="shared" si="51"/>
        <v>30.096281999999999</v>
      </c>
    </row>
    <row r="37" spans="2:14" x14ac:dyDescent="0.2">
      <c r="B37" t="s">
        <v>40</v>
      </c>
      <c r="C37">
        <v>9.1013815999999997E-2</v>
      </c>
      <c r="D37">
        <v>1.9809802000000001</v>
      </c>
      <c r="E37">
        <v>4</v>
      </c>
      <c r="F37">
        <f t="shared" si="49"/>
        <v>4.5943829221513663</v>
      </c>
      <c r="G37">
        <f t="shared" si="50"/>
        <v>0.36405526399999999</v>
      </c>
      <c r="H37">
        <f t="shared" si="51"/>
        <v>7.9239208000000003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Guadalupe Santos</dc:creator>
  <cp:lastModifiedBy>Guadalupe Santos</cp:lastModifiedBy>
  <dcterms:created xsi:type="dcterms:W3CDTF">2024-11-23T19:30:48Z</dcterms:created>
  <dcterms:modified xsi:type="dcterms:W3CDTF">2025-10-30T01:35:24Z</dcterms:modified>
</cp:coreProperties>
</file>