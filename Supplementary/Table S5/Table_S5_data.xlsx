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isantos/Documents/Tufenkji/Raw data for SI/microscopy/"/>
    </mc:Choice>
  </mc:AlternateContent>
  <xr:revisionPtr revIDLastSave="0" documentId="13_ncr:1_{1FAC9557-71D1-2E42-9C3E-0738750AF7BD}" xr6:coauthVersionLast="47" xr6:coauthVersionMax="47" xr10:uidLastSave="{00000000-0000-0000-0000-000000000000}"/>
  <bookViews>
    <workbookView xWindow="6380" yWindow="4940" windowWidth="25600" windowHeight="15500" xr2:uid="{988537A7-2848-D948-98C2-0DA9EEA0D5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B19" i="1"/>
  <c r="B20" i="1"/>
  <c r="N25" i="1"/>
  <c r="K25" i="1"/>
  <c r="H25" i="1"/>
  <c r="N24" i="1"/>
  <c r="K24" i="1"/>
  <c r="H24" i="1"/>
  <c r="E24" i="1"/>
  <c r="B25" i="1"/>
  <c r="B24" i="1"/>
  <c r="B22" i="1"/>
  <c r="B18" i="1"/>
  <c r="K48" i="1"/>
  <c r="H18" i="1"/>
  <c r="E20" i="1"/>
  <c r="B48" i="1"/>
  <c r="B37" i="1"/>
  <c r="B38" i="1" s="1"/>
  <c r="G30" i="1"/>
  <c r="F30" i="1"/>
  <c r="C30" i="1"/>
  <c r="D30" i="1"/>
  <c r="E30" i="1"/>
  <c r="H30" i="1"/>
  <c r="I30" i="1"/>
  <c r="J30" i="1"/>
  <c r="K30" i="1"/>
  <c r="L30" i="1"/>
  <c r="M30" i="1"/>
  <c r="N30" i="1"/>
  <c r="O30" i="1"/>
  <c r="P30" i="1"/>
  <c r="B30" i="1"/>
  <c r="E48" i="1"/>
  <c r="H48" i="1"/>
  <c r="H49" i="1" s="1"/>
  <c r="H50" i="1" s="1"/>
  <c r="H54" i="1" s="1"/>
  <c r="N48" i="1"/>
  <c r="N49" i="1" s="1"/>
  <c r="N50" i="1" s="1"/>
  <c r="E40" i="1"/>
  <c r="H40" i="1"/>
  <c r="K40" i="1"/>
  <c r="N40" i="1"/>
  <c r="B45" i="1"/>
  <c r="B49" i="1" s="1"/>
  <c r="B50" i="1" s="1"/>
  <c r="C37" i="1"/>
  <c r="C38" i="1" s="1"/>
  <c r="D37" i="1"/>
  <c r="D38" i="1" s="1"/>
  <c r="E37" i="1"/>
  <c r="E38" i="1" s="1"/>
  <c r="F37" i="1"/>
  <c r="F38" i="1" s="1"/>
  <c r="G37" i="1"/>
  <c r="G38" i="1" s="1"/>
  <c r="H37" i="1"/>
  <c r="H38" i="1" s="1"/>
  <c r="H39" i="1" s="1"/>
  <c r="I37" i="1"/>
  <c r="I38" i="1" s="1"/>
  <c r="J37" i="1"/>
  <c r="J38" i="1" s="1"/>
  <c r="K37" i="1"/>
  <c r="K38" i="1" s="1"/>
  <c r="L37" i="1"/>
  <c r="L38" i="1" s="1"/>
  <c r="M37" i="1"/>
  <c r="M38" i="1" s="1"/>
  <c r="K39" i="1" s="1"/>
  <c r="N37" i="1"/>
  <c r="N38" i="1" s="1"/>
  <c r="O37" i="1"/>
  <c r="O38" i="1" s="1"/>
  <c r="P37" i="1"/>
  <c r="P38" i="1" s="1"/>
  <c r="K32" i="1" l="1"/>
  <c r="K34" i="1" s="1"/>
  <c r="B40" i="1"/>
  <c r="B54" i="1" s="1"/>
  <c r="N32" i="1"/>
  <c r="K49" i="1"/>
  <c r="K50" i="1" s="1"/>
  <c r="K54" i="1" s="1"/>
  <c r="H32" i="1"/>
  <c r="H34" i="1" s="1"/>
  <c r="E32" i="1"/>
  <c r="K33" i="1"/>
  <c r="K35" i="1" s="1"/>
  <c r="N54" i="1"/>
  <c r="N33" i="1"/>
  <c r="N35" i="1" s="1"/>
  <c r="N39" i="1"/>
  <c r="N34" i="1" s="1"/>
  <c r="E39" i="1"/>
  <c r="B33" i="1"/>
  <c r="B35" i="1" s="1"/>
  <c r="E49" i="1"/>
  <c r="E50" i="1" s="1"/>
  <c r="E54" i="1" s="1"/>
  <c r="B32" i="1"/>
  <c r="H33" i="1"/>
  <c r="H35" i="1" s="1"/>
  <c r="E33" i="1"/>
  <c r="E35" i="1" s="1"/>
  <c r="B39" i="1"/>
  <c r="E34" i="1" l="1"/>
  <c r="B34" i="1"/>
  <c r="B44" i="1"/>
  <c r="E28" i="1"/>
  <c r="H28" i="1"/>
  <c r="K28" i="1"/>
  <c r="N28" i="1"/>
  <c r="B28" i="1"/>
  <c r="B27" i="1"/>
  <c r="E27" i="1"/>
  <c r="H27" i="1"/>
  <c r="K27" i="1"/>
  <c r="N27" i="1"/>
  <c r="E23" i="1"/>
  <c r="H23" i="1"/>
  <c r="K23" i="1"/>
  <c r="N23" i="1"/>
  <c r="B23" i="1"/>
  <c r="H22" i="1"/>
  <c r="K22" i="1"/>
  <c r="N22" i="1"/>
  <c r="E22" i="1"/>
  <c r="E21" i="1"/>
  <c r="H21" i="1"/>
  <c r="K21" i="1"/>
  <c r="N21" i="1"/>
  <c r="B21" i="1"/>
  <c r="H20" i="1"/>
  <c r="K20" i="1"/>
  <c r="N20" i="1"/>
  <c r="E19" i="1"/>
  <c r="H19" i="1"/>
  <c r="K19" i="1"/>
  <c r="N19" i="1"/>
  <c r="N18" i="1"/>
  <c r="K18" i="1"/>
  <c r="E18" i="1"/>
  <c r="B47" i="1" l="1"/>
  <c r="B51" i="1" s="1"/>
  <c r="B53" i="1" s="1"/>
  <c r="K47" i="1"/>
  <c r="K51" i="1" s="1"/>
  <c r="K53" i="1" s="1"/>
  <c r="N47" i="1"/>
  <c r="N51" i="1" s="1"/>
  <c r="N53" i="1" s="1"/>
  <c r="E47" i="1"/>
  <c r="E51" i="1" s="1"/>
  <c r="E53" i="1" s="1"/>
  <c r="H47" i="1"/>
  <c r="H51" i="1" s="1"/>
  <c r="H53" i="1" s="1"/>
</calcChain>
</file>

<file path=xl/sharedStrings.xml><?xml version="1.0" encoding="utf-8"?>
<sst xmlns="http://schemas.openxmlformats.org/spreadsheetml/2006/main" count="77" uniqueCount="65">
  <si>
    <t>FT</t>
  </si>
  <si>
    <t>UV-FT</t>
  </si>
  <si>
    <t>UV</t>
  </si>
  <si>
    <t> Sample 1</t>
  </si>
  <si>
    <t> Sample 2</t>
  </si>
  <si>
    <t> Sample 3</t>
  </si>
  <si>
    <t>Number of values</t>
  </si>
  <si>
    <t>Minimum</t>
  </si>
  <si>
    <t>25% Percentile</t>
  </si>
  <si>
    <t>Median</t>
  </si>
  <si>
    <t>75% Percentile</t>
  </si>
  <si>
    <t>Maximum</t>
  </si>
  <si>
    <t>Range</t>
  </si>
  <si>
    <t>Mean</t>
  </si>
  <si>
    <t>Std. Deviation</t>
  </si>
  <si>
    <t>Std. Error of Mean</t>
  </si>
  <si>
    <t>Coefficient of variation</t>
  </si>
  <si>
    <t>165.9%</t>
  </si>
  <si>
    <t>274.9%</t>
  </si>
  <si>
    <t>212.0%</t>
  </si>
  <si>
    <t>200.0%</t>
  </si>
  <si>
    <t>213.6%</t>
  </si>
  <si>
    <t>252.5%</t>
  </si>
  <si>
    <t>155.0%</t>
  </si>
  <si>
    <t>169.0%</t>
  </si>
  <si>
    <t>96.53%</t>
  </si>
  <si>
    <t>222.0%</t>
  </si>
  <si>
    <t>152.1%</t>
  </si>
  <si>
    <t>186.3%</t>
  </si>
  <si>
    <t>243.4%</t>
  </si>
  <si>
    <t>Average median</t>
  </si>
  <si>
    <t>Average mean</t>
  </si>
  <si>
    <t>SD of avg median</t>
  </si>
  <si>
    <t>Average max size</t>
  </si>
  <si>
    <t>SD of avg mean</t>
  </si>
  <si>
    <t>SD of avg max size</t>
  </si>
  <si>
    <t>SD of avg count</t>
  </si>
  <si>
    <t>Average particle count</t>
  </si>
  <si>
    <t>134.7%</t>
  </si>
  <si>
    <t>Particle number for procedural blank</t>
  </si>
  <si>
    <t>Average number for procedural</t>
  </si>
  <si>
    <t>Particles per mL</t>
  </si>
  <si>
    <t>Volume of water for AF</t>
  </si>
  <si>
    <t>Volume of blanks</t>
  </si>
  <si>
    <t>Number of blank particles</t>
  </si>
  <si>
    <t>SD of procedural blanks</t>
  </si>
  <si>
    <t>Average</t>
  </si>
  <si>
    <t>Blank Particles per mL</t>
  </si>
  <si>
    <t>Blank SD per mL</t>
  </si>
  <si>
    <t>mean of avg particles per mL</t>
  </si>
  <si>
    <t>SD average of avg per m:</t>
  </si>
  <si>
    <t>AF particles minus procedural blank</t>
  </si>
  <si>
    <t>SD of AF particles</t>
  </si>
  <si>
    <t>SD with blank subtraction (procedural only)</t>
  </si>
  <si>
    <t>SD with blank subtraction div by volume (procedural only)</t>
  </si>
  <si>
    <t>AF divided by total volume</t>
  </si>
  <si>
    <t>AF minus ALL blanks</t>
  </si>
  <si>
    <t>SD of AF -minus ALL blanks</t>
  </si>
  <si>
    <t>avg Particles - avg blanks</t>
  </si>
  <si>
    <t>SD avg particles - avg blanks</t>
  </si>
  <si>
    <t>Average min size</t>
  </si>
  <si>
    <t>SD of avg min size</t>
  </si>
  <si>
    <t>HC</t>
  </si>
  <si>
    <t>CC</t>
  </si>
  <si>
    <t>Number of values in BLANKS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</si>
</sst>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E+00"/>
  </numFmts>
  <fonts count="3" x14ac:knownFonts="1">
    <font>
      <sz val="12"/>
      <color theme="1"/>
      <name val="Aptos Narrow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wrapText="1"/>
    </xf>
    <xf numFmtId="10" fontId="1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E6E6E-A67B-624B-80F3-7D9E2F9F5F3E}">
  <dimension ref="A1:P54"/>
  <sheetViews>
    <sheetView tabSelected="1" topLeftCell="A26" workbookViewId="0">
      <selection activeCell="A54" sqref="A54"/>
    </sheetView>
  </sheetViews>
  <sheetFormatPr baseColWidth="10" defaultRowHeight="16" x14ac:dyDescent="0.2"/>
  <cols>
    <col min="1" max="1" width="43.6640625" customWidth="1"/>
    <col min="5" max="5" width="12.33203125" bestFit="1" customWidth="1"/>
  </cols>
  <sheetData>
    <row r="1" spans="1:16" x14ac:dyDescent="0.2">
      <c r="A1" s="2"/>
      <c r="B1" s="7" t="s">
        <v>62</v>
      </c>
      <c r="C1" s="7"/>
      <c r="D1" s="7"/>
      <c r="E1" s="7" t="s">
        <v>0</v>
      </c>
      <c r="F1" s="7"/>
      <c r="G1" s="7"/>
      <c r="H1" s="7" t="s">
        <v>1</v>
      </c>
      <c r="I1" s="7"/>
      <c r="J1" s="7"/>
      <c r="K1" s="7" t="s">
        <v>63</v>
      </c>
      <c r="L1" s="7"/>
      <c r="M1" s="7"/>
      <c r="N1" s="7" t="s">
        <v>2</v>
      </c>
      <c r="O1" s="7"/>
      <c r="P1" s="7"/>
    </row>
    <row r="2" spans="1:16" x14ac:dyDescent="0.2">
      <c r="A2" s="2"/>
      <c r="B2" s="2" t="s">
        <v>3</v>
      </c>
      <c r="C2" s="2" t="s">
        <v>4</v>
      </c>
      <c r="D2" s="2" t="s">
        <v>5</v>
      </c>
      <c r="E2" s="2" t="s">
        <v>3</v>
      </c>
      <c r="F2" s="2" t="s">
        <v>4</v>
      </c>
      <c r="G2" s="2" t="s">
        <v>5</v>
      </c>
      <c r="H2" s="2" t="s">
        <v>3</v>
      </c>
      <c r="I2" s="2" t="s">
        <v>4</v>
      </c>
      <c r="J2" s="2" t="s">
        <v>5</v>
      </c>
      <c r="K2" s="2" t="s">
        <v>3</v>
      </c>
      <c r="L2" s="2" t="s">
        <v>4</v>
      </c>
      <c r="M2" s="2" t="s">
        <v>5</v>
      </c>
      <c r="N2" s="2" t="s">
        <v>3</v>
      </c>
      <c r="O2" s="2" t="s">
        <v>4</v>
      </c>
      <c r="P2" s="2" t="s">
        <v>5</v>
      </c>
    </row>
    <row r="3" spans="1:16" x14ac:dyDescent="0.2">
      <c r="A3" s="3" t="s">
        <v>6</v>
      </c>
      <c r="B3" s="1">
        <v>2574</v>
      </c>
      <c r="C3" s="1">
        <v>655</v>
      </c>
      <c r="D3" s="1">
        <v>510</v>
      </c>
      <c r="E3" s="1">
        <v>10475</v>
      </c>
      <c r="F3" s="1">
        <v>18103</v>
      </c>
      <c r="G3" s="1">
        <v>9403</v>
      </c>
      <c r="H3" s="1">
        <v>4179</v>
      </c>
      <c r="I3" s="1">
        <v>1166</v>
      </c>
      <c r="J3" s="1">
        <v>857</v>
      </c>
      <c r="K3" s="1">
        <v>306</v>
      </c>
      <c r="L3" s="1">
        <v>1318</v>
      </c>
      <c r="M3" s="1">
        <v>342</v>
      </c>
      <c r="N3" s="1">
        <v>4714</v>
      </c>
      <c r="O3" s="1">
        <v>2055</v>
      </c>
      <c r="P3" s="1">
        <v>1182</v>
      </c>
    </row>
    <row r="4" spans="1:16" x14ac:dyDescent="0.2">
      <c r="A4" s="3" t="s">
        <v>64</v>
      </c>
      <c r="B4" s="1">
        <v>98</v>
      </c>
      <c r="C4" s="1">
        <v>348</v>
      </c>
      <c r="D4" s="1">
        <v>62</v>
      </c>
      <c r="E4" s="1">
        <v>233</v>
      </c>
      <c r="F4" s="1">
        <v>119</v>
      </c>
      <c r="G4" s="1">
        <v>85</v>
      </c>
      <c r="H4" s="1">
        <v>51</v>
      </c>
      <c r="I4" s="1">
        <v>55</v>
      </c>
      <c r="J4" s="1">
        <v>94</v>
      </c>
      <c r="K4" s="1">
        <v>198</v>
      </c>
      <c r="L4" s="1">
        <v>69</v>
      </c>
      <c r="M4" s="1">
        <v>148</v>
      </c>
      <c r="N4" s="1">
        <v>55</v>
      </c>
      <c r="O4" s="1">
        <v>82</v>
      </c>
      <c r="P4" s="1">
        <v>120</v>
      </c>
    </row>
    <row r="5" spans="1:16" x14ac:dyDescent="0.2">
      <c r="A5" s="3" t="s">
        <v>7</v>
      </c>
      <c r="B5" s="1">
        <v>6.8580000000000004E-3</v>
      </c>
      <c r="C5" s="1">
        <v>7.0260000000000001E-3</v>
      </c>
      <c r="D5" s="1">
        <v>7.3790000000000001E-3</v>
      </c>
      <c r="E5" s="1">
        <v>6.149E-3</v>
      </c>
      <c r="F5" s="1">
        <v>6.149E-3</v>
      </c>
      <c r="G5" s="1">
        <v>6.149E-3</v>
      </c>
      <c r="H5" s="1">
        <v>6.149E-3</v>
      </c>
      <c r="I5" s="1">
        <v>6.7070000000000003E-3</v>
      </c>
      <c r="J5" s="1">
        <v>7.3790000000000001E-3</v>
      </c>
      <c r="K5" s="1">
        <v>7.3790000000000001E-3</v>
      </c>
      <c r="L5" s="1">
        <v>7.3790000000000001E-3</v>
      </c>
      <c r="M5" s="1">
        <v>7.0260000000000001E-3</v>
      </c>
      <c r="N5" s="1">
        <v>6.149E-3</v>
      </c>
      <c r="O5" s="1">
        <v>6.8580000000000004E-3</v>
      </c>
      <c r="P5" s="1">
        <v>7.3790000000000001E-3</v>
      </c>
    </row>
    <row r="6" spans="1:16" x14ac:dyDescent="0.2">
      <c r="A6" s="3" t="s">
        <v>8</v>
      </c>
      <c r="B6" s="1">
        <v>0.01</v>
      </c>
      <c r="C6" s="1">
        <v>0.01</v>
      </c>
      <c r="D6" s="1">
        <v>0.01</v>
      </c>
      <c r="E6" s="1">
        <v>0.02</v>
      </c>
      <c r="F6" s="1">
        <v>0.02</v>
      </c>
      <c r="G6" s="1">
        <v>0.02</v>
      </c>
      <c r="H6" s="1">
        <v>0.02</v>
      </c>
      <c r="I6" s="1">
        <v>0.02</v>
      </c>
      <c r="J6" s="1">
        <v>0.05</v>
      </c>
      <c r="K6" s="1">
        <v>0.01</v>
      </c>
      <c r="L6" s="1">
        <v>0.02</v>
      </c>
      <c r="M6" s="1">
        <v>0.01</v>
      </c>
      <c r="N6" s="1">
        <v>0.01</v>
      </c>
      <c r="O6" s="1">
        <v>0.01</v>
      </c>
      <c r="P6" s="1">
        <v>0.01</v>
      </c>
    </row>
    <row r="7" spans="1:16" x14ac:dyDescent="0.2">
      <c r="A7" s="3" t="s">
        <v>9</v>
      </c>
      <c r="B7" s="1">
        <v>0.02</v>
      </c>
      <c r="C7" s="1">
        <v>0.02</v>
      </c>
      <c r="D7" s="1">
        <v>0.02</v>
      </c>
      <c r="E7" s="1">
        <v>0.03</v>
      </c>
      <c r="F7" s="1">
        <v>0.03</v>
      </c>
      <c r="G7" s="1">
        <v>0.04</v>
      </c>
      <c r="H7" s="1">
        <v>0.05</v>
      </c>
      <c r="I7" s="1">
        <v>0.05</v>
      </c>
      <c r="J7" s="1">
        <v>0.14000000000000001</v>
      </c>
      <c r="K7" s="1">
        <v>0.02</v>
      </c>
      <c r="L7" s="1">
        <v>0.03</v>
      </c>
      <c r="M7" s="1">
        <v>0.03</v>
      </c>
      <c r="N7" s="1">
        <v>0.02</v>
      </c>
      <c r="O7" s="1">
        <v>0.02</v>
      </c>
      <c r="P7" s="1">
        <v>0.02</v>
      </c>
    </row>
    <row r="8" spans="1:16" x14ac:dyDescent="0.2">
      <c r="A8" s="3" t="s">
        <v>10</v>
      </c>
      <c r="B8" s="1">
        <v>0.03</v>
      </c>
      <c r="C8" s="1">
        <v>0.04</v>
      </c>
      <c r="D8" s="1">
        <v>0.04</v>
      </c>
      <c r="E8" s="1">
        <v>0.06</v>
      </c>
      <c r="F8" s="1">
        <v>0.05</v>
      </c>
      <c r="G8" s="1">
        <v>0.08</v>
      </c>
      <c r="H8" s="1">
        <v>0.1</v>
      </c>
      <c r="I8" s="1">
        <v>0.13</v>
      </c>
      <c r="J8" s="1">
        <v>0.34</v>
      </c>
      <c r="K8" s="1">
        <v>0.04</v>
      </c>
      <c r="L8" s="1">
        <v>0.05</v>
      </c>
      <c r="M8" s="1">
        <v>0.05</v>
      </c>
      <c r="N8" s="1">
        <v>0.03</v>
      </c>
      <c r="O8" s="1">
        <v>0.03</v>
      </c>
      <c r="P8" s="1">
        <v>0.03</v>
      </c>
    </row>
    <row r="9" spans="1:16" x14ac:dyDescent="0.2">
      <c r="A9" s="3" t="s">
        <v>11</v>
      </c>
      <c r="B9" s="1">
        <v>0.93</v>
      </c>
      <c r="C9" s="1">
        <v>1.87</v>
      </c>
      <c r="D9" s="1">
        <v>0.45</v>
      </c>
      <c r="E9" s="1">
        <v>2.36</v>
      </c>
      <c r="F9" s="1">
        <v>4.2699999999999996</v>
      </c>
      <c r="G9" s="1">
        <v>3.29</v>
      </c>
      <c r="H9" s="1">
        <v>4.6900000000000004</v>
      </c>
      <c r="I9" s="1">
        <v>4.9000000000000004</v>
      </c>
      <c r="J9" s="1">
        <v>4.9000000000000004</v>
      </c>
      <c r="K9" s="1">
        <v>0.55000000000000004</v>
      </c>
      <c r="L9" s="1">
        <v>0.33</v>
      </c>
      <c r="M9" s="1">
        <v>1.35</v>
      </c>
      <c r="N9" s="1">
        <v>0.79</v>
      </c>
      <c r="O9" s="1">
        <v>1</v>
      </c>
      <c r="P9" s="1">
        <v>1.34</v>
      </c>
    </row>
    <row r="10" spans="1:16" x14ac:dyDescent="0.2">
      <c r="A10" s="3" t="s">
        <v>12</v>
      </c>
      <c r="B10" s="1">
        <v>0.92310000000000003</v>
      </c>
      <c r="C10" s="1">
        <v>1.863</v>
      </c>
      <c r="D10" s="1">
        <v>0.44259999999999999</v>
      </c>
      <c r="E10" s="1">
        <v>2.3540000000000001</v>
      </c>
      <c r="F10" s="1">
        <v>4.2640000000000002</v>
      </c>
      <c r="G10" s="1">
        <v>3.2839999999999998</v>
      </c>
      <c r="H10" s="1">
        <v>4.6840000000000002</v>
      </c>
      <c r="I10" s="1">
        <v>4.8929999999999998</v>
      </c>
      <c r="J10" s="1">
        <v>4.8929999999999998</v>
      </c>
      <c r="K10" s="1">
        <v>0.54259999999999997</v>
      </c>
      <c r="L10" s="1">
        <v>0.3226</v>
      </c>
      <c r="M10" s="1">
        <v>1.343</v>
      </c>
      <c r="N10" s="1">
        <v>0.78390000000000004</v>
      </c>
      <c r="O10" s="1">
        <v>0.99309999999999998</v>
      </c>
      <c r="P10" s="1">
        <v>1.333</v>
      </c>
    </row>
    <row r="11" spans="1:16" x14ac:dyDescent="0.2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2">
      <c r="A12" s="3" t="s">
        <v>13</v>
      </c>
      <c r="B12" s="1">
        <v>2.877E-2</v>
      </c>
      <c r="C12" s="1">
        <v>6.7309999999999995E-2</v>
      </c>
      <c r="D12" s="1">
        <v>3.7089999999999998E-2</v>
      </c>
      <c r="E12" s="1">
        <v>5.731E-2</v>
      </c>
      <c r="F12" s="1">
        <v>5.4300000000000001E-2</v>
      </c>
      <c r="G12" s="1">
        <v>8.6269999999999999E-2</v>
      </c>
      <c r="H12" s="1">
        <v>9.7049999999999997E-2</v>
      </c>
      <c r="I12" s="1">
        <v>0.17510000000000001</v>
      </c>
      <c r="J12" s="1">
        <v>0.29299999999999998</v>
      </c>
      <c r="K12" s="1">
        <v>3.7539999999999997E-2</v>
      </c>
      <c r="L12" s="1">
        <v>3.9149999999999997E-2</v>
      </c>
      <c r="M12" s="1">
        <v>5.1119999999999999E-2</v>
      </c>
      <c r="N12" s="1">
        <v>2.981E-2</v>
      </c>
      <c r="O12" s="1">
        <v>3.329E-2</v>
      </c>
      <c r="P12" s="1">
        <v>3.7749999999999999E-2</v>
      </c>
    </row>
    <row r="13" spans="1:16" x14ac:dyDescent="0.2">
      <c r="A13" s="3" t="s">
        <v>14</v>
      </c>
      <c r="B13" s="1">
        <v>4.7739999999999998E-2</v>
      </c>
      <c r="C13" s="1">
        <v>0.18509999999999999</v>
      </c>
      <c r="D13" s="1">
        <v>4.9959999999999997E-2</v>
      </c>
      <c r="E13" s="1">
        <v>9.4149999999999998E-2</v>
      </c>
      <c r="F13" s="1">
        <v>0.11509999999999999</v>
      </c>
      <c r="G13" s="1">
        <v>0.17249999999999999</v>
      </c>
      <c r="H13" s="1">
        <v>0.20730000000000001</v>
      </c>
      <c r="I13" s="1">
        <v>0.442</v>
      </c>
      <c r="J13" s="1">
        <v>0.45400000000000001</v>
      </c>
      <c r="K13" s="1">
        <v>6.3420000000000004E-2</v>
      </c>
      <c r="L13" s="1">
        <v>3.7789999999999997E-2</v>
      </c>
      <c r="M13" s="1">
        <v>0.1135</v>
      </c>
      <c r="N13" s="1">
        <v>4.5319999999999999E-2</v>
      </c>
      <c r="O13" s="1">
        <v>6.2030000000000002E-2</v>
      </c>
      <c r="P13" s="1">
        <v>9.1869999999999993E-2</v>
      </c>
    </row>
    <row r="14" spans="1:16" x14ac:dyDescent="0.2">
      <c r="A14" s="3" t="s">
        <v>15</v>
      </c>
      <c r="B14" s="1">
        <v>9.4090000000000005E-4</v>
      </c>
      <c r="C14" s="1">
        <v>7.2309999999999996E-3</v>
      </c>
      <c r="D14" s="1">
        <v>2.212E-3</v>
      </c>
      <c r="E14" s="1">
        <v>9.2000000000000003E-4</v>
      </c>
      <c r="F14" s="1">
        <v>8.5570000000000004E-4</v>
      </c>
      <c r="G14" s="1">
        <v>1.779E-3</v>
      </c>
      <c r="H14" s="1">
        <v>3.2070000000000002E-3</v>
      </c>
      <c r="I14" s="1">
        <v>1.294E-2</v>
      </c>
      <c r="J14" s="1">
        <v>1.5509999999999999E-2</v>
      </c>
      <c r="K14" s="1">
        <v>3.6259999999999999E-3</v>
      </c>
      <c r="L14" s="1">
        <v>1.041E-3</v>
      </c>
      <c r="M14" s="1">
        <v>6.1380000000000002E-3</v>
      </c>
      <c r="N14" s="1">
        <v>6.6010000000000005E-4</v>
      </c>
      <c r="O14" s="1">
        <v>1.3680000000000001E-3</v>
      </c>
      <c r="P14" s="1">
        <v>2.6719999999999999E-3</v>
      </c>
    </row>
    <row r="15" spans="1:16" x14ac:dyDescent="0.2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">
      <c r="A16" s="3" t="s">
        <v>16</v>
      </c>
      <c r="B16" s="1" t="s">
        <v>17</v>
      </c>
      <c r="C16" s="1" t="s">
        <v>18</v>
      </c>
      <c r="D16" s="1" t="s">
        <v>38</v>
      </c>
      <c r="E16" s="5">
        <v>1.643</v>
      </c>
      <c r="F16" s="1" t="s">
        <v>19</v>
      </c>
      <c r="G16" s="1" t="s">
        <v>20</v>
      </c>
      <c r="H16" s="1" t="s">
        <v>21</v>
      </c>
      <c r="I16" s="1" t="s">
        <v>22</v>
      </c>
      <c r="J16" s="1" t="s">
        <v>23</v>
      </c>
      <c r="K16" s="1" t="s">
        <v>24</v>
      </c>
      <c r="L16" s="1" t="s">
        <v>25</v>
      </c>
      <c r="M16" s="1" t="s">
        <v>26</v>
      </c>
      <c r="N16" s="1" t="s">
        <v>27</v>
      </c>
      <c r="O16" s="1" t="s">
        <v>28</v>
      </c>
      <c r="P16" s="1" t="s">
        <v>29</v>
      </c>
    </row>
    <row r="18" spans="1:16" x14ac:dyDescent="0.2">
      <c r="A18" s="3" t="s">
        <v>30</v>
      </c>
      <c r="B18">
        <f>AVERAGE(B7:D7)</f>
        <v>0.02</v>
      </c>
      <c r="E18">
        <f>AVERAGE(E7:G7)</f>
        <v>3.3333333333333333E-2</v>
      </c>
      <c r="H18">
        <f>AVERAGE(H7:J7)</f>
        <v>0.08</v>
      </c>
      <c r="K18">
        <f t="shared" ref="K18" si="0">AVERAGE(K7:M7)</f>
        <v>2.6666666666666668E-2</v>
      </c>
      <c r="N18">
        <f t="shared" ref="N18" si="1">AVERAGE(N7:P7)</f>
        <v>0.02</v>
      </c>
    </row>
    <row r="19" spans="1:16" x14ac:dyDescent="0.2">
      <c r="A19" s="3" t="s">
        <v>32</v>
      </c>
      <c r="B19">
        <f>STDEV(B7:D7)</f>
        <v>0</v>
      </c>
      <c r="E19">
        <f t="shared" ref="E19" si="2">STDEV(E7:G7)</f>
        <v>5.7735026918962588E-3</v>
      </c>
      <c r="H19">
        <f t="shared" ref="H19" si="3">STDEV(H7:J7)</f>
        <v>5.1961524227066312E-2</v>
      </c>
      <c r="K19">
        <f t="shared" ref="K19" si="4">STDEV(K7:M7)</f>
        <v>5.7735026918962398E-3</v>
      </c>
      <c r="N19">
        <f t="shared" ref="N19" si="5">STDEV(N7:P7)</f>
        <v>0</v>
      </c>
    </row>
    <row r="20" spans="1:16" x14ac:dyDescent="0.2">
      <c r="A20" s="3" t="s">
        <v>31</v>
      </c>
      <c r="B20">
        <f>AVERAGE(B12:D12)</f>
        <v>4.4390000000000006E-2</v>
      </c>
      <c r="E20">
        <f>AVERAGE(E12:G12)</f>
        <v>6.5960000000000005E-2</v>
      </c>
      <c r="H20">
        <f t="shared" ref="H20" si="6">AVERAGE(H12:J12)</f>
        <v>0.18838333333333335</v>
      </c>
      <c r="K20">
        <f t="shared" ref="K20" si="7">AVERAGE(K12:M12)</f>
        <v>4.2603333333333326E-2</v>
      </c>
      <c r="N20">
        <f t="shared" ref="N20" si="8">AVERAGE(N12:P12)</f>
        <v>3.3616666666666663E-2</v>
      </c>
    </row>
    <row r="21" spans="1:16" x14ac:dyDescent="0.2">
      <c r="A21" s="3" t="s">
        <v>34</v>
      </c>
      <c r="B21">
        <f>STDEV(B12:D12)</f>
        <v>2.0280542399058243E-2</v>
      </c>
      <c r="E21">
        <f t="shared" ref="E21" si="9">STDEV(E12:G12)</f>
        <v>1.7653246160409152E-2</v>
      </c>
      <c r="H21">
        <f t="shared" ref="H21" si="10">STDEV(H12:J12)</f>
        <v>9.864804019002775E-2</v>
      </c>
      <c r="K21">
        <f t="shared" ref="K21" si="11">STDEV(K12:M12)</f>
        <v>7.4194496651257252E-3</v>
      </c>
      <c r="N21">
        <f t="shared" ref="N21" si="12">STDEV(N12:P12)</f>
        <v>3.9800670011110777E-3</v>
      </c>
    </row>
    <row r="22" spans="1:16" x14ac:dyDescent="0.2">
      <c r="A22" s="3" t="s">
        <v>33</v>
      </c>
      <c r="B22">
        <f>AVERAGE(B9:D9)</f>
        <v>1.0833333333333335</v>
      </c>
      <c r="E22">
        <f>AVERAGE(E9:G9)</f>
        <v>3.3066666666666662</v>
      </c>
      <c r="H22">
        <f t="shared" ref="H22" si="13">AVERAGE(H9:J9)</f>
        <v>4.83</v>
      </c>
      <c r="K22">
        <f t="shared" ref="K22" si="14">AVERAGE(K9:M9)</f>
        <v>0.74333333333333351</v>
      </c>
      <c r="N22">
        <f t="shared" ref="N22" si="15">AVERAGE(N9:P9)</f>
        <v>1.0433333333333332</v>
      </c>
    </row>
    <row r="23" spans="1:16" x14ac:dyDescent="0.2">
      <c r="A23" s="3" t="s">
        <v>35</v>
      </c>
      <c r="B23">
        <f>STDEV(B9:D9)</f>
        <v>0.72231110564169854</v>
      </c>
      <c r="E23">
        <f t="shared" ref="E23" si="16">STDEV(E9:G9)</f>
        <v>0.95510906881535607</v>
      </c>
      <c r="H23">
        <f t="shared" ref="H23" si="17">STDEV(H9:J9)</f>
        <v>0.12124355652982138</v>
      </c>
      <c r="K23">
        <f t="shared" ref="K23" si="18">STDEV(K9:M9)</f>
        <v>0.53678052622401751</v>
      </c>
      <c r="N23">
        <f t="shared" ref="N23" si="19">STDEV(N9:P9)</f>
        <v>0.2775487945088822</v>
      </c>
    </row>
    <row r="24" spans="1:16" x14ac:dyDescent="0.2">
      <c r="A24" s="3" t="s">
        <v>60</v>
      </c>
      <c r="B24">
        <f>AVERAGE(B5:D5)</f>
        <v>7.0876666666666666E-3</v>
      </c>
      <c r="E24">
        <f>AVERAGE(E5:G5)</f>
        <v>6.1489999999999991E-3</v>
      </c>
      <c r="H24">
        <f>AVERAGE(H5:J5)</f>
        <v>6.7450000000000001E-3</v>
      </c>
      <c r="K24">
        <f>AVERAGE(K5:M5)</f>
        <v>7.261333333333334E-3</v>
      </c>
      <c r="N24">
        <f>AVERAGE(N5:P5)</f>
        <v>6.7953333333333338E-3</v>
      </c>
    </row>
    <row r="25" spans="1:16" x14ac:dyDescent="0.2">
      <c r="A25" s="3" t="s">
        <v>61</v>
      </c>
      <c r="B25">
        <f>STDEV(B5:D5)</f>
        <v>2.6591790713175611E-4</v>
      </c>
      <c r="E25" s="6">
        <f>STDEV(E5:G5)</f>
        <v>1.0622968402425924E-18</v>
      </c>
      <c r="H25">
        <f>STDEV(H5:J5)</f>
        <v>6.1587985841396063E-4</v>
      </c>
      <c r="K25">
        <f>STDEV(K5:M5)</f>
        <v>2.0380464502393791E-4</v>
      </c>
      <c r="N25">
        <f>STDEV(N5:P5)</f>
        <v>6.1738993620995589E-4</v>
      </c>
    </row>
    <row r="27" spans="1:16" x14ac:dyDescent="0.2">
      <c r="A27" s="3" t="s">
        <v>37</v>
      </c>
      <c r="B27">
        <f>AVERAGE(B3:D3)</f>
        <v>1246.3333333333333</v>
      </c>
      <c r="E27">
        <f t="shared" ref="E27" si="20">AVERAGE(E3:G3)</f>
        <v>12660.333333333334</v>
      </c>
      <c r="H27">
        <f t="shared" ref="H27" si="21">AVERAGE(H3:J3)</f>
        <v>2067.3333333333335</v>
      </c>
      <c r="K27">
        <f t="shared" ref="K27" si="22">AVERAGE(K3:M3)</f>
        <v>655.33333333333337</v>
      </c>
      <c r="N27">
        <f t="shared" ref="N27" si="23">AVERAGE(N3:P3)</f>
        <v>2650.3333333333335</v>
      </c>
    </row>
    <row r="28" spans="1:16" x14ac:dyDescent="0.2">
      <c r="A28" s="3" t="s">
        <v>36</v>
      </c>
      <c r="B28">
        <f>STDEV(B3:D3)</f>
        <v>1152.0765310227152</v>
      </c>
      <c r="E28">
        <f t="shared" ref="E28" si="24">STDEV(E3:G3)</f>
        <v>4743.8656529599721</v>
      </c>
      <c r="H28">
        <f t="shared" ref="H28" si="25">STDEV(H3:J3)</f>
        <v>1835.2717328323163</v>
      </c>
      <c r="K28">
        <f t="shared" ref="K28" si="26">STDEV(K3:M3)</f>
        <v>574.16838412902302</v>
      </c>
      <c r="N28">
        <f t="shared" ref="N28" si="27">STDEV(N3:P3)</f>
        <v>1839.7207215589365</v>
      </c>
    </row>
    <row r="30" spans="1:16" x14ac:dyDescent="0.2">
      <c r="A30" s="3" t="s">
        <v>41</v>
      </c>
      <c r="B30">
        <f>B3/B31</f>
        <v>13.435570333175002</v>
      </c>
      <c r="C30">
        <f t="shared" ref="C30:P30" si="28">C3/C31</f>
        <v>3.4954287263404837</v>
      </c>
      <c r="D30">
        <f t="shared" si="28"/>
        <v>2.7136926546192903</v>
      </c>
      <c r="E30">
        <f t="shared" si="28"/>
        <v>56.024611250704659</v>
      </c>
      <c r="F30">
        <f>F3/F31</f>
        <v>96.483158750851416</v>
      </c>
      <c r="G30">
        <f>G3/G31</f>
        <v>52.544992662812362</v>
      </c>
      <c r="H30">
        <f t="shared" si="28"/>
        <v>22.159909811977489</v>
      </c>
      <c r="I30">
        <f t="shared" si="28"/>
        <v>6.2244961147613447</v>
      </c>
      <c r="J30">
        <f t="shared" si="28"/>
        <v>4.544736219691595</v>
      </c>
      <c r="K30">
        <f t="shared" si="28"/>
        <v>1.6849292439843619</v>
      </c>
      <c r="L30">
        <f t="shared" si="28"/>
        <v>7.2485288456250343</v>
      </c>
      <c r="M30">
        <f t="shared" si="28"/>
        <v>1.8716138565096045</v>
      </c>
      <c r="N30">
        <f t="shared" si="28"/>
        <v>25.595916815985234</v>
      </c>
      <c r="O30">
        <f t="shared" si="28"/>
        <v>11.103906629923813</v>
      </c>
      <c r="P30">
        <f t="shared" si="28"/>
        <v>6.7693717427409652</v>
      </c>
    </row>
    <row r="31" spans="1:16" ht="17" x14ac:dyDescent="0.2">
      <c r="A31" s="4" t="s">
        <v>42</v>
      </c>
      <c r="B31" s="1">
        <v>191.58099999999999</v>
      </c>
      <c r="C31" s="1">
        <v>187.38759999999999</v>
      </c>
      <c r="D31" s="1">
        <v>187.9358</v>
      </c>
      <c r="E31" s="1">
        <v>186.97139999999999</v>
      </c>
      <c r="F31" s="1">
        <v>187.62860000000001</v>
      </c>
      <c r="G31" s="1">
        <v>178.95140000000001</v>
      </c>
      <c r="H31" s="1">
        <v>188.5838</v>
      </c>
      <c r="I31" s="1">
        <v>187.3244</v>
      </c>
      <c r="J31" s="1">
        <v>188.56979999999999</v>
      </c>
      <c r="K31" s="1">
        <v>181.61</v>
      </c>
      <c r="L31" s="1">
        <v>181.83</v>
      </c>
      <c r="M31" s="1">
        <v>182.73</v>
      </c>
      <c r="N31" s="1">
        <v>184.17</v>
      </c>
      <c r="O31" s="1">
        <v>185.07</v>
      </c>
      <c r="P31" s="1">
        <v>174.61</v>
      </c>
    </row>
    <row r="32" spans="1:16" x14ac:dyDescent="0.2">
      <c r="A32" s="3" t="s">
        <v>49</v>
      </c>
      <c r="B32">
        <f>AVERAGE(B30:D30)</f>
        <v>6.5482305713782587</v>
      </c>
      <c r="E32">
        <f t="shared" ref="E32" si="29">AVERAGE(E30:G30)</f>
        <v>68.350920888122815</v>
      </c>
      <c r="H32">
        <f t="shared" ref="H32" si="30">AVERAGE(H30:J30)</f>
        <v>10.976380715476809</v>
      </c>
      <c r="K32">
        <f t="shared" ref="K32" si="31">AVERAGE(K30:M30)</f>
        <v>3.6016906487063332</v>
      </c>
      <c r="N32">
        <f t="shared" ref="N32" si="32">AVERAGE(N30:P30)</f>
        <v>14.489731729550003</v>
      </c>
    </row>
    <row r="33" spans="1:16" x14ac:dyDescent="0.2">
      <c r="A33" s="3" t="s">
        <v>50</v>
      </c>
      <c r="B33">
        <f>STDEV(B30:D30)</f>
        <v>5.9774045008914483</v>
      </c>
      <c r="E33">
        <f t="shared" ref="E33" si="33">STDEV(E30:G30)</f>
        <v>24.425274650516329</v>
      </c>
      <c r="H33">
        <f t="shared" ref="H33" si="34">STDEV(H30:J30)</f>
        <v>9.7215683207741321</v>
      </c>
      <c r="K33">
        <f t="shared" ref="K33" si="35">STDEV(K30:M30)</f>
        <v>3.1596335882531315</v>
      </c>
      <c r="N33">
        <f t="shared" ref="N33" si="36">STDEV(N30:P30)</f>
        <v>9.8593893600297857</v>
      </c>
    </row>
    <row r="34" spans="1:16" x14ac:dyDescent="0.2">
      <c r="A34" s="3" t="s">
        <v>58</v>
      </c>
      <c r="B34">
        <f>B32-B39</f>
        <v>5.6328765891932333</v>
      </c>
      <c r="E34">
        <f t="shared" ref="E34" si="37">E32-E39</f>
        <v>67.581904355718834</v>
      </c>
      <c r="H34">
        <f t="shared" ref="H34" si="38">H32-H39</f>
        <v>10.621060707898001</v>
      </c>
      <c r="K34">
        <f t="shared" ref="K34" si="39">K32-K39</f>
        <v>2.8470277074196226</v>
      </c>
      <c r="N34">
        <f t="shared" ref="N34" si="40">N32-N39</f>
        <v>14.029503719666616</v>
      </c>
    </row>
    <row r="35" spans="1:16" x14ac:dyDescent="0.2">
      <c r="A35" s="3" t="s">
        <v>59</v>
      </c>
      <c r="B35">
        <f>SQRT((B33^2)+(B40^2))</f>
        <v>6.0368879559111912</v>
      </c>
      <c r="E35">
        <f t="shared" ref="E35" si="41">SQRT((E33^2)+(E40^2))</f>
        <v>24.445397830399262</v>
      </c>
      <c r="H35">
        <f t="shared" ref="H35" si="42">SQRT((H33^2)+(H40^2))</f>
        <v>9.822154750807611</v>
      </c>
      <c r="K35">
        <f t="shared" ref="K35" si="43">SQRT((K33^2)+(K40^2))</f>
        <v>3.159860399661778</v>
      </c>
      <c r="N35">
        <f t="shared" ref="N35" si="44">SQRT((N33^2)+(N40^2))</f>
        <v>11.066863085475871</v>
      </c>
    </row>
    <row r="37" spans="1:16" x14ac:dyDescent="0.2">
      <c r="A37" s="3" t="s">
        <v>44</v>
      </c>
      <c r="B37">
        <f>B4</f>
        <v>98</v>
      </c>
      <c r="C37">
        <f t="shared" ref="C37:P37" si="45">C4</f>
        <v>348</v>
      </c>
      <c r="D37">
        <f t="shared" si="45"/>
        <v>62</v>
      </c>
      <c r="E37">
        <f t="shared" si="45"/>
        <v>233</v>
      </c>
      <c r="F37">
        <f t="shared" si="45"/>
        <v>119</v>
      </c>
      <c r="G37">
        <f t="shared" si="45"/>
        <v>85</v>
      </c>
      <c r="H37">
        <f t="shared" si="45"/>
        <v>51</v>
      </c>
      <c r="I37">
        <f t="shared" si="45"/>
        <v>55</v>
      </c>
      <c r="J37">
        <f t="shared" si="45"/>
        <v>94</v>
      </c>
      <c r="K37">
        <f t="shared" si="45"/>
        <v>198</v>
      </c>
      <c r="L37">
        <f t="shared" si="45"/>
        <v>69</v>
      </c>
      <c r="M37">
        <f t="shared" si="45"/>
        <v>148</v>
      </c>
      <c r="N37">
        <f t="shared" si="45"/>
        <v>55</v>
      </c>
      <c r="O37">
        <f t="shared" si="45"/>
        <v>82</v>
      </c>
      <c r="P37">
        <f t="shared" si="45"/>
        <v>120</v>
      </c>
    </row>
    <row r="38" spans="1:16" x14ac:dyDescent="0.2">
      <c r="A38" s="3" t="s">
        <v>47</v>
      </c>
      <c r="B38">
        <f>B37/B41</f>
        <v>0.52833036821391988</v>
      </c>
      <c r="C38">
        <f t="shared" ref="C38:P38" si="46">C37/C41</f>
        <v>1.8849528761780956</v>
      </c>
      <c r="D38">
        <f t="shared" si="46"/>
        <v>0.33277870216306155</v>
      </c>
      <c r="E38">
        <f t="shared" si="46"/>
        <v>1.225993159694817</v>
      </c>
      <c r="F38">
        <f t="shared" si="46"/>
        <v>0.62909706068936355</v>
      </c>
      <c r="G38">
        <f t="shared" si="46"/>
        <v>0.45195937682777693</v>
      </c>
      <c r="H38">
        <f t="shared" si="46"/>
        <v>0.27271268916100744</v>
      </c>
      <c r="I38">
        <f t="shared" si="46"/>
        <v>0.29552415238299928</v>
      </c>
      <c r="J38">
        <f t="shared" si="46"/>
        <v>0.49772318119241765</v>
      </c>
      <c r="K38">
        <f t="shared" si="46"/>
        <v>1.0800785511673576</v>
      </c>
      <c r="L38">
        <f t="shared" si="46"/>
        <v>0.37653478854024558</v>
      </c>
      <c r="M38">
        <f t="shared" si="46"/>
        <v>0.80737548415252847</v>
      </c>
      <c r="N38">
        <f t="shared" si="46"/>
        <v>0.29884807650510758</v>
      </c>
      <c r="O38">
        <f t="shared" si="46"/>
        <v>0.42652795838751628</v>
      </c>
      <c r="P38">
        <f t="shared" si="46"/>
        <v>0.65530799475753598</v>
      </c>
    </row>
    <row r="39" spans="1:16" x14ac:dyDescent="0.2">
      <c r="A39" s="3" t="s">
        <v>46</v>
      </c>
      <c r="B39">
        <f>AVERAGE(B38:D38)</f>
        <v>0.91535398218502573</v>
      </c>
      <c r="E39">
        <f t="shared" ref="E39" si="47">AVERAGE(E38:G38)</f>
        <v>0.76901653240398582</v>
      </c>
      <c r="H39">
        <f t="shared" ref="H39" si="48">AVERAGE(H38:J38)</f>
        <v>0.35532000757880811</v>
      </c>
      <c r="K39">
        <f t="shared" ref="K39" si="49">AVERAGE(K38:M38)</f>
        <v>0.75466294128671052</v>
      </c>
      <c r="N39">
        <f t="shared" ref="N39" si="50">AVERAGE(N38:P38)</f>
        <v>0.46022800988338664</v>
      </c>
    </row>
    <row r="40" spans="1:16" x14ac:dyDescent="0.2">
      <c r="A40" s="3" t="s">
        <v>48</v>
      </c>
      <c r="B40">
        <f>STDEV(B38:D38)</f>
        <v>0.8453707026791587</v>
      </c>
      <c r="E40">
        <f>STDEV(E41:G41)</f>
        <v>0.99168207270947017</v>
      </c>
      <c r="H40">
        <f>STDEV(H41:J41)</f>
        <v>1.4020817855365431</v>
      </c>
      <c r="K40">
        <f>STDEV(K41:M41)</f>
        <v>3.7859388971999919E-2</v>
      </c>
      <c r="N40">
        <f>STDEV(N41:P41)</f>
        <v>5.0267186115795264</v>
      </c>
    </row>
    <row r="41" spans="1:16" x14ac:dyDescent="0.2">
      <c r="A41" s="3" t="s">
        <v>43</v>
      </c>
      <c r="B41" s="1">
        <v>185.49</v>
      </c>
      <c r="C41" s="1">
        <v>184.62</v>
      </c>
      <c r="D41" s="1">
        <v>186.31</v>
      </c>
      <c r="E41" s="1">
        <v>190.05</v>
      </c>
      <c r="F41" s="1">
        <v>189.16</v>
      </c>
      <c r="G41" s="1">
        <v>188.07</v>
      </c>
      <c r="H41" s="1">
        <v>187.01</v>
      </c>
      <c r="I41" s="1">
        <v>186.11</v>
      </c>
      <c r="J41" s="1">
        <v>188.86</v>
      </c>
      <c r="K41" s="1">
        <v>183.32</v>
      </c>
      <c r="L41" s="1">
        <v>183.25</v>
      </c>
      <c r="M41" s="1">
        <v>183.31</v>
      </c>
      <c r="N41" s="1">
        <v>184.04</v>
      </c>
      <c r="O41" s="1">
        <v>192.25</v>
      </c>
      <c r="P41" s="1">
        <v>183.12</v>
      </c>
    </row>
    <row r="42" spans="1:16" x14ac:dyDescent="0.2">
      <c r="A42" s="3"/>
    </row>
    <row r="43" spans="1:16" x14ac:dyDescent="0.2">
      <c r="A43" s="3" t="s">
        <v>39</v>
      </c>
      <c r="B43" s="1">
        <v>99</v>
      </c>
      <c r="C43" s="1">
        <v>115</v>
      </c>
      <c r="D43" s="1">
        <v>13</v>
      </c>
    </row>
    <row r="44" spans="1:16" x14ac:dyDescent="0.2">
      <c r="A44" s="3" t="s">
        <v>40</v>
      </c>
      <c r="B44">
        <f>AVERAGE(B43:D43)</f>
        <v>75.666666666666671</v>
      </c>
    </row>
    <row r="45" spans="1:16" x14ac:dyDescent="0.2">
      <c r="A45" s="3" t="s">
        <v>45</v>
      </c>
      <c r="B45">
        <f>STDEV(B43:D43)</f>
        <v>54.857390872455227</v>
      </c>
    </row>
    <row r="46" spans="1:16" x14ac:dyDescent="0.2">
      <c r="A46" s="3"/>
    </row>
    <row r="47" spans="1:16" x14ac:dyDescent="0.2">
      <c r="A47" s="3" t="s">
        <v>51</v>
      </c>
      <c r="B47">
        <f>(AVERAGE(B3:D3))-$B$44</f>
        <v>1170.6666666666665</v>
      </c>
      <c r="E47">
        <f t="shared" ref="E47" si="51">(AVERAGE(E3:G3))-$B$44</f>
        <v>12584.666666666668</v>
      </c>
      <c r="H47">
        <f t="shared" ref="H47" si="52">(AVERAGE(H3:J3))-$B$44</f>
        <v>1991.6666666666667</v>
      </c>
      <c r="K47">
        <f>(AVERAGE(K3:M3))-$B$44</f>
        <v>579.66666666666674</v>
      </c>
      <c r="N47">
        <f t="shared" ref="N47" si="53">(AVERAGE(N3:P3))-$B$44</f>
        <v>2574.666666666667</v>
      </c>
    </row>
    <row r="48" spans="1:16" x14ac:dyDescent="0.2">
      <c r="A48" s="3" t="s">
        <v>52</v>
      </c>
      <c r="B48">
        <f>(STDEV(B3:D3))</f>
        <v>1152.0765310227152</v>
      </c>
      <c r="E48">
        <f t="shared" ref="E48" si="54">(STDEV(E3:G3))</f>
        <v>4743.8656529599721</v>
      </c>
      <c r="H48">
        <f t="shared" ref="H48" si="55">(STDEV(H3:J3))</f>
        <v>1835.2717328323163</v>
      </c>
      <c r="K48">
        <f>(STDEV(K3:M3))</f>
        <v>574.16838412902302</v>
      </c>
      <c r="N48">
        <f t="shared" ref="N48" si="56">(STDEV(N3:P3))</f>
        <v>1839.7207215589365</v>
      </c>
    </row>
    <row r="49" spans="1:14" x14ac:dyDescent="0.2">
      <c r="A49" s="3" t="s">
        <v>53</v>
      </c>
      <c r="B49">
        <f>SQRT(($B$45^2)+(B48^2))</f>
        <v>1153.3818390570689</v>
      </c>
      <c r="E49">
        <f t="shared" ref="E49" si="57">SQRT(($B$45^2)+(E48^2))</f>
        <v>4744.1828239083152</v>
      </c>
      <c r="H49">
        <f t="shared" ref="H49" si="58">SQRT(($B$45^2)+(H48^2))</f>
        <v>1836.0914102153702</v>
      </c>
      <c r="K49">
        <f t="shared" ref="K49" si="59">SQRT(($B$45^2)+(K48^2))</f>
        <v>576.78303257521941</v>
      </c>
      <c r="N49">
        <f t="shared" ref="N49" si="60">SQRT(($B$45^2)+(N48^2))</f>
        <v>1840.5384176014006</v>
      </c>
    </row>
    <row r="50" spans="1:14" x14ac:dyDescent="0.2">
      <c r="A50" s="3" t="s">
        <v>54</v>
      </c>
      <c r="B50">
        <f>B49/(AVERAGE(B31:D31))</f>
        <v>6.1035785172441894</v>
      </c>
      <c r="E50">
        <f>E49/(AVERAGE(E31:G31))</f>
        <v>25.71134039535433</v>
      </c>
      <c r="H50">
        <f t="shared" ref="H50" si="61">H49/(AVERAGE(H31:J31))</f>
        <v>9.7581734463453156</v>
      </c>
      <c r="K50">
        <f>K49/(AVERAGE(K31:M31))</f>
        <v>3.1681511209434019</v>
      </c>
      <c r="N50">
        <f t="shared" ref="N50" si="62">N49/(AVERAGE(N31:P31))</f>
        <v>10.152827531128439</v>
      </c>
    </row>
    <row r="51" spans="1:14" x14ac:dyDescent="0.2">
      <c r="A51" s="3" t="s">
        <v>55</v>
      </c>
      <c r="B51">
        <f>B47/AVERAGE(B31:D31)</f>
        <v>6.1950480539575983</v>
      </c>
      <c r="E51">
        <f>E47/AVERAGE(E31:G31)</f>
        <v>68.203241830839914</v>
      </c>
      <c r="H51">
        <f>H47/AVERAGE(H31:J31)</f>
        <v>10.585000655472847</v>
      </c>
      <c r="K51">
        <f>K47/AVERAGE(K31:M31)</f>
        <v>3.1839903326803007</v>
      </c>
      <c r="N51">
        <f t="shared" ref="N51" si="63">N47/AVERAGE(N31:P31)</f>
        <v>14.202445527259357</v>
      </c>
    </row>
    <row r="52" spans="1:14" x14ac:dyDescent="0.2">
      <c r="A52" s="3"/>
    </row>
    <row r="53" spans="1:14" x14ac:dyDescent="0.2">
      <c r="A53" s="3" t="s">
        <v>56</v>
      </c>
      <c r="B53">
        <f>B51-B38</f>
        <v>5.6667176857436781</v>
      </c>
      <c r="E53">
        <f t="shared" ref="E53" si="64">E51-E38</f>
        <v>66.977248671145091</v>
      </c>
      <c r="H53">
        <f t="shared" ref="H53" si="65">H51-H38</f>
        <v>10.312287966311839</v>
      </c>
      <c r="K53">
        <f>K51-K38</f>
        <v>2.1039117815129433</v>
      </c>
      <c r="N53">
        <f t="shared" ref="N53" si="66">N51-N38</f>
        <v>13.903597450754249</v>
      </c>
    </row>
    <row r="54" spans="1:14" ht="17" x14ac:dyDescent="0.2">
      <c r="A54" s="8" t="s">
        <v>57</v>
      </c>
      <c r="B54">
        <f>SQRT((B40^2)+(B50^2))</f>
        <v>6.1618440698473558</v>
      </c>
      <c r="E54">
        <f t="shared" ref="E54" si="67">SQRT((E40^2)+(E50^2))</f>
        <v>25.730457793422811</v>
      </c>
      <c r="H54">
        <f t="shared" ref="H54" si="68">SQRT((H40^2)+(H50^2))</f>
        <v>9.8583863964795047</v>
      </c>
      <c r="K54">
        <f t="shared" ref="K54" si="69">SQRT((K40^2)+(K50^2))</f>
        <v>3.1683773226161471</v>
      </c>
      <c r="N54">
        <f t="shared" ref="N54" si="70">SQRT((N40^2)+(N50^2))</f>
        <v>11.329069109015073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Santos</dc:creator>
  <cp:lastModifiedBy>Guadalupe Santos</cp:lastModifiedBy>
  <dcterms:created xsi:type="dcterms:W3CDTF">2024-11-07T19:52:24Z</dcterms:created>
  <dcterms:modified xsi:type="dcterms:W3CDTF">2025-09-21T02:07:05Z</dcterms:modified>
</cp:coreProperties>
</file>