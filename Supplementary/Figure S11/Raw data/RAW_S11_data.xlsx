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Raw data for SI/SP-ICP-MS/raw data /"/>
    </mc:Choice>
  </mc:AlternateContent>
  <xr:revisionPtr revIDLastSave="0" documentId="13_ncr:1_{176C3E84-D8BA-4442-8724-DD78337582E7}" xr6:coauthVersionLast="47" xr6:coauthVersionMax="47" xr10:uidLastSave="{00000000-0000-0000-0000-000000000000}"/>
  <bookViews>
    <workbookView xWindow="3800" yWindow="3880" windowWidth="23040" windowHeight="16060" activeTab="1" xr2:uid="{76AAAA81-0066-BB4A-B0C3-FFD2D6BAAD40}"/>
  </bookViews>
  <sheets>
    <sheet name="ALL data" sheetId="1" r:id="rId1"/>
    <sheet name="t = 2" sheetId="2" r:id="rId2"/>
    <sheet name="t=4" sheetId="3" r:id="rId3"/>
    <sheet name="t=6" sheetId="4" r:id="rId4"/>
    <sheet name="Sizes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E16" i="5"/>
  <c r="E24" i="5"/>
  <c r="E21" i="5"/>
  <c r="E23" i="5"/>
  <c r="E19" i="5"/>
  <c r="E15" i="5"/>
  <c r="E13" i="5"/>
  <c r="E11" i="5"/>
  <c r="E7" i="5"/>
  <c r="E5" i="5"/>
  <c r="E3" i="5"/>
  <c r="P49" i="2"/>
  <c r="L49" i="2"/>
  <c r="K49" i="2"/>
  <c r="K40" i="2"/>
  <c r="L40" i="2"/>
  <c r="P40" i="2" s="1"/>
  <c r="N40" i="2"/>
  <c r="K43" i="2"/>
  <c r="L43" i="2"/>
  <c r="P43" i="2" s="1"/>
  <c r="N43" i="2"/>
  <c r="K46" i="2"/>
  <c r="L46" i="2"/>
  <c r="P46" i="2" s="1"/>
  <c r="N46" i="2"/>
  <c r="N49" i="2"/>
  <c r="K37" i="2"/>
  <c r="L37" i="2"/>
  <c r="P37" i="2" s="1"/>
  <c r="N37" i="2"/>
  <c r="L13" i="2"/>
  <c r="P16" i="3"/>
  <c r="P19" i="3"/>
  <c r="P13" i="3"/>
  <c r="P13" i="2" l="1"/>
  <c r="K13" i="2"/>
  <c r="K13" i="3" l="1"/>
  <c r="N37" i="3" l="1"/>
  <c r="N34" i="3"/>
  <c r="N31" i="3"/>
  <c r="N28" i="3"/>
  <c r="N25" i="3"/>
  <c r="N22" i="3"/>
  <c r="N19" i="3"/>
  <c r="N16" i="3"/>
  <c r="N13" i="3"/>
  <c r="N16" i="2"/>
  <c r="N19" i="2"/>
  <c r="N22" i="2"/>
  <c r="N25" i="2"/>
  <c r="N28" i="2"/>
  <c r="N31" i="2"/>
  <c r="N34" i="2"/>
  <c r="N13" i="2"/>
  <c r="K7" i="4"/>
  <c r="K10" i="4"/>
  <c r="K22" i="4"/>
  <c r="K25" i="4"/>
  <c r="K28" i="4"/>
  <c r="K31" i="4"/>
  <c r="K34" i="4"/>
  <c r="K37" i="4"/>
  <c r="L4" i="4"/>
  <c r="K4" i="4"/>
  <c r="L7" i="4"/>
  <c r="L10" i="4"/>
  <c r="L22" i="4"/>
  <c r="L25" i="4"/>
  <c r="L28" i="4"/>
  <c r="L31" i="4"/>
  <c r="L34" i="4"/>
  <c r="L37" i="4"/>
  <c r="L7" i="2"/>
  <c r="L10" i="2"/>
  <c r="L16" i="2"/>
  <c r="P16" i="2" s="1"/>
  <c r="L19" i="2"/>
  <c r="P19" i="2" s="1"/>
  <c r="L22" i="2"/>
  <c r="L25" i="2"/>
  <c r="L28" i="2"/>
  <c r="L31" i="2"/>
  <c r="P31" i="2" s="1"/>
  <c r="L34" i="2"/>
  <c r="P34" i="2" s="1"/>
  <c r="L4" i="2"/>
  <c r="L7" i="3"/>
  <c r="L10" i="3"/>
  <c r="L13" i="3"/>
  <c r="L16" i="3"/>
  <c r="L19" i="3"/>
  <c r="L22" i="3"/>
  <c r="L25" i="3"/>
  <c r="L28" i="3"/>
  <c r="L31" i="3"/>
  <c r="L34" i="3"/>
  <c r="L37" i="3"/>
  <c r="L4" i="3"/>
  <c r="K16" i="3"/>
  <c r="K19" i="3"/>
  <c r="K34" i="3" l="1"/>
  <c r="K37" i="3"/>
  <c r="K31" i="3"/>
  <c r="K34" i="2"/>
  <c r="K31" i="2"/>
  <c r="K4" i="2" l="1"/>
  <c r="K22" i="3"/>
  <c r="K10" i="3"/>
  <c r="K7" i="3"/>
  <c r="K4" i="3"/>
  <c r="K7" i="2"/>
  <c r="K10" i="2"/>
  <c r="K16" i="2"/>
  <c r="K19" i="2"/>
  <c r="K22" i="2"/>
  <c r="K25" i="2"/>
  <c r="K28" i="2"/>
  <c r="K25" i="3"/>
  <c r="K28" i="3"/>
  <c r="J13" i="4"/>
  <c r="J16" i="4"/>
  <c r="J19" i="4"/>
  <c r="K13" i="4" l="1"/>
  <c r="L13" i="4"/>
  <c r="L19" i="4"/>
  <c r="K19" i="4"/>
  <c r="L16" i="4"/>
  <c r="K16" i="4"/>
</calcChain>
</file>

<file path=xl/sharedStrings.xml><?xml version="1.0" encoding="utf-8"?>
<sst xmlns="http://schemas.openxmlformats.org/spreadsheetml/2006/main" count="307" uniqueCount="159">
  <si>
    <t>Particle number</t>
  </si>
  <si>
    <t>Number error</t>
  </si>
  <si>
    <t>Number concentration</t>
  </si>
  <si>
    <t>Mass concentration</t>
  </si>
  <si>
    <t>Background</t>
  </si>
  <si>
    <t>Background error</t>
  </si>
  <si>
    <t>Ionic background</t>
  </si>
  <si>
    <t>2-1_4</t>
  </si>
  <si>
    <t>2-1_5</t>
  </si>
  <si>
    <t>2-1_6</t>
  </si>
  <si>
    <t>2-2_3</t>
  </si>
  <si>
    <t>2-2_4</t>
  </si>
  <si>
    <t>2-2_5</t>
  </si>
  <si>
    <t>2-3_3</t>
  </si>
  <si>
    <t>2-3_4</t>
  </si>
  <si>
    <t>2-3_5</t>
  </si>
  <si>
    <t>6-19_1</t>
  </si>
  <si>
    <t>6-19_2</t>
  </si>
  <si>
    <t>6-19_0</t>
  </si>
  <si>
    <t>6-20_50x_1</t>
  </si>
  <si>
    <t>6-20_50x_2</t>
  </si>
  <si>
    <t>6-20_50x</t>
  </si>
  <si>
    <t>6-21_50x_1</t>
  </si>
  <si>
    <t>6-21_50x_2</t>
  </si>
  <si>
    <t>6-21_50x</t>
  </si>
  <si>
    <t>2-10_1</t>
  </si>
  <si>
    <t>2-10_2</t>
  </si>
  <si>
    <t>2-10_3</t>
  </si>
  <si>
    <t>2-11_1</t>
  </si>
  <si>
    <t>2-11_2</t>
  </si>
  <si>
    <t>2-11_0</t>
  </si>
  <si>
    <t>2-12_1</t>
  </si>
  <si>
    <t>2-12_2</t>
  </si>
  <si>
    <t>2-12_0</t>
  </si>
  <si>
    <t>4-10_1</t>
  </si>
  <si>
    <t>4-10_2</t>
  </si>
  <si>
    <t>4-10_3</t>
  </si>
  <si>
    <t>4-11_1</t>
  </si>
  <si>
    <t>4-11_2</t>
  </si>
  <si>
    <t>4-11_0</t>
  </si>
  <si>
    <t>4-12_1</t>
  </si>
  <si>
    <t>4-12_2</t>
  </si>
  <si>
    <t>4-12_0</t>
  </si>
  <si>
    <t>6-10_1</t>
  </si>
  <si>
    <t>6-10_2</t>
  </si>
  <si>
    <t>6-10_3</t>
  </si>
  <si>
    <t>6-11_1</t>
  </si>
  <si>
    <t>6-11_2</t>
  </si>
  <si>
    <t>6-11_0</t>
  </si>
  <si>
    <t>6-12_1</t>
  </si>
  <si>
    <t>6-12_2</t>
  </si>
  <si>
    <t>6-12_0</t>
  </si>
  <si>
    <t>2-19_8x_1</t>
  </si>
  <si>
    <t>2-19_8x_2</t>
  </si>
  <si>
    <t>2-19_8x</t>
  </si>
  <si>
    <t>2-20_8x_1</t>
  </si>
  <si>
    <t>2-20_8x_2</t>
  </si>
  <si>
    <t>2-20_8x</t>
  </si>
  <si>
    <t>2-21_8x_1</t>
  </si>
  <si>
    <t>2-21_8x_2</t>
  </si>
  <si>
    <t>2-21_8x</t>
  </si>
  <si>
    <t>4-1_8x_1</t>
  </si>
  <si>
    <t>4-1_8x_2</t>
  </si>
  <si>
    <t>4-1_8x</t>
  </si>
  <si>
    <t>4-2_8x_1</t>
  </si>
  <si>
    <t>4-2_8x_2</t>
  </si>
  <si>
    <t>4-2_8x</t>
  </si>
  <si>
    <t>4-3_8x_1</t>
  </si>
  <si>
    <t>4-3_8x_2</t>
  </si>
  <si>
    <t>4-3_8x</t>
  </si>
  <si>
    <t>6-1_10x_1</t>
  </si>
  <si>
    <t>6-1_10x_2</t>
  </si>
  <si>
    <t>6-1_10x</t>
  </si>
  <si>
    <t>6-10_3x_3</t>
  </si>
  <si>
    <t>6-10_3x_4</t>
  </si>
  <si>
    <t>6-10_3x_5</t>
  </si>
  <si>
    <t>6-11_3x_1</t>
  </si>
  <si>
    <t>6-11_3x_2</t>
  </si>
  <si>
    <t>6-11_3x</t>
  </si>
  <si>
    <t>6-12_3x_1</t>
  </si>
  <si>
    <t>6-12_3x_2</t>
  </si>
  <si>
    <t>6-12_3x</t>
  </si>
  <si>
    <t>6-2_10x_1</t>
  </si>
  <si>
    <t>6-2_10x_2</t>
  </si>
  <si>
    <t>6-2_10x</t>
  </si>
  <si>
    <t>6-3_10x_1</t>
  </si>
  <si>
    <t>6-3_10x_2</t>
  </si>
  <si>
    <t>6-3_10x</t>
  </si>
  <si>
    <t>4-19_20x_1</t>
  </si>
  <si>
    <t>4-19_20x_2</t>
  </si>
  <si>
    <t>4-19_20x</t>
  </si>
  <si>
    <t>4-20_20x_1</t>
  </si>
  <si>
    <t>4-20_20x_2</t>
  </si>
  <si>
    <t>4-20_20x</t>
  </si>
  <si>
    <t>4-21_20x_1</t>
  </si>
  <si>
    <t>4-21_20x_2</t>
  </si>
  <si>
    <t>4-21_20x</t>
  </si>
  <si>
    <t>Avg ionic bg</t>
  </si>
  <si>
    <t>6-19_1_50x</t>
  </si>
  <si>
    <t>6-19_2_50x</t>
  </si>
  <si>
    <t>6-19_0_50x</t>
  </si>
  <si>
    <t>H1-1</t>
  </si>
  <si>
    <t>H1-2</t>
  </si>
  <si>
    <t>H1-3</t>
  </si>
  <si>
    <t>FT1-1</t>
  </si>
  <si>
    <t>FT1-2</t>
  </si>
  <si>
    <t>FT1-3</t>
  </si>
  <si>
    <t>UVFT1-1</t>
  </si>
  <si>
    <t>UVFT1-2</t>
  </si>
  <si>
    <t>UVFT1-3</t>
  </si>
  <si>
    <t>t= 4</t>
  </si>
  <si>
    <t>C1-1</t>
  </si>
  <si>
    <t>C1-2</t>
  </si>
  <si>
    <t>C1-3</t>
  </si>
  <si>
    <t>UV1-1</t>
  </si>
  <si>
    <t>UV1-2</t>
  </si>
  <si>
    <t>UV1-3</t>
  </si>
  <si>
    <t>2-28_4x_1</t>
  </si>
  <si>
    <t>2-28_4x_2</t>
  </si>
  <si>
    <t>2-28_4x</t>
  </si>
  <si>
    <t>2-29_4x_1</t>
  </si>
  <si>
    <t>2-29_4x_2</t>
  </si>
  <si>
    <t>2-29_4x</t>
  </si>
  <si>
    <t>2-30_4x_1</t>
  </si>
  <si>
    <t>2-30_4x_2</t>
  </si>
  <si>
    <t>2-30_4x</t>
  </si>
  <si>
    <t>Dilution</t>
  </si>
  <si>
    <t>4-28_6x_1</t>
  </si>
  <si>
    <t>4-28_6x_2</t>
  </si>
  <si>
    <t>4-28_6x</t>
  </si>
  <si>
    <t>4-29_6x_1</t>
  </si>
  <si>
    <t>4-29_6x_2</t>
  </si>
  <si>
    <t>4-29_6x</t>
  </si>
  <si>
    <t>4-30_6x_1</t>
  </si>
  <si>
    <t>4-30_6x_2</t>
  </si>
  <si>
    <t>4-30_6x</t>
  </si>
  <si>
    <t>6-28_15x_1</t>
  </si>
  <si>
    <t>6-28_15x_2</t>
  </si>
  <si>
    <t>6-28_15x</t>
  </si>
  <si>
    <t>6-29_15x_1</t>
  </si>
  <si>
    <t>6-29_15x_2</t>
  </si>
  <si>
    <t>6-29_15x</t>
  </si>
  <si>
    <t>6-30_15x_1</t>
  </si>
  <si>
    <t>6-30_15x_2</t>
  </si>
  <si>
    <t>6-30_15x</t>
  </si>
  <si>
    <t xml:space="preserve">Avg number concentration </t>
  </si>
  <si>
    <t>Jar mL</t>
  </si>
  <si>
    <t>Paint weight</t>
  </si>
  <si>
    <t>Particles per g of paint</t>
  </si>
  <si>
    <t>Jar L</t>
  </si>
  <si>
    <t xml:space="preserve"> </t>
  </si>
  <si>
    <t>t= 2</t>
  </si>
  <si>
    <t>Mean</t>
  </si>
  <si>
    <t>Stdev</t>
  </si>
  <si>
    <t>Median</t>
  </si>
  <si>
    <t xml:space="preserve">Averaged </t>
  </si>
  <si>
    <t>FT</t>
  </si>
  <si>
    <t>C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</si>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</sst>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2"/>
      <color indexed="52"/>
      <name val="Aptos Narrow"/>
      <family val="2"/>
    </font>
    <font>
      <sz val="18"/>
      <color indexed="56"/>
      <name val="Aptos Display"/>
      <family val="2"/>
      <charset val="1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rial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7" borderId="0" applyNumberFormat="0" applyBorder="0" applyAlignment="0" applyProtection="0"/>
    <xf numFmtId="0" fontId="9" fillId="5" borderId="0" applyNumberFormat="0" applyBorder="0" applyAlignment="0" applyProtection="0"/>
    <xf numFmtId="0" fontId="10" fillId="3" borderId="5" applyNumberFormat="0" applyAlignment="0" applyProtection="0"/>
    <xf numFmtId="0" fontId="11" fillId="22" borderId="6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4" fillId="0" borderId="7" applyNumberFormat="0" applyFill="0" applyAlignment="0" applyProtection="0"/>
    <xf numFmtId="0" fontId="4" fillId="0" borderId="0" applyNumberFormat="0" applyFill="0" applyBorder="0" applyAlignment="0" applyProtection="0"/>
    <xf numFmtId="0" fontId="15" fillId="3" borderId="5" applyNumberFormat="0" applyAlignment="0" applyProtection="0"/>
    <xf numFmtId="0" fontId="5" fillId="0" borderId="3" applyNumberFormat="0" applyFill="0" applyAlignment="0" applyProtection="0"/>
    <xf numFmtId="0" fontId="16" fillId="23" borderId="0" applyNumberFormat="0" applyBorder="0" applyAlignment="0" applyProtection="0"/>
    <xf numFmtId="0" fontId="1" fillId="24" borderId="8" applyNumberFormat="0" applyFont="0" applyAlignment="0" applyProtection="0"/>
    <xf numFmtId="0" fontId="17" fillId="3" borderId="9" applyNumberFormat="0" applyAlignment="0" applyProtection="0"/>
    <xf numFmtId="0" fontId="6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16" fontId="0" fillId="0" borderId="0" xfId="0" applyNumberFormat="1"/>
    <xf numFmtId="0" fontId="20" fillId="0" borderId="0" xfId="0" applyFont="1"/>
    <xf numFmtId="0" fontId="21" fillId="0" borderId="0" xfId="0" applyFont="1"/>
    <xf numFmtId="0" fontId="23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uisantos/Documents/Tufenkji/Paints%20Project/Real%20experiment/Analysis/SP-ICP-MS/Theoretical%20calculations/2024-05-02_Tube_weights_SP-ICP-MS.xlsx" TargetMode="External"/><Relationship Id="rId1" Type="http://schemas.openxmlformats.org/officeDocument/2006/relationships/externalLinkPath" Target="/Users/duisantos/Documents/Tufenkji/Paints%20Project/Real%20experiment/Analysis/SP-ICP-MS/Theoretical%20calculations/2024-05-02_Tube_weights_SP-ICP-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 OF SAMPLES"/>
      <sheetName val="t = 0 weeks"/>
      <sheetName val="t = 2 weeks"/>
      <sheetName val="t = 4 weeks"/>
      <sheetName val="t = 6 weeks "/>
      <sheetName val="50x dilution"/>
      <sheetName val="dilutions"/>
    </sheetNames>
    <sheetDataSet>
      <sheetData sheetId="0"/>
      <sheetData sheetId="1"/>
      <sheetData sheetId="2"/>
      <sheetData sheetId="3"/>
      <sheetData sheetId="4"/>
      <sheetData sheetId="5"/>
      <sheetData sheetId="6">
        <row r="17">
          <cell r="E17">
            <v>6.7859999999999996</v>
          </cell>
          <cell r="F17">
            <v>8.8096999999999994</v>
          </cell>
          <cell r="G17">
            <v>12.7918</v>
          </cell>
        </row>
        <row r="18">
          <cell r="E18">
            <v>6.7579000000000002</v>
          </cell>
          <cell r="F18">
            <v>8.7910000000000004</v>
          </cell>
          <cell r="G18">
            <v>12.7982</v>
          </cell>
        </row>
        <row r="19">
          <cell r="E19">
            <v>6.7701000000000002</v>
          </cell>
          <cell r="F19">
            <v>8.7977000000000007</v>
          </cell>
          <cell r="G19">
            <v>12.795500000000001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C536-1D97-AD46-AB8B-3762024CEE9E}">
  <dimension ref="A1:H91"/>
  <sheetViews>
    <sheetView workbookViewId="0">
      <selection activeCell="D22" sqref="D22"/>
    </sheetView>
  </sheetViews>
  <sheetFormatPr baseColWidth="10" defaultRowHeight="16" x14ac:dyDescent="0.2"/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>
        <v>23</v>
      </c>
      <c r="C2">
        <v>4.7958315000000002</v>
      </c>
      <c r="D2">
        <v>31324705</v>
      </c>
      <c r="E2">
        <v>3.4020949999999999E-3</v>
      </c>
      <c r="F2">
        <v>17.005167</v>
      </c>
      <c r="G2">
        <v>5.1836976999999997</v>
      </c>
      <c r="H2">
        <v>7.0502351000000001</v>
      </c>
    </row>
    <row r="3" spans="1:8" x14ac:dyDescent="0.2">
      <c r="A3" t="s">
        <v>8</v>
      </c>
      <c r="B3">
        <v>30</v>
      </c>
      <c r="C3">
        <v>5.4772255999999997</v>
      </c>
      <c r="D3">
        <v>40858311</v>
      </c>
      <c r="E3">
        <v>4.5754589999999996E-3</v>
      </c>
      <c r="F3">
        <v>13.676218</v>
      </c>
      <c r="G3">
        <v>4.1809343999999999</v>
      </c>
      <c r="H3">
        <v>5.6700737999999999</v>
      </c>
    </row>
    <row r="4" spans="1:8" x14ac:dyDescent="0.2">
      <c r="A4" t="s">
        <v>9</v>
      </c>
      <c r="B4">
        <v>34</v>
      </c>
      <c r="C4">
        <v>5.8309518999999996</v>
      </c>
      <c r="D4">
        <v>46306086</v>
      </c>
      <c r="E4">
        <v>3.7747340000000001E-3</v>
      </c>
      <c r="F4">
        <v>17.178743000000001</v>
      </c>
      <c r="G4">
        <v>4.8170767000000003</v>
      </c>
      <c r="H4">
        <v>7.1221987000000002</v>
      </c>
    </row>
    <row r="5" spans="1:8" x14ac:dyDescent="0.2">
      <c r="A5" t="s">
        <v>10</v>
      </c>
      <c r="B5">
        <v>44</v>
      </c>
      <c r="C5">
        <v>6.6332496000000001</v>
      </c>
      <c r="D5">
        <v>59925523</v>
      </c>
      <c r="E5">
        <v>7.2531949999999996E-3</v>
      </c>
      <c r="F5">
        <v>19.477163000000001</v>
      </c>
      <c r="G5">
        <v>5.6304883999999999</v>
      </c>
      <c r="H5">
        <v>8.0751092</v>
      </c>
    </row>
    <row r="6" spans="1:8" x14ac:dyDescent="0.2">
      <c r="A6" t="s">
        <v>11</v>
      </c>
      <c r="B6">
        <v>52</v>
      </c>
      <c r="C6">
        <v>7.2111026000000003</v>
      </c>
      <c r="D6">
        <v>70821072</v>
      </c>
      <c r="E6">
        <v>5.5808990000000003E-3</v>
      </c>
      <c r="F6">
        <v>15.868193</v>
      </c>
      <c r="G6">
        <v>4.5423856000000002</v>
      </c>
      <c r="H6">
        <v>6.5788526999999997</v>
      </c>
    </row>
    <row r="7" spans="1:8" x14ac:dyDescent="0.2">
      <c r="A7" t="s">
        <v>12</v>
      </c>
      <c r="B7">
        <v>39</v>
      </c>
      <c r="C7">
        <v>6.2449979999999998</v>
      </c>
      <c r="D7">
        <v>53115804</v>
      </c>
      <c r="E7">
        <v>4.9178599999999996E-3</v>
      </c>
      <c r="F7">
        <v>19.484635999999998</v>
      </c>
      <c r="G7">
        <v>5.1536045000000001</v>
      </c>
      <c r="H7">
        <v>8.0782074000000001</v>
      </c>
    </row>
    <row r="8" spans="1:8" x14ac:dyDescent="0.2">
      <c r="A8" t="s">
        <v>13</v>
      </c>
      <c r="B8">
        <v>133</v>
      </c>
      <c r="C8">
        <v>11.532563</v>
      </c>
      <c r="D8" s="1">
        <v>181138510</v>
      </c>
      <c r="E8">
        <v>4.2431166999999999E-2</v>
      </c>
      <c r="F8">
        <v>39.540416999999998</v>
      </c>
      <c r="G8">
        <v>10.045541</v>
      </c>
      <c r="H8">
        <v>16.393208000000001</v>
      </c>
    </row>
    <row r="9" spans="1:8" x14ac:dyDescent="0.2">
      <c r="A9" t="s">
        <v>14</v>
      </c>
      <c r="B9">
        <v>244</v>
      </c>
      <c r="C9">
        <v>15.620499000000001</v>
      </c>
      <c r="D9" s="1">
        <v>332000000</v>
      </c>
      <c r="E9">
        <v>6.3876767000000001E-2</v>
      </c>
      <c r="F9">
        <v>37.730708999999997</v>
      </c>
      <c r="G9">
        <v>9.1606635999999995</v>
      </c>
      <c r="H9">
        <v>15.642913999999999</v>
      </c>
    </row>
    <row r="10" spans="1:8" x14ac:dyDescent="0.2">
      <c r="A10" t="s">
        <v>15</v>
      </c>
      <c r="B10">
        <v>163</v>
      </c>
      <c r="C10">
        <v>12.767144999999999</v>
      </c>
      <c r="D10" s="1">
        <v>222000000</v>
      </c>
      <c r="E10">
        <v>5.1124619000000003E-2</v>
      </c>
      <c r="F10">
        <v>44.762486000000003</v>
      </c>
      <c r="G10">
        <v>10.19286</v>
      </c>
      <c r="H10">
        <v>18.558243999999998</v>
      </c>
    </row>
    <row r="11" spans="1:8" x14ac:dyDescent="0.2">
      <c r="A11" t="s">
        <v>16</v>
      </c>
      <c r="B11">
        <v>66</v>
      </c>
      <c r="C11">
        <v>8.1240383999999999</v>
      </c>
      <c r="D11">
        <v>89888284</v>
      </c>
      <c r="E11">
        <v>9.4508270999999998E-3</v>
      </c>
      <c r="F11">
        <v>3.3304505</v>
      </c>
      <c r="G11">
        <v>1.933206</v>
      </c>
      <c r="H11">
        <v>1.3807837999999999</v>
      </c>
    </row>
    <row r="12" spans="1:8" x14ac:dyDescent="0.2">
      <c r="A12" t="s">
        <v>17</v>
      </c>
      <c r="B12">
        <v>53</v>
      </c>
      <c r="C12">
        <v>7.2801099000000002</v>
      </c>
      <c r="D12">
        <v>72183016</v>
      </c>
      <c r="E12">
        <v>5.9357159000000001E-3</v>
      </c>
      <c r="F12">
        <v>3.7217734</v>
      </c>
      <c r="G12">
        <v>2.041223</v>
      </c>
      <c r="H12">
        <v>1.5430238000000001</v>
      </c>
    </row>
    <row r="13" spans="1:8" x14ac:dyDescent="0.2">
      <c r="A13" s="2" t="s">
        <v>18</v>
      </c>
      <c r="B13">
        <v>82</v>
      </c>
      <c r="C13">
        <v>9.0553851000000005</v>
      </c>
      <c r="D13" s="1">
        <v>111679380</v>
      </c>
      <c r="E13">
        <v>1.1491883E-2</v>
      </c>
      <c r="F13">
        <v>4.0692306</v>
      </c>
      <c r="G13">
        <v>2.1991057000000001</v>
      </c>
      <c r="H13">
        <v>1.6870772999999999</v>
      </c>
    </row>
    <row r="14" spans="1:8" x14ac:dyDescent="0.2">
      <c r="A14" t="s">
        <v>19</v>
      </c>
      <c r="B14">
        <v>24</v>
      </c>
      <c r="C14">
        <v>4.8989795000000003</v>
      </c>
      <c r="D14">
        <v>32686649</v>
      </c>
      <c r="E14">
        <v>2.1969326000000002E-3</v>
      </c>
      <c r="F14">
        <v>2.905376</v>
      </c>
      <c r="G14">
        <v>1.7786090000000001</v>
      </c>
      <c r="H14">
        <v>1.2045505999999999</v>
      </c>
    </row>
    <row r="15" spans="1:8" x14ac:dyDescent="0.2">
      <c r="A15" t="s">
        <v>20</v>
      </c>
      <c r="B15">
        <v>17</v>
      </c>
      <c r="C15">
        <v>4.1231055999999997</v>
      </c>
      <c r="D15">
        <v>23153043</v>
      </c>
      <c r="E15">
        <v>3.8670979999999998E-3</v>
      </c>
      <c r="F15">
        <v>3.2598924999999999</v>
      </c>
      <c r="G15">
        <v>1.8963355</v>
      </c>
      <c r="H15">
        <v>1.3515309</v>
      </c>
    </row>
    <row r="16" spans="1:8" x14ac:dyDescent="0.2">
      <c r="A16" t="s">
        <v>21</v>
      </c>
      <c r="B16">
        <v>17</v>
      </c>
      <c r="C16">
        <v>4.1231055999999997</v>
      </c>
      <c r="D16">
        <v>23153043</v>
      </c>
      <c r="E16">
        <v>1.9519564000000001E-3</v>
      </c>
      <c r="F16">
        <v>3.6899259</v>
      </c>
      <c r="G16">
        <v>2.0754622999999999</v>
      </c>
      <c r="H16">
        <v>1.52982</v>
      </c>
    </row>
    <row r="17" spans="1:8" x14ac:dyDescent="0.2">
      <c r="A17" t="s">
        <v>22</v>
      </c>
      <c r="B17">
        <v>43</v>
      </c>
      <c r="C17">
        <v>6.5574384999999999</v>
      </c>
      <c r="D17" s="1">
        <v>117127390</v>
      </c>
      <c r="E17">
        <v>5.0203431E-2</v>
      </c>
      <c r="F17">
        <v>3.3770370000000001</v>
      </c>
      <c r="G17">
        <v>1.9428831</v>
      </c>
      <c r="H17">
        <v>1.4000983</v>
      </c>
    </row>
    <row r="18" spans="1:8" x14ac:dyDescent="0.2">
      <c r="A18" t="s">
        <v>23</v>
      </c>
      <c r="B18">
        <v>72</v>
      </c>
      <c r="C18">
        <v>8.4852813999999999</v>
      </c>
      <c r="D18">
        <v>98059946</v>
      </c>
      <c r="E18">
        <v>8.7803702000000001E-3</v>
      </c>
      <c r="F18">
        <v>3.4644094000000001</v>
      </c>
      <c r="G18">
        <v>1.9634088999999999</v>
      </c>
      <c r="H18">
        <v>1.4363223000000001</v>
      </c>
    </row>
    <row r="19" spans="1:8" x14ac:dyDescent="0.2">
      <c r="A19" t="s">
        <v>24</v>
      </c>
      <c r="B19">
        <v>38</v>
      </c>
      <c r="C19">
        <v>6.1644139999999998</v>
      </c>
      <c r="D19" s="1">
        <v>103507930</v>
      </c>
      <c r="E19">
        <v>1.4691765000000001E-2</v>
      </c>
      <c r="F19">
        <v>4.5262079000000002</v>
      </c>
      <c r="G19">
        <v>2.2557537999999999</v>
      </c>
      <c r="H19">
        <v>1.8765373000000001</v>
      </c>
    </row>
    <row r="20" spans="1:8" x14ac:dyDescent="0.2">
      <c r="A20" t="s">
        <v>25</v>
      </c>
      <c r="B20">
        <v>4010</v>
      </c>
      <c r="C20">
        <v>63.324561000000003</v>
      </c>
      <c r="D20" s="1">
        <v>5461394200</v>
      </c>
      <c r="E20">
        <v>0.55444771999999998</v>
      </c>
      <c r="F20">
        <v>10.788698</v>
      </c>
      <c r="G20">
        <v>5.2003221999999996</v>
      </c>
      <c r="H20">
        <v>4.4729263000000001</v>
      </c>
    </row>
    <row r="21" spans="1:8" x14ac:dyDescent="0.2">
      <c r="A21" t="s">
        <v>26</v>
      </c>
      <c r="B21">
        <v>3727</v>
      </c>
      <c r="C21">
        <v>61.049160999999998</v>
      </c>
      <c r="D21" s="1">
        <v>5075964200</v>
      </c>
      <c r="E21">
        <v>0.46559848999999998</v>
      </c>
      <c r="F21">
        <v>7.5488261999999997</v>
      </c>
      <c r="G21">
        <v>4.2253489000000002</v>
      </c>
      <c r="H21">
        <v>3.1296957999999999</v>
      </c>
    </row>
    <row r="22" spans="1:8" x14ac:dyDescent="0.2">
      <c r="A22" t="s">
        <v>27</v>
      </c>
      <c r="B22">
        <v>3887</v>
      </c>
      <c r="C22">
        <v>62.34581</v>
      </c>
      <c r="D22" s="1">
        <v>5293875200</v>
      </c>
      <c r="E22">
        <v>0.44850477</v>
      </c>
      <c r="F22">
        <v>7.3965597000000001</v>
      </c>
      <c r="G22">
        <v>4.1116042000000004</v>
      </c>
      <c r="H22">
        <v>3.066567</v>
      </c>
    </row>
    <row r="23" spans="1:8" x14ac:dyDescent="0.2">
      <c r="A23" t="s">
        <v>28</v>
      </c>
      <c r="B23">
        <v>990</v>
      </c>
      <c r="C23">
        <v>31.464265000000001</v>
      </c>
      <c r="D23" s="1">
        <v>1348324300</v>
      </c>
      <c r="E23">
        <v>0.12000461</v>
      </c>
      <c r="F23">
        <v>4.0458698000000002</v>
      </c>
      <c r="G23">
        <v>2.3753662000000002</v>
      </c>
      <c r="H23">
        <v>1.6773921000000001</v>
      </c>
    </row>
    <row r="24" spans="1:8" x14ac:dyDescent="0.2">
      <c r="A24" t="s">
        <v>29</v>
      </c>
      <c r="B24">
        <v>1009</v>
      </c>
      <c r="C24">
        <v>31.764759999999999</v>
      </c>
      <c r="D24" s="1">
        <v>1374201200</v>
      </c>
      <c r="E24">
        <v>0.10969669999999999</v>
      </c>
      <c r="F24">
        <v>4.3240122999999997</v>
      </c>
      <c r="G24">
        <v>2.4297263999999998</v>
      </c>
      <c r="H24">
        <v>1.7927082000000001</v>
      </c>
    </row>
    <row r="25" spans="1:8" x14ac:dyDescent="0.2">
      <c r="A25" s="2" t="s">
        <v>30</v>
      </c>
      <c r="B25">
        <v>1057</v>
      </c>
      <c r="C25">
        <v>32.511536</v>
      </c>
      <c r="D25" s="1">
        <v>1439574500</v>
      </c>
      <c r="E25">
        <v>0.13013345000000001</v>
      </c>
      <c r="F25">
        <v>6.2279543999999998</v>
      </c>
      <c r="G25">
        <v>3.1002936000000001</v>
      </c>
      <c r="H25">
        <v>2.5820706000000002</v>
      </c>
    </row>
    <row r="26" spans="1:8" x14ac:dyDescent="0.2">
      <c r="A26" t="s">
        <v>31</v>
      </c>
      <c r="B26">
        <v>1697</v>
      </c>
      <c r="C26">
        <v>41.194659999999999</v>
      </c>
      <c r="D26" s="1">
        <v>2311218500</v>
      </c>
      <c r="E26">
        <v>0.25600791000000001</v>
      </c>
      <c r="F26">
        <v>6.4109186999999999</v>
      </c>
      <c r="G26">
        <v>3.0917086999999999</v>
      </c>
      <c r="H26">
        <v>2.6579264999999999</v>
      </c>
    </row>
    <row r="27" spans="1:8" x14ac:dyDescent="0.2">
      <c r="A27" t="s">
        <v>32</v>
      </c>
      <c r="B27">
        <v>1764</v>
      </c>
      <c r="C27">
        <v>42</v>
      </c>
      <c r="D27" s="1">
        <v>2400000000</v>
      </c>
      <c r="E27">
        <v>0.27280588</v>
      </c>
      <c r="F27">
        <v>7.2392944999999997</v>
      </c>
      <c r="G27">
        <v>3.2686145</v>
      </c>
      <c r="H27">
        <v>3.0013659000000001</v>
      </c>
    </row>
    <row r="28" spans="1:8" x14ac:dyDescent="0.2">
      <c r="A28" s="2" t="s">
        <v>33</v>
      </c>
      <c r="B28">
        <v>1819</v>
      </c>
      <c r="C28">
        <v>42.649735999999997</v>
      </c>
      <c r="D28" s="1">
        <v>2477375600</v>
      </c>
      <c r="E28">
        <v>0.34318051999999999</v>
      </c>
      <c r="F28">
        <v>9.6790561999999998</v>
      </c>
      <c r="G28">
        <v>4.0808239000000004</v>
      </c>
      <c r="H28">
        <v>4.0128757000000004</v>
      </c>
    </row>
    <row r="29" spans="1:8" x14ac:dyDescent="0.2">
      <c r="A29" t="s">
        <v>34</v>
      </c>
      <c r="B29">
        <v>389</v>
      </c>
      <c r="C29">
        <v>19.723082999999999</v>
      </c>
      <c r="D29" s="1">
        <v>529796100</v>
      </c>
      <c r="E29">
        <v>0.12306420999999999</v>
      </c>
      <c r="F29">
        <v>12.579896</v>
      </c>
      <c r="G29">
        <v>5.6714544</v>
      </c>
      <c r="H29">
        <v>5.2155455999999996</v>
      </c>
    </row>
    <row r="30" spans="1:8" x14ac:dyDescent="0.2">
      <c r="A30" t="s">
        <v>35</v>
      </c>
      <c r="B30">
        <v>1753</v>
      </c>
      <c r="C30">
        <v>41.868842999999998</v>
      </c>
      <c r="D30" s="1">
        <v>2387487300</v>
      </c>
      <c r="E30">
        <v>0.21450778000000001</v>
      </c>
      <c r="F30">
        <v>8.3228072999999991</v>
      </c>
      <c r="G30">
        <v>3.9424828999999999</v>
      </c>
      <c r="H30">
        <v>3.4505835</v>
      </c>
    </row>
    <row r="31" spans="1:8" x14ac:dyDescent="0.2">
      <c r="A31" t="s">
        <v>36</v>
      </c>
      <c r="B31">
        <v>1651</v>
      </c>
      <c r="C31">
        <v>40.632499000000003</v>
      </c>
      <c r="D31" s="1">
        <v>2248569000</v>
      </c>
      <c r="E31">
        <v>0.20885295000000001</v>
      </c>
      <c r="F31">
        <v>8.7797155</v>
      </c>
      <c r="G31">
        <v>4.0933371000000003</v>
      </c>
      <c r="H31">
        <v>3.6400147</v>
      </c>
    </row>
    <row r="32" spans="1:8" x14ac:dyDescent="0.2">
      <c r="A32" t="s">
        <v>37</v>
      </c>
      <c r="B32">
        <v>423</v>
      </c>
      <c r="C32">
        <v>20.566963999999999</v>
      </c>
      <c r="D32" s="1">
        <v>576102180</v>
      </c>
      <c r="E32">
        <v>4.5881394999999998E-2</v>
      </c>
      <c r="F32">
        <v>4.6319679999999996</v>
      </c>
      <c r="G32">
        <v>2.3890948000000001</v>
      </c>
      <c r="H32">
        <v>1.9203847999999999</v>
      </c>
    </row>
    <row r="33" spans="1:8" x14ac:dyDescent="0.2">
      <c r="A33" t="s">
        <v>38</v>
      </c>
      <c r="B33">
        <v>446</v>
      </c>
      <c r="C33">
        <v>21.118711999999999</v>
      </c>
      <c r="D33" s="1">
        <v>607426890</v>
      </c>
      <c r="E33">
        <v>4.7153190999999997E-2</v>
      </c>
      <c r="F33">
        <v>5.4440493999999999</v>
      </c>
      <c r="G33">
        <v>2.5919986000000002</v>
      </c>
      <c r="H33">
        <v>2.2570686000000002</v>
      </c>
    </row>
    <row r="34" spans="1:8" x14ac:dyDescent="0.2">
      <c r="A34" s="2" t="s">
        <v>39</v>
      </c>
      <c r="B34">
        <v>499</v>
      </c>
      <c r="C34">
        <v>22.338308000000001</v>
      </c>
      <c r="D34" s="1">
        <v>679609900</v>
      </c>
      <c r="E34">
        <v>5.2802025000000002E-2</v>
      </c>
      <c r="F34">
        <v>7.2336903000000001</v>
      </c>
      <c r="G34">
        <v>3.2060316000000002</v>
      </c>
      <c r="H34">
        <v>2.9990424</v>
      </c>
    </row>
    <row r="35" spans="1:8" x14ac:dyDescent="0.2">
      <c r="A35" t="s">
        <v>40</v>
      </c>
      <c r="B35">
        <v>273</v>
      </c>
      <c r="C35">
        <v>16.522711999999999</v>
      </c>
      <c r="D35" s="1">
        <v>371810630</v>
      </c>
      <c r="E35">
        <v>4.2210437000000003E-2</v>
      </c>
      <c r="F35">
        <v>6.1719588999999999</v>
      </c>
      <c r="G35">
        <v>2.7302289000000002</v>
      </c>
      <c r="H35">
        <v>2.5588552999999998</v>
      </c>
    </row>
    <row r="36" spans="1:8" x14ac:dyDescent="0.2">
      <c r="A36" t="s">
        <v>41</v>
      </c>
      <c r="B36">
        <v>224</v>
      </c>
      <c r="C36">
        <v>14.96663</v>
      </c>
      <c r="D36" s="1">
        <v>305075390</v>
      </c>
      <c r="E36">
        <v>3.5165122E-2</v>
      </c>
      <c r="F36">
        <v>7.4946660999999999</v>
      </c>
      <c r="G36">
        <v>3.0298251999999999</v>
      </c>
      <c r="H36">
        <v>3.1072413000000001</v>
      </c>
    </row>
    <row r="37" spans="1:8" x14ac:dyDescent="0.2">
      <c r="A37" s="2" t="s">
        <v>42</v>
      </c>
      <c r="B37">
        <v>308</v>
      </c>
      <c r="C37">
        <v>17.549928999999999</v>
      </c>
      <c r="D37" s="1">
        <v>419478660</v>
      </c>
      <c r="E37">
        <v>4.1130645E-2</v>
      </c>
      <c r="F37">
        <v>9.3656205999999997</v>
      </c>
      <c r="G37">
        <v>3.6995779999999998</v>
      </c>
      <c r="H37">
        <v>3.8829273</v>
      </c>
    </row>
    <row r="38" spans="1:8" x14ac:dyDescent="0.2">
      <c r="A38" t="s">
        <v>43</v>
      </c>
      <c r="B38">
        <v>195</v>
      </c>
      <c r="C38">
        <v>13.96424</v>
      </c>
      <c r="D38" s="1">
        <v>265579020</v>
      </c>
      <c r="E38">
        <v>2.7104208000000001E-2</v>
      </c>
      <c r="F38">
        <v>10.746111000000001</v>
      </c>
      <c r="G38">
        <v>3.9338910999999999</v>
      </c>
      <c r="H38">
        <v>4.4552699000000002</v>
      </c>
    </row>
    <row r="39" spans="1:8" x14ac:dyDescent="0.2">
      <c r="A39" t="s">
        <v>44</v>
      </c>
      <c r="B39">
        <v>176</v>
      </c>
      <c r="C39">
        <v>13.266499</v>
      </c>
      <c r="D39" s="1">
        <v>239702090</v>
      </c>
      <c r="E39">
        <v>2.2179662999999999E-2</v>
      </c>
      <c r="F39">
        <v>7.6509032000000001</v>
      </c>
      <c r="G39">
        <v>3.0778376999999999</v>
      </c>
      <c r="H39">
        <v>3.1720163000000001</v>
      </c>
    </row>
    <row r="40" spans="1:8" x14ac:dyDescent="0.2">
      <c r="A40" t="s">
        <v>45</v>
      </c>
      <c r="B40">
        <v>226</v>
      </c>
      <c r="C40">
        <v>15.033296</v>
      </c>
      <c r="D40" s="1">
        <v>307799280</v>
      </c>
      <c r="E40">
        <v>2.9513326999999999E-2</v>
      </c>
      <c r="F40">
        <v>9.2775431000000008</v>
      </c>
      <c r="G40">
        <v>3.3829737</v>
      </c>
      <c r="H40">
        <v>3.8464109</v>
      </c>
    </row>
    <row r="41" spans="1:8" x14ac:dyDescent="0.2">
      <c r="A41" t="s">
        <v>46</v>
      </c>
      <c r="B41">
        <v>188</v>
      </c>
      <c r="C41">
        <v>13.711309</v>
      </c>
      <c r="D41" s="1">
        <v>256045420</v>
      </c>
      <c r="E41">
        <v>2.8686544000000001E-2</v>
      </c>
      <c r="F41">
        <v>12.656744</v>
      </c>
      <c r="G41">
        <v>4.2274970999999999</v>
      </c>
      <c r="H41">
        <v>5.2474062999999997</v>
      </c>
    </row>
    <row r="42" spans="1:8" x14ac:dyDescent="0.2">
      <c r="A42" t="s">
        <v>47</v>
      </c>
      <c r="B42">
        <v>131</v>
      </c>
      <c r="C42">
        <v>11.445523</v>
      </c>
      <c r="D42" s="1">
        <v>178414620</v>
      </c>
      <c r="E42">
        <v>3.0110258000000001E-2</v>
      </c>
      <c r="F42">
        <v>15.056993</v>
      </c>
      <c r="G42">
        <v>4.6655245000000001</v>
      </c>
      <c r="H42">
        <v>6.2425341999999997</v>
      </c>
    </row>
    <row r="43" spans="1:8" x14ac:dyDescent="0.2">
      <c r="A43" s="2" t="s">
        <v>48</v>
      </c>
      <c r="B43">
        <v>117</v>
      </c>
      <c r="C43">
        <v>10.816654</v>
      </c>
      <c r="D43" s="1">
        <v>159347410</v>
      </c>
      <c r="E43">
        <v>2.9232465999999999E-2</v>
      </c>
      <c r="F43">
        <v>16.801796</v>
      </c>
      <c r="G43">
        <v>5.1917128999999997</v>
      </c>
      <c r="H43">
        <v>6.9659186999999996</v>
      </c>
    </row>
    <row r="44" spans="1:8" x14ac:dyDescent="0.2">
      <c r="A44" t="s">
        <v>49</v>
      </c>
      <c r="B44">
        <v>136</v>
      </c>
      <c r="C44">
        <v>11.661904</v>
      </c>
      <c r="D44" s="1">
        <v>185224340</v>
      </c>
      <c r="E44">
        <v>2.6824654999999999E-2</v>
      </c>
      <c r="F44">
        <v>15.891780000000001</v>
      </c>
      <c r="G44">
        <v>4.6373614999999999</v>
      </c>
      <c r="H44">
        <v>6.5886317999999999</v>
      </c>
    </row>
    <row r="45" spans="1:8" x14ac:dyDescent="0.2">
      <c r="A45" t="s">
        <v>50</v>
      </c>
      <c r="B45">
        <v>147</v>
      </c>
      <c r="C45">
        <v>12.124356000000001</v>
      </c>
      <c r="D45" s="1">
        <v>200205720</v>
      </c>
      <c r="E45">
        <v>2.4125234999999998E-2</v>
      </c>
      <c r="F45">
        <v>18.943055999999999</v>
      </c>
      <c r="G45">
        <v>5.1797490000000002</v>
      </c>
      <c r="H45">
        <v>7.8536716999999996</v>
      </c>
    </row>
    <row r="46" spans="1:8" x14ac:dyDescent="0.2">
      <c r="A46" s="2" t="s">
        <v>51</v>
      </c>
      <c r="B46">
        <v>82</v>
      </c>
      <c r="C46">
        <v>9.0553851000000005</v>
      </c>
      <c r="D46" s="1">
        <v>111679380</v>
      </c>
      <c r="E46">
        <v>2.1832931999999999E-2</v>
      </c>
      <c r="F46">
        <v>20.671783000000001</v>
      </c>
      <c r="G46">
        <v>5.7553859000000003</v>
      </c>
      <c r="H46">
        <v>8.5703911000000002</v>
      </c>
    </row>
    <row r="47" spans="1:8" x14ac:dyDescent="0.2">
      <c r="A47" t="s">
        <v>52</v>
      </c>
      <c r="B47">
        <v>63</v>
      </c>
      <c r="C47">
        <v>7.9372539</v>
      </c>
      <c r="D47">
        <v>28098111</v>
      </c>
      <c r="E47">
        <v>6.2817506999999998E-3</v>
      </c>
      <c r="F47">
        <v>2.4250832</v>
      </c>
      <c r="G47">
        <v>1.6438831</v>
      </c>
      <c r="H47">
        <v>1.1073439</v>
      </c>
    </row>
    <row r="48" spans="1:8" x14ac:dyDescent="0.2">
      <c r="A48" t="s">
        <v>53</v>
      </c>
      <c r="B48">
        <v>52</v>
      </c>
      <c r="C48">
        <v>7.2111026000000003</v>
      </c>
      <c r="D48">
        <v>23192091</v>
      </c>
      <c r="E48">
        <v>8.2315284000000002E-3</v>
      </c>
      <c r="F48">
        <v>1.9870505000000001</v>
      </c>
      <c r="G48">
        <v>1.4659450000000001</v>
      </c>
      <c r="H48">
        <v>0.90732900999999999</v>
      </c>
    </row>
    <row r="49" spans="1:8" x14ac:dyDescent="0.2">
      <c r="A49" t="s">
        <v>54</v>
      </c>
      <c r="B49">
        <v>89</v>
      </c>
      <c r="C49">
        <v>9.4339811000000005</v>
      </c>
      <c r="D49">
        <v>39694156</v>
      </c>
      <c r="E49">
        <v>1.3883322E-2</v>
      </c>
      <c r="F49">
        <v>3.9142592</v>
      </c>
      <c r="G49">
        <v>2.1106064</v>
      </c>
      <c r="H49">
        <v>1.7873330000000001</v>
      </c>
    </row>
    <row r="50" spans="1:8" x14ac:dyDescent="0.2">
      <c r="A50" t="s">
        <v>55</v>
      </c>
      <c r="B50">
        <v>17</v>
      </c>
      <c r="C50">
        <v>4.1231055999999997</v>
      </c>
      <c r="D50">
        <v>7582030</v>
      </c>
      <c r="E50">
        <v>1.7719497999999999E-3</v>
      </c>
      <c r="F50">
        <v>1.8682137999999999</v>
      </c>
      <c r="G50">
        <v>1.4327098</v>
      </c>
      <c r="H50">
        <v>0.85306565000000001</v>
      </c>
    </row>
    <row r="51" spans="1:8" x14ac:dyDescent="0.2">
      <c r="A51" t="s">
        <v>56</v>
      </c>
      <c r="B51">
        <v>30</v>
      </c>
      <c r="C51">
        <v>5.4772255999999997</v>
      </c>
      <c r="D51">
        <v>13380053</v>
      </c>
      <c r="E51">
        <v>2.7546475E-3</v>
      </c>
      <c r="F51">
        <v>1.5285732000000001</v>
      </c>
      <c r="G51">
        <v>1.2769223000000001</v>
      </c>
      <c r="H51">
        <v>0.69797861000000005</v>
      </c>
    </row>
    <row r="52" spans="1:8" x14ac:dyDescent="0.2">
      <c r="A52" t="s">
        <v>57</v>
      </c>
      <c r="B52">
        <v>39</v>
      </c>
      <c r="C52">
        <v>6.2449979999999998</v>
      </c>
      <c r="D52">
        <v>17394068</v>
      </c>
      <c r="E52">
        <v>8.7906102999999996E-3</v>
      </c>
      <c r="F52">
        <v>3.1239753000000001</v>
      </c>
      <c r="G52">
        <v>1.8850992</v>
      </c>
      <c r="H52">
        <v>1.4264726999999999</v>
      </c>
    </row>
    <row r="53" spans="1:8" x14ac:dyDescent="0.2">
      <c r="A53" t="s">
        <v>58</v>
      </c>
      <c r="B53">
        <v>25</v>
      </c>
      <c r="C53">
        <v>5</v>
      </c>
      <c r="D53">
        <v>11150044</v>
      </c>
      <c r="E53">
        <v>2.3328379999999998E-3</v>
      </c>
      <c r="F53">
        <v>1.8604518999999999</v>
      </c>
      <c r="G53">
        <v>1.4225006</v>
      </c>
      <c r="H53">
        <v>0.84952143000000002</v>
      </c>
    </row>
    <row r="54" spans="1:8" x14ac:dyDescent="0.2">
      <c r="A54" t="s">
        <v>59</v>
      </c>
      <c r="B54">
        <v>21</v>
      </c>
      <c r="C54">
        <v>4.5825756999999996</v>
      </c>
      <c r="D54">
        <v>9366037</v>
      </c>
      <c r="E54">
        <v>2.3504024999999999E-3</v>
      </c>
      <c r="F54">
        <v>1.5077338</v>
      </c>
      <c r="G54">
        <v>1.2671319999999999</v>
      </c>
      <c r="H54">
        <v>0.68846293000000003</v>
      </c>
    </row>
    <row r="55" spans="1:8" x14ac:dyDescent="0.2">
      <c r="A55" t="s">
        <v>60</v>
      </c>
      <c r="B55">
        <v>17</v>
      </c>
      <c r="C55">
        <v>4.1231055999999997</v>
      </c>
      <c r="D55">
        <v>7582030</v>
      </c>
      <c r="E55">
        <v>2.0054029999999998E-3</v>
      </c>
      <c r="F55">
        <v>3.0611451000000001</v>
      </c>
      <c r="G55">
        <v>1.8542708999999999</v>
      </c>
      <c r="H55">
        <v>1.3977831000000001</v>
      </c>
    </row>
    <row r="56" spans="1:8" x14ac:dyDescent="0.2">
      <c r="A56" t="s">
        <v>61</v>
      </c>
      <c r="B56">
        <v>54</v>
      </c>
      <c r="C56">
        <v>7.3484692000000003</v>
      </c>
      <c r="D56">
        <v>24084095</v>
      </c>
      <c r="E56">
        <v>3.5379979000000001E-3</v>
      </c>
      <c r="F56">
        <v>1.6632872000000001</v>
      </c>
      <c r="G56">
        <v>1.4221083000000001</v>
      </c>
      <c r="H56">
        <v>0.75949186000000002</v>
      </c>
    </row>
    <row r="57" spans="1:8" x14ac:dyDescent="0.2">
      <c r="A57" t="s">
        <v>62</v>
      </c>
      <c r="B57">
        <v>61</v>
      </c>
      <c r="C57">
        <v>7.8102497</v>
      </c>
      <c r="D57">
        <v>27206107</v>
      </c>
      <c r="E57">
        <v>4.8215165999999999E-3</v>
      </c>
      <c r="F57">
        <v>1.5086819</v>
      </c>
      <c r="G57">
        <v>1.3510876000000001</v>
      </c>
      <c r="H57">
        <v>0.68889584000000004</v>
      </c>
    </row>
    <row r="58" spans="1:8" x14ac:dyDescent="0.2">
      <c r="A58" t="s">
        <v>63</v>
      </c>
      <c r="B58">
        <v>65</v>
      </c>
      <c r="C58">
        <v>8.0622577</v>
      </c>
      <c r="D58">
        <v>28990114</v>
      </c>
      <c r="E58">
        <v>4.4111204999999999E-3</v>
      </c>
      <c r="F58">
        <v>2.3145501999999998</v>
      </c>
      <c r="G58">
        <v>1.7047588</v>
      </c>
      <c r="H58">
        <v>1.0568721999999999</v>
      </c>
    </row>
    <row r="59" spans="1:8" x14ac:dyDescent="0.2">
      <c r="A59" t="s">
        <v>64</v>
      </c>
      <c r="B59">
        <v>23</v>
      </c>
      <c r="C59">
        <v>4.7958315000000002</v>
      </c>
      <c r="D59">
        <v>10258040</v>
      </c>
      <c r="E59">
        <v>2.4829022E-3</v>
      </c>
      <c r="F59">
        <v>2.1804041999999999</v>
      </c>
      <c r="G59">
        <v>1.5332399999999999</v>
      </c>
      <c r="H59">
        <v>0.99561834999999999</v>
      </c>
    </row>
    <row r="60" spans="1:8" x14ac:dyDescent="0.2">
      <c r="A60" t="s">
        <v>65</v>
      </c>
      <c r="B60">
        <v>21</v>
      </c>
      <c r="C60">
        <v>4.5825756999999996</v>
      </c>
      <c r="D60">
        <v>9366037</v>
      </c>
      <c r="E60">
        <v>1.2877762000000001E-3</v>
      </c>
      <c r="F60">
        <v>1.9732945</v>
      </c>
      <c r="G60">
        <v>1.4529339999999999</v>
      </c>
      <c r="H60">
        <v>0.90104772</v>
      </c>
    </row>
    <row r="61" spans="1:8" x14ac:dyDescent="0.2">
      <c r="A61" t="s">
        <v>66</v>
      </c>
      <c r="B61">
        <v>30</v>
      </c>
      <c r="C61">
        <v>5.4772255999999997</v>
      </c>
      <c r="D61">
        <v>13380053</v>
      </c>
      <c r="E61">
        <v>2.5441945999999998E-3</v>
      </c>
      <c r="F61">
        <v>2.9407608999999999</v>
      </c>
      <c r="G61">
        <v>1.8192915000000001</v>
      </c>
      <c r="H61">
        <v>1.3428131999999999</v>
      </c>
    </row>
    <row r="62" spans="1:8" x14ac:dyDescent="0.2">
      <c r="A62" t="s">
        <v>67</v>
      </c>
      <c r="B62">
        <v>14</v>
      </c>
      <c r="C62">
        <v>3.7416573999999998</v>
      </c>
      <c r="D62">
        <v>6244025</v>
      </c>
      <c r="E62">
        <v>8.6243229000000003E-4</v>
      </c>
      <c r="F62">
        <v>0.79421633000000003</v>
      </c>
      <c r="G62">
        <v>0.91369330999999998</v>
      </c>
      <c r="H62">
        <v>0.36265586</v>
      </c>
    </row>
    <row r="63" spans="1:8" x14ac:dyDescent="0.2">
      <c r="A63" t="s">
        <v>68</v>
      </c>
      <c r="B63">
        <v>15</v>
      </c>
      <c r="C63">
        <v>3.8729833</v>
      </c>
      <c r="D63">
        <v>6690026</v>
      </c>
      <c r="E63">
        <v>8.3146431999999999E-4</v>
      </c>
      <c r="F63">
        <v>0.75015807000000001</v>
      </c>
      <c r="G63">
        <v>0.88462532000000005</v>
      </c>
      <c r="H63">
        <v>0.34253792999999999</v>
      </c>
    </row>
    <row r="64" spans="1:8" x14ac:dyDescent="0.2">
      <c r="A64" t="s">
        <v>69</v>
      </c>
      <c r="B64">
        <v>22</v>
      </c>
      <c r="C64">
        <v>4.6904158000000002</v>
      </c>
      <c r="D64">
        <v>9812039</v>
      </c>
      <c r="E64">
        <v>1.5628966E-3</v>
      </c>
      <c r="F64">
        <v>1.1914324000000001</v>
      </c>
      <c r="G64">
        <v>1.1298258000000001</v>
      </c>
      <c r="H64">
        <v>0.54403303999999997</v>
      </c>
    </row>
    <row r="65" spans="1:8" x14ac:dyDescent="0.2">
      <c r="A65" t="s">
        <v>70</v>
      </c>
      <c r="B65">
        <v>30</v>
      </c>
      <c r="C65">
        <v>5.4772255999999997</v>
      </c>
      <c r="D65">
        <v>13380053</v>
      </c>
      <c r="E65">
        <v>1.4732510000000001E-3</v>
      </c>
      <c r="F65">
        <v>1.4496888999999999</v>
      </c>
      <c r="G65">
        <v>1.3033338000000001</v>
      </c>
      <c r="H65">
        <v>0.66195841</v>
      </c>
    </row>
    <row r="66" spans="1:8" x14ac:dyDescent="0.2">
      <c r="A66" t="s">
        <v>71</v>
      </c>
      <c r="B66">
        <v>33</v>
      </c>
      <c r="C66">
        <v>5.7445626000000001</v>
      </c>
      <c r="D66">
        <v>14718058</v>
      </c>
      <c r="E66">
        <v>1.7897595999999999E-3</v>
      </c>
      <c r="F66">
        <v>1.2712348</v>
      </c>
      <c r="G66">
        <v>1.2085433000000001</v>
      </c>
      <c r="H66">
        <v>0.58047249000000001</v>
      </c>
    </row>
    <row r="67" spans="1:8" x14ac:dyDescent="0.2">
      <c r="A67" t="s">
        <v>72</v>
      </c>
      <c r="B67">
        <v>50</v>
      </c>
      <c r="C67">
        <v>7.0710677999999998</v>
      </c>
      <c r="D67">
        <v>22300088</v>
      </c>
      <c r="E67">
        <v>2.5844511999999998E-3</v>
      </c>
      <c r="F67">
        <v>2.0345317999999999</v>
      </c>
      <c r="G67">
        <v>1.5567739</v>
      </c>
      <c r="H67">
        <v>0.92900996999999996</v>
      </c>
    </row>
    <row r="68" spans="1:8" x14ac:dyDescent="0.2">
      <c r="A68" t="s">
        <v>73</v>
      </c>
      <c r="B68">
        <v>156</v>
      </c>
      <c r="C68">
        <v>12.489996</v>
      </c>
      <c r="D68">
        <v>69576274</v>
      </c>
      <c r="E68">
        <v>1.3100578E-2</v>
      </c>
      <c r="F68">
        <v>1.2171631999999999</v>
      </c>
      <c r="G68">
        <v>1.225708</v>
      </c>
      <c r="H68">
        <v>0.55578229000000001</v>
      </c>
    </row>
    <row r="69" spans="1:8" x14ac:dyDescent="0.2">
      <c r="A69" t="s">
        <v>74</v>
      </c>
      <c r="B69">
        <v>138</v>
      </c>
      <c r="C69">
        <v>11.747339999999999</v>
      </c>
      <c r="D69">
        <v>61548242</v>
      </c>
      <c r="E69">
        <v>1.1900022999999999E-2</v>
      </c>
      <c r="F69">
        <v>0.97591095999999999</v>
      </c>
      <c r="G69">
        <v>1.0850476</v>
      </c>
      <c r="H69">
        <v>0.44562143999999998</v>
      </c>
    </row>
    <row r="70" spans="1:8" x14ac:dyDescent="0.2">
      <c r="A70" t="s">
        <v>75</v>
      </c>
      <c r="B70">
        <v>121</v>
      </c>
      <c r="C70">
        <v>11</v>
      </c>
      <c r="D70">
        <v>53966212</v>
      </c>
      <c r="E70">
        <v>8.5885375E-3</v>
      </c>
      <c r="F70">
        <v>1.0067309</v>
      </c>
      <c r="G70">
        <v>1.0987884000000001</v>
      </c>
      <c r="H70">
        <v>0.45969448000000002</v>
      </c>
    </row>
    <row r="71" spans="1:8" x14ac:dyDescent="0.2">
      <c r="A71" t="s">
        <v>76</v>
      </c>
      <c r="B71">
        <v>142</v>
      </c>
      <c r="C71">
        <v>11.916375</v>
      </c>
      <c r="D71">
        <v>63332249</v>
      </c>
      <c r="E71">
        <v>1.2707906999999999E-2</v>
      </c>
      <c r="F71">
        <v>1.5205626000000001</v>
      </c>
      <c r="G71">
        <v>1.3463130999999999</v>
      </c>
      <c r="H71">
        <v>0.69432084000000005</v>
      </c>
    </row>
    <row r="72" spans="1:8" x14ac:dyDescent="0.2">
      <c r="A72" t="s">
        <v>77</v>
      </c>
      <c r="B72">
        <v>138</v>
      </c>
      <c r="C72">
        <v>11.747339999999999</v>
      </c>
      <c r="D72">
        <v>61548242</v>
      </c>
      <c r="E72">
        <v>1.1834469E-2</v>
      </c>
      <c r="F72">
        <v>1.6097877</v>
      </c>
      <c r="G72">
        <v>1.3882102999999999</v>
      </c>
      <c r="H72">
        <v>0.73506287999999997</v>
      </c>
    </row>
    <row r="73" spans="1:8" x14ac:dyDescent="0.2">
      <c r="A73" t="s">
        <v>78</v>
      </c>
      <c r="B73">
        <v>114</v>
      </c>
      <c r="C73">
        <v>10.677078</v>
      </c>
      <c r="D73">
        <v>50844200</v>
      </c>
      <c r="E73">
        <v>1.0686156E-2</v>
      </c>
      <c r="F73">
        <v>1.7924355999999999</v>
      </c>
      <c r="G73">
        <v>1.4856927</v>
      </c>
      <c r="H73">
        <v>0.81846377000000003</v>
      </c>
    </row>
    <row r="74" spans="1:8" x14ac:dyDescent="0.2">
      <c r="A74" t="s">
        <v>79</v>
      </c>
      <c r="B74">
        <v>94</v>
      </c>
      <c r="C74">
        <v>9.6953596999999991</v>
      </c>
      <c r="D74">
        <v>41924165</v>
      </c>
      <c r="E74">
        <v>7.3197069000000003E-3</v>
      </c>
      <c r="F74">
        <v>1.5750016</v>
      </c>
      <c r="G74">
        <v>1.3619368000000001</v>
      </c>
      <c r="H74">
        <v>0.71917880999999995</v>
      </c>
    </row>
    <row r="75" spans="1:8" x14ac:dyDescent="0.2">
      <c r="A75" t="s">
        <v>80</v>
      </c>
      <c r="B75">
        <v>61</v>
      </c>
      <c r="C75">
        <v>7.8102497</v>
      </c>
      <c r="D75">
        <v>27206107</v>
      </c>
      <c r="E75">
        <v>5.4516219000000001E-3</v>
      </c>
      <c r="F75">
        <v>1.6092257000000001</v>
      </c>
      <c r="G75">
        <v>1.3841950999999999</v>
      </c>
      <c r="H75">
        <v>0.73480628000000003</v>
      </c>
    </row>
    <row r="76" spans="1:8" x14ac:dyDescent="0.2">
      <c r="A76" t="s">
        <v>81</v>
      </c>
      <c r="B76">
        <v>95</v>
      </c>
      <c r="C76">
        <v>9.7467942999999995</v>
      </c>
      <c r="D76">
        <v>42370167</v>
      </c>
      <c r="E76">
        <v>7.5940621E-3</v>
      </c>
      <c r="F76">
        <v>1.9990025</v>
      </c>
      <c r="G76">
        <v>1.5844209</v>
      </c>
      <c r="H76">
        <v>0.91278651</v>
      </c>
    </row>
    <row r="77" spans="1:8" x14ac:dyDescent="0.2">
      <c r="A77" t="s">
        <v>82</v>
      </c>
      <c r="B77">
        <v>14</v>
      </c>
      <c r="C77">
        <v>3.7416573999999998</v>
      </c>
      <c r="D77">
        <v>6244025</v>
      </c>
      <c r="E77">
        <v>1.0164116E-3</v>
      </c>
      <c r="F77">
        <v>1.1511699</v>
      </c>
      <c r="G77">
        <v>1.1054927999999999</v>
      </c>
      <c r="H77">
        <v>0.52564834999999999</v>
      </c>
    </row>
    <row r="78" spans="1:8" x14ac:dyDescent="0.2">
      <c r="A78" t="s">
        <v>83</v>
      </c>
      <c r="B78">
        <v>14</v>
      </c>
      <c r="C78">
        <v>3.7416573999999998</v>
      </c>
      <c r="D78">
        <v>6244025</v>
      </c>
      <c r="E78">
        <v>9.2667976000000002E-4</v>
      </c>
      <c r="F78">
        <v>1.0396101</v>
      </c>
      <c r="G78">
        <v>1.0450834</v>
      </c>
      <c r="H78">
        <v>0.47470783</v>
      </c>
    </row>
    <row r="79" spans="1:8" x14ac:dyDescent="0.2">
      <c r="A79" t="s">
        <v>84</v>
      </c>
      <c r="B79">
        <v>31</v>
      </c>
      <c r="C79">
        <v>5.5677643999999997</v>
      </c>
      <c r="D79">
        <v>13826054</v>
      </c>
      <c r="E79">
        <v>3.2612008E-3</v>
      </c>
      <c r="F79">
        <v>1.7268250000000001</v>
      </c>
      <c r="G79">
        <v>1.3653135999999999</v>
      </c>
      <c r="H79">
        <v>0.78850456999999996</v>
      </c>
    </row>
    <row r="80" spans="1:8" x14ac:dyDescent="0.2">
      <c r="A80" t="s">
        <v>85</v>
      </c>
      <c r="B80">
        <v>22</v>
      </c>
      <c r="C80">
        <v>4.6904158000000002</v>
      </c>
      <c r="D80">
        <v>9812039</v>
      </c>
      <c r="E80">
        <v>1.0659863E-3</v>
      </c>
      <c r="F80">
        <v>0.83779817999999995</v>
      </c>
      <c r="G80">
        <v>0.93914878000000002</v>
      </c>
      <c r="H80">
        <v>0.38255624999999999</v>
      </c>
    </row>
    <row r="81" spans="1:8" x14ac:dyDescent="0.2">
      <c r="A81" t="s">
        <v>86</v>
      </c>
      <c r="B81">
        <v>9</v>
      </c>
      <c r="C81">
        <v>3</v>
      </c>
      <c r="D81">
        <v>4014016</v>
      </c>
      <c r="E81">
        <v>6.478934E-4</v>
      </c>
      <c r="F81">
        <v>0.79456842000000005</v>
      </c>
      <c r="G81">
        <v>0.91141092999999995</v>
      </c>
      <c r="H81">
        <v>0.36281662999999997</v>
      </c>
    </row>
    <row r="82" spans="1:8" x14ac:dyDescent="0.2">
      <c r="A82" t="s">
        <v>87</v>
      </c>
      <c r="B82">
        <v>24</v>
      </c>
      <c r="C82">
        <v>4.8989795000000003</v>
      </c>
      <c r="D82">
        <v>10704042</v>
      </c>
      <c r="E82">
        <v>1.5391412E-3</v>
      </c>
      <c r="F82">
        <v>1.2054563</v>
      </c>
      <c r="G82">
        <v>1.1318311999999999</v>
      </c>
      <c r="H82">
        <v>0.55043664999999997</v>
      </c>
    </row>
    <row r="83" spans="1:8" x14ac:dyDescent="0.2">
      <c r="A83" t="s">
        <v>88</v>
      </c>
      <c r="B83">
        <v>15</v>
      </c>
      <c r="C83">
        <v>3.8729833</v>
      </c>
      <c r="D83">
        <v>6696716</v>
      </c>
      <c r="E83">
        <v>2.5759781000000001E-3</v>
      </c>
      <c r="F83">
        <v>5.4993663000000002</v>
      </c>
      <c r="G83">
        <v>2.5177448</v>
      </c>
      <c r="H83">
        <v>2.5111262000000001</v>
      </c>
    </row>
    <row r="84" spans="1:8" x14ac:dyDescent="0.2">
      <c r="A84" t="s">
        <v>89</v>
      </c>
      <c r="B84">
        <v>17</v>
      </c>
      <c r="C84">
        <v>4.1231055999999997</v>
      </c>
      <c r="D84">
        <v>7589612</v>
      </c>
      <c r="E84">
        <v>1.5438197999999999E-3</v>
      </c>
      <c r="F84">
        <v>4.3791194000000004</v>
      </c>
      <c r="G84">
        <v>2.1998367000000001</v>
      </c>
      <c r="H84">
        <v>1.9995978999999999</v>
      </c>
    </row>
    <row r="85" spans="1:8" x14ac:dyDescent="0.2">
      <c r="A85" t="s">
        <v>90</v>
      </c>
      <c r="B85">
        <v>18</v>
      </c>
      <c r="C85">
        <v>4.2426406999999999</v>
      </c>
      <c r="D85">
        <v>8036060</v>
      </c>
      <c r="E85">
        <v>2.4047811E-3</v>
      </c>
      <c r="F85">
        <v>7.7669201000000001</v>
      </c>
      <c r="G85">
        <v>3.0597546000000002</v>
      </c>
      <c r="H85">
        <v>3.5465388999999998</v>
      </c>
    </row>
    <row r="86" spans="1:8" x14ac:dyDescent="0.2">
      <c r="A86" t="s">
        <v>91</v>
      </c>
      <c r="B86">
        <v>5</v>
      </c>
      <c r="C86">
        <v>2.2360679999999999</v>
      </c>
      <c r="D86">
        <v>2232239</v>
      </c>
      <c r="E86">
        <v>4.8289294E-4</v>
      </c>
      <c r="F86">
        <v>3.3230672000000001</v>
      </c>
      <c r="G86">
        <v>1.9055500000000001</v>
      </c>
      <c r="H86">
        <v>1.5173823</v>
      </c>
    </row>
    <row r="87" spans="1:8" x14ac:dyDescent="0.2">
      <c r="A87" t="s">
        <v>92</v>
      </c>
      <c r="B87">
        <v>8</v>
      </c>
      <c r="C87">
        <v>2.8284270999999999</v>
      </c>
      <c r="D87">
        <v>3571582</v>
      </c>
      <c r="E87">
        <v>9.0280405000000002E-4</v>
      </c>
      <c r="F87">
        <v>2.7238020999999999</v>
      </c>
      <c r="G87">
        <v>1.7100549</v>
      </c>
      <c r="H87">
        <v>1.2437452</v>
      </c>
    </row>
    <row r="88" spans="1:8" x14ac:dyDescent="0.2">
      <c r="A88" t="s">
        <v>93</v>
      </c>
      <c r="B88">
        <v>8</v>
      </c>
      <c r="C88">
        <v>2.8284270999999999</v>
      </c>
      <c r="D88">
        <v>3571582</v>
      </c>
      <c r="E88">
        <v>1.4080505000000001E-3</v>
      </c>
      <c r="F88">
        <v>4.0431843000000001</v>
      </c>
      <c r="G88">
        <v>2.1072993000000002</v>
      </c>
      <c r="H88">
        <v>1.8462029</v>
      </c>
    </row>
    <row r="89" spans="1:8" x14ac:dyDescent="0.2">
      <c r="A89" t="s">
        <v>94</v>
      </c>
      <c r="B89">
        <v>16</v>
      </c>
      <c r="C89">
        <v>4</v>
      </c>
      <c r="D89">
        <v>7143164</v>
      </c>
      <c r="E89">
        <v>2.1211454999999998E-3</v>
      </c>
      <c r="F89">
        <v>4.0388755999999999</v>
      </c>
      <c r="G89">
        <v>2.1123438000000001</v>
      </c>
      <c r="H89">
        <v>1.8442354000000001</v>
      </c>
    </row>
    <row r="90" spans="1:8" x14ac:dyDescent="0.2">
      <c r="A90" t="s">
        <v>95</v>
      </c>
      <c r="B90">
        <v>16</v>
      </c>
      <c r="C90">
        <v>4</v>
      </c>
      <c r="D90">
        <v>7143164</v>
      </c>
      <c r="E90">
        <v>1.5789873999999999E-3</v>
      </c>
      <c r="F90">
        <v>3.3213119999999998</v>
      </c>
      <c r="G90">
        <v>1.900298</v>
      </c>
      <c r="H90">
        <v>1.5165808000000001</v>
      </c>
    </row>
    <row r="91" spans="1:8" x14ac:dyDescent="0.2">
      <c r="A91" t="s">
        <v>96</v>
      </c>
      <c r="B91">
        <v>17</v>
      </c>
      <c r="C91">
        <v>4.1231055999999997</v>
      </c>
      <c r="D91">
        <v>7589612</v>
      </c>
      <c r="E91">
        <v>1.8032167999999999E-3</v>
      </c>
      <c r="F91">
        <v>4.9560738000000004</v>
      </c>
      <c r="G91">
        <v>2.3492730000000002</v>
      </c>
      <c r="H91">
        <v>2.2630474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626F-995E-DE40-B7F5-134235E0BA79}">
  <dimension ref="A1:P49"/>
  <sheetViews>
    <sheetView tabSelected="1" topLeftCell="D20" workbookViewId="0">
      <selection activeCell="P49" sqref="P49"/>
    </sheetView>
  </sheetViews>
  <sheetFormatPr baseColWidth="10" defaultRowHeight="16" x14ac:dyDescent="0.2"/>
  <cols>
    <col min="5" max="5" width="21.5" customWidth="1"/>
    <col min="6" max="6" width="22.83203125" customWidth="1"/>
    <col min="7" max="7" width="17.1640625" customWidth="1"/>
    <col min="8" max="8" width="19" customWidth="1"/>
    <col min="12" max="12" width="10.83203125" style="1"/>
    <col min="16" max="16" width="12.1640625" style="1" bestFit="1" customWidth="1"/>
  </cols>
  <sheetData>
    <row r="1" spans="1:16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126</v>
      </c>
      <c r="K1" t="s">
        <v>97</v>
      </c>
      <c r="L1" s="1" t="s">
        <v>145</v>
      </c>
      <c r="M1" t="s">
        <v>146</v>
      </c>
      <c r="N1" t="s">
        <v>149</v>
      </c>
      <c r="O1" t="s">
        <v>147</v>
      </c>
      <c r="P1" s="1" t="s">
        <v>148</v>
      </c>
    </row>
    <row r="2" spans="1:16" x14ac:dyDescent="0.2">
      <c r="A2" s="4" t="s">
        <v>101</v>
      </c>
      <c r="B2" t="s">
        <v>7</v>
      </c>
    </row>
    <row r="3" spans="1:16" x14ac:dyDescent="0.2">
      <c r="B3" t="s">
        <v>8</v>
      </c>
    </row>
    <row r="4" spans="1:16" x14ac:dyDescent="0.2">
      <c r="B4" t="s">
        <v>9</v>
      </c>
      <c r="J4">
        <v>1</v>
      </c>
      <c r="K4" t="e">
        <f>AVERAGE(I2:I4)*J4</f>
        <v>#DIV/0!</v>
      </c>
      <c r="L4" s="1" t="e">
        <f>AVERAGE(E2:E4)*J4</f>
        <v>#DIV/0!</v>
      </c>
    </row>
    <row r="5" spans="1:16" x14ac:dyDescent="0.2">
      <c r="A5" s="4" t="s">
        <v>102</v>
      </c>
      <c r="B5" t="s">
        <v>10</v>
      </c>
    </row>
    <row r="6" spans="1:16" x14ac:dyDescent="0.2">
      <c r="B6" t="s">
        <v>11</v>
      </c>
    </row>
    <row r="7" spans="1:16" x14ac:dyDescent="0.2">
      <c r="B7" t="s">
        <v>12</v>
      </c>
      <c r="J7">
        <v>1</v>
      </c>
      <c r="K7" t="e">
        <f>AVERAGE(I5:I7)*J7</f>
        <v>#DIV/0!</v>
      </c>
      <c r="L7" s="1" t="e">
        <f t="shared" ref="L7" si="0">AVERAGE(E5:E7)*J7</f>
        <v>#DIV/0!</v>
      </c>
    </row>
    <row r="8" spans="1:16" x14ac:dyDescent="0.2">
      <c r="A8" s="4" t="s">
        <v>103</v>
      </c>
      <c r="B8" t="s">
        <v>13</v>
      </c>
      <c r="E8" s="1"/>
    </row>
    <row r="9" spans="1:16" x14ac:dyDescent="0.2">
      <c r="B9" t="s">
        <v>14</v>
      </c>
      <c r="E9" s="1"/>
    </row>
    <row r="10" spans="1:16" x14ac:dyDescent="0.2">
      <c r="B10" t="s">
        <v>15</v>
      </c>
      <c r="E10" s="1"/>
      <c r="J10">
        <v>1</v>
      </c>
      <c r="K10" t="e">
        <f>AVERAGE(I8:I10)*J10</f>
        <v>#DIV/0!</v>
      </c>
      <c r="L10" s="1" t="e">
        <f t="shared" ref="L10" si="1">AVERAGE(E8:E10)*J10</f>
        <v>#DIV/0!</v>
      </c>
    </row>
    <row r="11" spans="1:16" x14ac:dyDescent="0.2">
      <c r="A11" s="4" t="s">
        <v>104</v>
      </c>
      <c r="B11" t="s">
        <v>25</v>
      </c>
      <c r="C11">
        <v>684</v>
      </c>
      <c r="D11">
        <v>26.153393999999999</v>
      </c>
      <c r="E11" s="1">
        <v>166940440</v>
      </c>
      <c r="F11">
        <v>0.20774681</v>
      </c>
      <c r="G11">
        <v>16.023848999999998</v>
      </c>
      <c r="H11">
        <v>5.3671160000000002</v>
      </c>
      <c r="I11">
        <v>10.675449</v>
      </c>
    </row>
    <row r="12" spans="1:16" x14ac:dyDescent="0.2">
      <c r="B12" t="s">
        <v>26</v>
      </c>
      <c r="C12">
        <v>640</v>
      </c>
      <c r="D12">
        <v>25.298221000000002</v>
      </c>
      <c r="E12" s="1">
        <v>156201580</v>
      </c>
      <c r="F12">
        <v>0.20162313000000001</v>
      </c>
      <c r="G12">
        <v>20.160629</v>
      </c>
      <c r="H12">
        <v>5.6293530000000001</v>
      </c>
      <c r="I12">
        <v>13.431464999999999</v>
      </c>
    </row>
    <row r="13" spans="1:16" x14ac:dyDescent="0.2">
      <c r="B13" t="s">
        <v>27</v>
      </c>
      <c r="C13">
        <v>2124</v>
      </c>
      <c r="D13">
        <v>46.086874000000002</v>
      </c>
      <c r="E13" s="1">
        <v>518394000</v>
      </c>
      <c r="F13">
        <v>0.41970394</v>
      </c>
      <c r="G13">
        <v>9.1037148999999999</v>
      </c>
      <c r="H13">
        <v>4.1100259000000001</v>
      </c>
      <c r="I13">
        <v>6.0650998999999999</v>
      </c>
      <c r="J13">
        <v>2.0010447761194028</v>
      </c>
      <c r="K13">
        <f>AVERAGE(I11:I13)*J13</f>
        <v>20.125183599865672</v>
      </c>
      <c r="L13" s="1">
        <f>AVERAGE(E11:E13)*J13</f>
        <v>561317085.57910442</v>
      </c>
      <c r="M13">
        <v>243.75140000000005</v>
      </c>
      <c r="N13">
        <f>M13/1000</f>
        <v>0.24375140000000003</v>
      </c>
      <c r="O13">
        <v>4.5326000000000022</v>
      </c>
      <c r="P13" s="1">
        <f>(L13*N13)/O13</f>
        <v>30186168.083181061</v>
      </c>
    </row>
    <row r="14" spans="1:16" x14ac:dyDescent="0.2">
      <c r="A14" s="4" t="s">
        <v>105</v>
      </c>
      <c r="B14" t="s">
        <v>28</v>
      </c>
      <c r="C14">
        <v>990</v>
      </c>
      <c r="D14">
        <v>31.464265000000001</v>
      </c>
      <c r="E14" s="1">
        <v>1350000000</v>
      </c>
      <c r="F14">
        <v>0.13512510999999999</v>
      </c>
      <c r="G14">
        <v>4.0458698000000002</v>
      </c>
      <c r="H14">
        <v>2.3753662000000002</v>
      </c>
      <c r="I14">
        <v>1.6773921000000001</v>
      </c>
    </row>
    <row r="15" spans="1:16" x14ac:dyDescent="0.2">
      <c r="B15" t="s">
        <v>29</v>
      </c>
      <c r="C15">
        <v>1009</v>
      </c>
      <c r="D15">
        <v>31.764759999999999</v>
      </c>
      <c r="E15" s="1">
        <v>1380000000</v>
      </c>
      <c r="F15">
        <v>0.12351841</v>
      </c>
      <c r="G15">
        <v>4.3240122999999997</v>
      </c>
      <c r="H15">
        <v>2.4297263999999998</v>
      </c>
      <c r="I15">
        <v>1.7927082000000001</v>
      </c>
    </row>
    <row r="16" spans="1:16" x14ac:dyDescent="0.2">
      <c r="B16" s="2" t="s">
        <v>30</v>
      </c>
      <c r="C16">
        <v>1057</v>
      </c>
      <c r="D16">
        <v>32.511536</v>
      </c>
      <c r="E16" s="1">
        <v>1440000000</v>
      </c>
      <c r="F16">
        <v>0.14653016999999999</v>
      </c>
      <c r="G16">
        <v>6.2279543999999998</v>
      </c>
      <c r="H16">
        <v>3.1002936000000001</v>
      </c>
      <c r="I16">
        <v>2.5820706000000002</v>
      </c>
      <c r="J16">
        <v>1</v>
      </c>
      <c r="K16">
        <f>AVERAGE(I14:I16)*J16</f>
        <v>2.0173903000000002</v>
      </c>
      <c r="L16" s="1">
        <f t="shared" ref="L16" si="2">AVERAGE(E14:E16)*J16</f>
        <v>1390000000</v>
      </c>
      <c r="M16">
        <v>245.21859999999998</v>
      </c>
      <c r="N16">
        <f t="shared" ref="N16" si="3">M16/1000</f>
        <v>0.24521859999999998</v>
      </c>
      <c r="O16">
        <v>4.6811999999999969</v>
      </c>
      <c r="P16" s="1">
        <f t="shared" ref="P16" si="4">(L16*N16)/O16</f>
        <v>72813349.995727643</v>
      </c>
    </row>
    <row r="17" spans="1:16" x14ac:dyDescent="0.2">
      <c r="A17" s="4" t="s">
        <v>106</v>
      </c>
      <c r="B17" t="s">
        <v>31</v>
      </c>
      <c r="C17">
        <v>1697</v>
      </c>
      <c r="D17">
        <v>41.194659999999999</v>
      </c>
      <c r="E17" s="1">
        <v>2310000000</v>
      </c>
      <c r="F17">
        <v>0.28826473000000002</v>
      </c>
      <c r="G17">
        <v>6.4109186999999999</v>
      </c>
      <c r="H17">
        <v>3.0917086999999999</v>
      </c>
      <c r="I17">
        <v>2.6579264999999999</v>
      </c>
    </row>
    <row r="18" spans="1:16" x14ac:dyDescent="0.2">
      <c r="B18" t="s">
        <v>32</v>
      </c>
      <c r="C18">
        <v>1764</v>
      </c>
      <c r="D18">
        <v>42</v>
      </c>
      <c r="E18" s="1">
        <v>2400000000</v>
      </c>
      <c r="F18">
        <v>0.30717924000000002</v>
      </c>
      <c r="G18">
        <v>7.2392944999999997</v>
      </c>
      <c r="H18">
        <v>3.2686145</v>
      </c>
      <c r="I18">
        <v>3.0013659000000001</v>
      </c>
    </row>
    <row r="19" spans="1:16" x14ac:dyDescent="0.2">
      <c r="B19" s="2" t="s">
        <v>33</v>
      </c>
      <c r="C19">
        <v>1819</v>
      </c>
      <c r="D19">
        <v>42.649735999999997</v>
      </c>
      <c r="E19" s="1">
        <v>2480000000</v>
      </c>
      <c r="F19">
        <v>0.38642103</v>
      </c>
      <c r="G19">
        <v>9.6790561999999998</v>
      </c>
      <c r="H19">
        <v>4.0808239000000004</v>
      </c>
      <c r="I19">
        <v>4.0128757000000004</v>
      </c>
      <c r="J19">
        <v>1</v>
      </c>
      <c r="K19">
        <f>AVERAGE(I17:I19)*J19</f>
        <v>3.2240560333333335</v>
      </c>
      <c r="L19" s="1">
        <f t="shared" ref="L19" si="5">AVERAGE(E17:E19)*J19</f>
        <v>2396666666.6666665</v>
      </c>
      <c r="M19">
        <v>241.99139999999994</v>
      </c>
      <c r="N19">
        <f t="shared" ref="N19" si="6">M19/1000</f>
        <v>0.24199139999999994</v>
      </c>
      <c r="O19">
        <v>4.4817999999999998</v>
      </c>
      <c r="P19" s="1">
        <f t="shared" ref="P19" si="7">(L19*N19)/O19</f>
        <v>129406203.31116958</v>
      </c>
    </row>
    <row r="20" spans="1:16" x14ac:dyDescent="0.2">
      <c r="A20" t="s">
        <v>107</v>
      </c>
      <c r="B20" t="s">
        <v>52</v>
      </c>
    </row>
    <row r="21" spans="1:16" x14ac:dyDescent="0.2">
      <c r="B21" t="s">
        <v>53</v>
      </c>
    </row>
    <row r="22" spans="1:16" x14ac:dyDescent="0.2">
      <c r="B22" t="s">
        <v>54</v>
      </c>
      <c r="J22">
        <v>7.8835166906277765</v>
      </c>
      <c r="K22" t="e">
        <f>AVERAGE(I20:I22)*J22</f>
        <v>#DIV/0!</v>
      </c>
      <c r="L22" s="1" t="e">
        <f t="shared" ref="L22" si="8">AVERAGE(E20:E22)*J22</f>
        <v>#DIV/0!</v>
      </c>
      <c r="N22">
        <f t="shared" ref="N22" si="9">M22/1000</f>
        <v>0</v>
      </c>
    </row>
    <row r="23" spans="1:16" x14ac:dyDescent="0.2">
      <c r="A23" t="s">
        <v>108</v>
      </c>
      <c r="B23" t="s">
        <v>55</v>
      </c>
    </row>
    <row r="24" spans="1:16" x14ac:dyDescent="0.2">
      <c r="B24" t="s">
        <v>56</v>
      </c>
    </row>
    <row r="25" spans="1:16" x14ac:dyDescent="0.2">
      <c r="B25" t="s">
        <v>57</v>
      </c>
      <c r="J25">
        <v>7.8234612040436069</v>
      </c>
      <c r="K25" t="e">
        <f>AVERAGE(I23:I25)*J25</f>
        <v>#DIV/0!</v>
      </c>
      <c r="L25" s="1" t="e">
        <f t="shared" ref="L25" si="10">AVERAGE(E23:E25)*J25</f>
        <v>#DIV/0!</v>
      </c>
      <c r="N25">
        <f t="shared" ref="N25" si="11">M25/1000</f>
        <v>0</v>
      </c>
    </row>
    <row r="26" spans="1:16" x14ac:dyDescent="0.2">
      <c r="A26" t="s">
        <v>109</v>
      </c>
      <c r="B26" t="s">
        <v>58</v>
      </c>
    </row>
    <row r="27" spans="1:16" x14ac:dyDescent="0.2">
      <c r="B27" t="s">
        <v>59</v>
      </c>
    </row>
    <row r="28" spans="1:16" x14ac:dyDescent="0.2">
      <c r="B28" t="s">
        <v>60</v>
      </c>
      <c r="J28">
        <v>7.9469219833597622</v>
      </c>
      <c r="K28" t="e">
        <f>AVERAGE(I26:I28)*J28</f>
        <v>#DIV/0!</v>
      </c>
      <c r="L28" s="1" t="e">
        <f t="shared" ref="L28" si="12">AVERAGE(E26:E28)*J28</f>
        <v>#DIV/0!</v>
      </c>
      <c r="N28">
        <f t="shared" ref="N28" si="13">M28/1000</f>
        <v>0</v>
      </c>
    </row>
    <row r="29" spans="1:16" x14ac:dyDescent="0.2">
      <c r="A29" t="s">
        <v>111</v>
      </c>
      <c r="B29" t="s">
        <v>117</v>
      </c>
      <c r="C29">
        <v>273</v>
      </c>
      <c r="D29">
        <v>16.522711999999999</v>
      </c>
      <c r="E29">
        <v>49899614</v>
      </c>
      <c r="F29">
        <v>0.18671417000000001</v>
      </c>
      <c r="G29">
        <v>8.7048854999999996</v>
      </c>
      <c r="H29">
        <v>3.6694865000000001</v>
      </c>
      <c r="I29">
        <v>4.3699224000000001</v>
      </c>
    </row>
    <row r="30" spans="1:16" x14ac:dyDescent="0.2">
      <c r="B30" t="s">
        <v>118</v>
      </c>
      <c r="C30">
        <v>235</v>
      </c>
      <c r="D30">
        <v>15.32971</v>
      </c>
      <c r="E30">
        <v>42953880</v>
      </c>
      <c r="F30">
        <v>0.14791285000000001</v>
      </c>
      <c r="G30">
        <v>13.722310999999999</v>
      </c>
      <c r="H30">
        <v>4.3942522999999998</v>
      </c>
      <c r="I30">
        <v>6.8887103999999999</v>
      </c>
    </row>
    <row r="31" spans="1:16" x14ac:dyDescent="0.2">
      <c r="B31" t="s">
        <v>119</v>
      </c>
      <c r="C31">
        <v>282</v>
      </c>
      <c r="D31">
        <v>16.792856</v>
      </c>
      <c r="E31">
        <v>51544656</v>
      </c>
      <c r="F31">
        <v>0.23007991999999999</v>
      </c>
      <c r="G31">
        <v>3.8829093000000001</v>
      </c>
      <c r="H31">
        <v>2.3250858999999999</v>
      </c>
      <c r="I31">
        <v>1.9492517</v>
      </c>
      <c r="J31">
        <v>3.9709887507400832</v>
      </c>
      <c r="K31">
        <f>AVERAGE(I29:I31)*J31</f>
        <v>17.48278692352477</v>
      </c>
      <c r="L31" s="1">
        <f t="shared" ref="L31" si="14">AVERAGE(E29:E31)*J31</f>
        <v>191134476.42589304</v>
      </c>
      <c r="M31">
        <v>242.41480000000001</v>
      </c>
      <c r="N31">
        <f t="shared" ref="N31" si="15">M31/1000</f>
        <v>0.24241480000000001</v>
      </c>
      <c r="O31">
        <v>4.3892000000000024</v>
      </c>
      <c r="P31" s="1">
        <f>(L31*N31)/O31</f>
        <v>10556325.953678928</v>
      </c>
    </row>
    <row r="32" spans="1:16" x14ac:dyDescent="0.2">
      <c r="A32" t="s">
        <v>112</v>
      </c>
      <c r="B32" t="s">
        <v>120</v>
      </c>
      <c r="C32">
        <v>239</v>
      </c>
      <c r="D32">
        <v>15.459625000000001</v>
      </c>
      <c r="E32">
        <v>43685010</v>
      </c>
      <c r="F32">
        <v>8.2073736999999994E-2</v>
      </c>
      <c r="G32">
        <v>4.7662573000000004</v>
      </c>
      <c r="H32">
        <v>2.5656078</v>
      </c>
      <c r="I32">
        <v>2.3926994000000001</v>
      </c>
    </row>
    <row r="33" spans="1:16" x14ac:dyDescent="0.2">
      <c r="B33" t="s">
        <v>121</v>
      </c>
      <c r="C33">
        <v>216</v>
      </c>
      <c r="D33">
        <v>14.696937999999999</v>
      </c>
      <c r="E33">
        <v>39481013</v>
      </c>
      <c r="F33">
        <v>0.13756484999999999</v>
      </c>
      <c r="G33">
        <v>8.7144078999999994</v>
      </c>
      <c r="H33">
        <v>3.4504929</v>
      </c>
      <c r="I33">
        <v>4.3747027999999997</v>
      </c>
    </row>
    <row r="34" spans="1:16" x14ac:dyDescent="0.2">
      <c r="B34" t="s">
        <v>122</v>
      </c>
      <c r="C34">
        <v>284</v>
      </c>
      <c r="D34">
        <v>16.8523</v>
      </c>
      <c r="E34">
        <v>51910221</v>
      </c>
      <c r="F34">
        <v>0.52466805000000005</v>
      </c>
      <c r="G34">
        <v>2.2736329999999998</v>
      </c>
      <c r="H34">
        <v>1.7064786999999999</v>
      </c>
      <c r="I34">
        <v>1.1413819999999999</v>
      </c>
      <c r="J34">
        <v>3.9513882027467635</v>
      </c>
      <c r="K34">
        <f>AVERAGE(I32:I34)*J34</f>
        <v>10.416892195316667</v>
      </c>
      <c r="L34" s="1">
        <f t="shared" ref="L34" si="16">AVERAGE(E32:E34)*J34</f>
        <v>177912892.33764777</v>
      </c>
      <c r="M34">
        <v>241.53219999999988</v>
      </c>
      <c r="N34">
        <f t="shared" ref="N34" si="17">M34/1000</f>
        <v>0.24153219999999986</v>
      </c>
      <c r="O34">
        <v>4.4682000000000031</v>
      </c>
      <c r="P34" s="1">
        <f t="shared" ref="P34" si="18">(L34*N34)/O34</f>
        <v>9617226.6896457542</v>
      </c>
    </row>
    <row r="35" spans="1:16" x14ac:dyDescent="0.2">
      <c r="A35" t="s">
        <v>113</v>
      </c>
      <c r="B35" t="s">
        <v>123</v>
      </c>
      <c r="C35">
        <v>195</v>
      </c>
      <c r="D35">
        <v>13.96424</v>
      </c>
      <c r="E35">
        <v>35642581</v>
      </c>
      <c r="F35">
        <v>0.43391593000000001</v>
      </c>
      <c r="G35">
        <v>8.7423438999999998</v>
      </c>
      <c r="H35">
        <v>3.7378089000000001</v>
      </c>
      <c r="I35">
        <v>4.3887269</v>
      </c>
    </row>
    <row r="36" spans="1:16" x14ac:dyDescent="0.2">
      <c r="B36" t="s">
        <v>124</v>
      </c>
      <c r="C36">
        <v>185</v>
      </c>
      <c r="D36">
        <v>13.601471</v>
      </c>
      <c r="E36">
        <v>33814757</v>
      </c>
      <c r="F36">
        <v>0.34471932999999999</v>
      </c>
      <c r="G36">
        <v>14.987947999999999</v>
      </c>
      <c r="H36">
        <v>4.6865462999999998</v>
      </c>
      <c r="I36">
        <v>7.5240704999999997</v>
      </c>
    </row>
    <row r="37" spans="1:16" x14ac:dyDescent="0.2">
      <c r="B37" t="s">
        <v>125</v>
      </c>
      <c r="C37">
        <v>299</v>
      </c>
      <c r="D37">
        <v>17.291616000000001</v>
      </c>
      <c r="E37">
        <v>54651958</v>
      </c>
      <c r="F37">
        <v>9.1013815999999997E-2</v>
      </c>
      <c r="G37">
        <v>3.9461126000000002</v>
      </c>
      <c r="H37">
        <v>2.3013729999999999</v>
      </c>
      <c r="I37">
        <v>1.9809802000000001</v>
      </c>
      <c r="J37">
        <v>3.9727415863019071</v>
      </c>
      <c r="K37">
        <f>AVERAGE(I35:I37)*J37</f>
        <v>18.398796020783301</v>
      </c>
      <c r="L37" s="1">
        <f t="shared" ref="L37" si="19">AVERAGE(E35:E37)*J37</f>
        <v>164351387.15528432</v>
      </c>
      <c r="M37">
        <v>244.06299999999999</v>
      </c>
      <c r="N37">
        <f t="shared" ref="N37" si="20">M37/1000</f>
        <v>0.24406299999999997</v>
      </c>
      <c r="O37">
        <v>4.2026000000000039</v>
      </c>
      <c r="P37" s="1">
        <f t="shared" ref="P37" si="21">(L37*N37)/O37</f>
        <v>9544589.6833579484</v>
      </c>
    </row>
    <row r="38" spans="1:16" x14ac:dyDescent="0.2">
      <c r="A38" t="s">
        <v>114</v>
      </c>
    </row>
    <row r="40" spans="1:16" x14ac:dyDescent="0.2">
      <c r="K40" t="e">
        <f t="shared" ref="K40" si="22">AVERAGE(I38:I40)*J40</f>
        <v>#DIV/0!</v>
      </c>
      <c r="L40" s="1" t="e">
        <f t="shared" ref="L40" si="23">AVERAGE(E38:E40)*J40</f>
        <v>#DIV/0!</v>
      </c>
      <c r="M40">
        <v>245.06299999999999</v>
      </c>
      <c r="N40">
        <f t="shared" ref="N40" si="24">M40/1000</f>
        <v>0.24506299999999998</v>
      </c>
      <c r="O40">
        <v>1</v>
      </c>
      <c r="P40" s="1" t="e">
        <f t="shared" ref="P40" si="25">(L40*N40)/O40</f>
        <v>#DIV/0!</v>
      </c>
    </row>
    <row r="41" spans="1:16" x14ac:dyDescent="0.2">
      <c r="A41" t="s">
        <v>115</v>
      </c>
    </row>
    <row r="43" spans="1:16" x14ac:dyDescent="0.2">
      <c r="J43">
        <v>1</v>
      </c>
      <c r="K43" t="e">
        <f t="shared" ref="K43" si="26">AVERAGE(I41:I43)*J43</f>
        <v>#DIV/0!</v>
      </c>
      <c r="L43" s="1" t="e">
        <f t="shared" ref="L43" si="27">AVERAGE(E41:E43)*J43</f>
        <v>#DIV/0!</v>
      </c>
      <c r="M43">
        <v>246.06299999999999</v>
      </c>
      <c r="N43">
        <f t="shared" ref="N43" si="28">M43/1000</f>
        <v>0.24606299999999998</v>
      </c>
      <c r="O43">
        <v>1</v>
      </c>
      <c r="P43" s="1" t="e">
        <f t="shared" ref="P43" si="29">(L43*N43)/O43</f>
        <v>#DIV/0!</v>
      </c>
    </row>
    <row r="44" spans="1:16" x14ac:dyDescent="0.2">
      <c r="A44" t="s">
        <v>116</v>
      </c>
    </row>
    <row r="46" spans="1:16" x14ac:dyDescent="0.2">
      <c r="J46" t="s">
        <v>150</v>
      </c>
      <c r="K46" t="e">
        <f t="shared" ref="K46" si="30">AVERAGE(I44:I46)*J46</f>
        <v>#DIV/0!</v>
      </c>
      <c r="L46" s="1" t="e">
        <f t="shared" ref="L46" si="31">AVERAGE(E44:E46)*J46</f>
        <v>#DIV/0!</v>
      </c>
      <c r="M46">
        <v>247.06299999999999</v>
      </c>
      <c r="N46">
        <f t="shared" ref="N46" si="32">M46/1000</f>
        <v>0.24706299999999998</v>
      </c>
      <c r="O46">
        <v>1</v>
      </c>
      <c r="P46" s="1" t="e">
        <f t="shared" ref="P46" si="33">(L46*N46)/O46</f>
        <v>#DIV/0!</v>
      </c>
    </row>
    <row r="47" spans="1:16" x14ac:dyDescent="0.2">
      <c r="A47" s="4" t="s">
        <v>104</v>
      </c>
      <c r="B47" t="s">
        <v>25</v>
      </c>
      <c r="C47">
        <v>4010</v>
      </c>
      <c r="D47">
        <v>63.324561000000003</v>
      </c>
      <c r="E47" s="1">
        <v>5470000000</v>
      </c>
      <c r="F47">
        <v>0.62430775999999999</v>
      </c>
      <c r="G47">
        <v>10.788698</v>
      </c>
      <c r="H47">
        <v>5.2003221999999996</v>
      </c>
      <c r="I47">
        <v>4.4729263000000001</v>
      </c>
    </row>
    <row r="48" spans="1:16" x14ac:dyDescent="0.2">
      <c r="B48" t="s">
        <v>26</v>
      </c>
      <c r="C48">
        <v>3727</v>
      </c>
      <c r="D48">
        <v>61.049160999999998</v>
      </c>
      <c r="E48" s="1">
        <v>5080000000</v>
      </c>
      <c r="F48">
        <v>0.52426359</v>
      </c>
      <c r="G48">
        <v>7.5488261999999997</v>
      </c>
      <c r="H48">
        <v>4.2253489000000002</v>
      </c>
      <c r="I48">
        <v>3.1296957999999999</v>
      </c>
    </row>
    <row r="49" spans="2:16" x14ac:dyDescent="0.2">
      <c r="B49" t="s">
        <v>27</v>
      </c>
      <c r="C49">
        <v>3887</v>
      </c>
      <c r="D49">
        <v>62.34581</v>
      </c>
      <c r="E49" s="1">
        <v>5300000000</v>
      </c>
      <c r="F49">
        <v>0.50501607000000004</v>
      </c>
      <c r="G49">
        <v>7.3965597000000001</v>
      </c>
      <c r="H49">
        <v>4.1116042000000004</v>
      </c>
      <c r="I49">
        <v>3.066567</v>
      </c>
      <c r="J49">
        <v>1</v>
      </c>
      <c r="K49">
        <f>AVERAGE(I47:I49)*J49</f>
        <v>3.5563963666666667</v>
      </c>
      <c r="L49" s="1">
        <f>AVERAGE(E47:E49)*J49</f>
        <v>5283333333.333333</v>
      </c>
      <c r="M49">
        <v>248.06299999999999</v>
      </c>
      <c r="N49">
        <f t="shared" ref="N49" si="34">M49/1000</f>
        <v>0.24806299999999998</v>
      </c>
      <c r="O49">
        <v>4.5326000000000004</v>
      </c>
      <c r="P49" s="1">
        <f>(L49*N49)/O49</f>
        <v>289149608.76024055</v>
      </c>
    </row>
  </sheetData>
  <phoneticPr fontId="22" type="noConversion"/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02B24-680C-574C-9435-27FBEE16115D}">
  <dimension ref="A1:P44"/>
  <sheetViews>
    <sheetView workbookViewId="0">
      <selection activeCell="J2" sqref="J2"/>
    </sheetView>
  </sheetViews>
  <sheetFormatPr baseColWidth="10" defaultRowHeight="16" x14ac:dyDescent="0.2"/>
  <cols>
    <col min="5" max="5" width="20.1640625" customWidth="1"/>
    <col min="12" max="12" width="10.83203125" style="1"/>
    <col min="16" max="16" width="12.1640625" style="1" bestFit="1" customWidth="1"/>
  </cols>
  <sheetData>
    <row r="1" spans="1:16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97</v>
      </c>
      <c r="L1" s="1" t="s">
        <v>145</v>
      </c>
      <c r="N1" t="s">
        <v>149</v>
      </c>
      <c r="O1" t="s">
        <v>147</v>
      </c>
      <c r="P1" s="1" t="s">
        <v>148</v>
      </c>
    </row>
    <row r="2" spans="1:16" x14ac:dyDescent="0.2">
      <c r="A2" s="4" t="s">
        <v>101</v>
      </c>
      <c r="B2" t="s">
        <v>61</v>
      </c>
    </row>
    <row r="3" spans="1:16" x14ac:dyDescent="0.2">
      <c r="B3" t="s">
        <v>62</v>
      </c>
    </row>
    <row r="4" spans="1:16" x14ac:dyDescent="0.2">
      <c r="B4" t="s">
        <v>63</v>
      </c>
      <c r="J4">
        <v>7.9242760989122436</v>
      </c>
      <c r="K4" t="e">
        <f>AVERAGE(I2:I4)*J4</f>
        <v>#DIV/0!</v>
      </c>
      <c r="L4" s="1" t="e">
        <f>AVERAGE(E2:E4)*J4</f>
        <v>#DIV/0!</v>
      </c>
      <c r="M4">
        <v>1</v>
      </c>
    </row>
    <row r="5" spans="1:16" x14ac:dyDescent="0.2">
      <c r="A5" s="4" t="s">
        <v>102</v>
      </c>
      <c r="B5" t="s">
        <v>64</v>
      </c>
    </row>
    <row r="6" spans="1:16" x14ac:dyDescent="0.2">
      <c r="B6" t="s">
        <v>65</v>
      </c>
    </row>
    <row r="7" spans="1:16" x14ac:dyDescent="0.2">
      <c r="B7" t="s">
        <v>66</v>
      </c>
      <c r="J7">
        <v>7.9125537575371281</v>
      </c>
      <c r="K7" t="e">
        <f>AVERAGE(I5:I7)*J7</f>
        <v>#DIV/0!</v>
      </c>
      <c r="L7" s="1" t="e">
        <f t="shared" ref="L7" si="0">AVERAGE(E5:E7)*J7</f>
        <v>#DIV/0!</v>
      </c>
      <c r="M7">
        <v>1</v>
      </c>
    </row>
    <row r="8" spans="1:16" x14ac:dyDescent="0.2">
      <c r="A8" s="4" t="s">
        <v>103</v>
      </c>
      <c r="B8" t="s">
        <v>67</v>
      </c>
    </row>
    <row r="9" spans="1:16" x14ac:dyDescent="0.2">
      <c r="B9" t="s">
        <v>68</v>
      </c>
    </row>
    <row r="10" spans="1:16" x14ac:dyDescent="0.2">
      <c r="B10" t="s">
        <v>69</v>
      </c>
      <c r="J10">
        <v>7.9260969315053638</v>
      </c>
      <c r="K10" t="e">
        <f>AVERAGE(I8:I10)*J10</f>
        <v>#DIV/0!</v>
      </c>
      <c r="L10" s="1" t="e">
        <f t="shared" ref="L10" si="1">AVERAGE(E8:E10)*J10</f>
        <v>#DIV/0!</v>
      </c>
      <c r="M10">
        <v>1</v>
      </c>
    </row>
    <row r="11" spans="1:16" x14ac:dyDescent="0.2">
      <c r="A11" s="4" t="s">
        <v>104</v>
      </c>
      <c r="B11" t="s">
        <v>34</v>
      </c>
      <c r="C11">
        <v>389</v>
      </c>
      <c r="D11">
        <v>19.723082999999999</v>
      </c>
      <c r="E11" s="1">
        <v>530000000</v>
      </c>
      <c r="F11">
        <v>0.13857021999999999</v>
      </c>
      <c r="G11">
        <v>12.579896</v>
      </c>
      <c r="H11">
        <v>5.6714544</v>
      </c>
      <c r="I11">
        <v>5.2155455999999996</v>
      </c>
    </row>
    <row r="12" spans="1:16" x14ac:dyDescent="0.2">
      <c r="B12" t="s">
        <v>35</v>
      </c>
      <c r="C12">
        <v>1753</v>
      </c>
      <c r="D12">
        <v>41.868842999999998</v>
      </c>
      <c r="E12" s="1">
        <v>2390000000</v>
      </c>
      <c r="F12">
        <v>0.24153562000000001</v>
      </c>
      <c r="G12">
        <v>8.3228072999999991</v>
      </c>
      <c r="H12">
        <v>3.9424828999999999</v>
      </c>
      <c r="I12">
        <v>3.4505835</v>
      </c>
    </row>
    <row r="13" spans="1:16" x14ac:dyDescent="0.2">
      <c r="B13" t="s">
        <v>36</v>
      </c>
      <c r="C13">
        <v>1651</v>
      </c>
      <c r="D13">
        <v>40.632499000000003</v>
      </c>
      <c r="E13" s="1">
        <v>2250000000</v>
      </c>
      <c r="F13">
        <v>0.23516828000000001</v>
      </c>
      <c r="G13">
        <v>8.7797155</v>
      </c>
      <c r="H13">
        <v>4.0933371000000003</v>
      </c>
      <c r="I13">
        <v>3.6400147</v>
      </c>
      <c r="J13">
        <v>1</v>
      </c>
      <c r="K13">
        <f>AVERAGE(I11:I13)*J13</f>
        <v>4.1020479333333331</v>
      </c>
      <c r="L13" s="1">
        <f t="shared" ref="L13" si="2">AVERAGE(E11:E13)*J13</f>
        <v>1723333333.3333333</v>
      </c>
      <c r="M13">
        <v>225.09140000000008</v>
      </c>
      <c r="N13">
        <f>M13/1000</f>
        <v>0.22509140000000008</v>
      </c>
      <c r="O13">
        <v>4.5326000000000022</v>
      </c>
      <c r="P13" s="1">
        <f>(L13*N13)/O13</f>
        <v>85581677.771404192</v>
      </c>
    </row>
    <row r="14" spans="1:16" x14ac:dyDescent="0.2">
      <c r="A14" s="4" t="s">
        <v>105</v>
      </c>
      <c r="B14" t="s">
        <v>37</v>
      </c>
      <c r="C14">
        <v>423</v>
      </c>
      <c r="D14">
        <v>20.566963999999999</v>
      </c>
      <c r="E14" s="1">
        <v>577000000</v>
      </c>
      <c r="F14">
        <v>5.1662420000000001E-2</v>
      </c>
      <c r="G14">
        <v>4.6319679999999996</v>
      </c>
      <c r="H14">
        <v>2.3890948000000001</v>
      </c>
      <c r="I14">
        <v>1.9203847999999999</v>
      </c>
    </row>
    <row r="15" spans="1:16" x14ac:dyDescent="0.2">
      <c r="B15" t="s">
        <v>38</v>
      </c>
      <c r="C15">
        <v>446</v>
      </c>
      <c r="D15">
        <v>21.118711999999999</v>
      </c>
      <c r="E15" s="1">
        <v>608000000</v>
      </c>
      <c r="F15">
        <v>5.3094461000000003E-2</v>
      </c>
      <c r="G15">
        <v>5.4440493999999999</v>
      </c>
      <c r="H15">
        <v>2.5919986000000002</v>
      </c>
      <c r="I15">
        <v>2.2570686000000002</v>
      </c>
    </row>
    <row r="16" spans="1:16" x14ac:dyDescent="0.2">
      <c r="B16" s="2" t="s">
        <v>39</v>
      </c>
      <c r="C16">
        <v>499</v>
      </c>
      <c r="D16">
        <v>22.338308000000001</v>
      </c>
      <c r="E16" s="1">
        <v>680000000</v>
      </c>
      <c r="F16">
        <v>5.9455044999999998E-2</v>
      </c>
      <c r="G16">
        <v>7.2336903000000001</v>
      </c>
      <c r="H16">
        <v>3.2060316000000002</v>
      </c>
      <c r="I16">
        <v>2.9990424</v>
      </c>
      <c r="J16">
        <v>1</v>
      </c>
      <c r="K16">
        <f t="shared" ref="K16" si="3">AVERAGE(I14:I16)*J16</f>
        <v>2.3921652666666664</v>
      </c>
      <c r="L16" s="1">
        <f t="shared" ref="L16" si="4">AVERAGE(E14:E16)*J16</f>
        <v>621666666.66666663</v>
      </c>
      <c r="M16">
        <v>226.08859999999999</v>
      </c>
      <c r="N16">
        <f t="shared" ref="N16" si="5">M16/1000</f>
        <v>0.22608859999999997</v>
      </c>
      <c r="O16">
        <v>4.6811999999999969</v>
      </c>
      <c r="P16" s="1">
        <f t="shared" ref="P16" si="6">(L16*N16)/O16</f>
        <v>30024725.782562893</v>
      </c>
    </row>
    <row r="17" spans="1:16" x14ac:dyDescent="0.2">
      <c r="A17" s="4" t="s">
        <v>106</v>
      </c>
      <c r="B17" t="s">
        <v>40</v>
      </c>
      <c r="C17">
        <v>273</v>
      </c>
      <c r="D17">
        <v>16.522711999999999</v>
      </c>
      <c r="E17" s="1">
        <v>372000000</v>
      </c>
      <c r="F17">
        <v>4.7528924E-2</v>
      </c>
      <c r="G17">
        <v>6.1719588999999999</v>
      </c>
      <c r="H17">
        <v>2.7302289000000002</v>
      </c>
      <c r="I17">
        <v>2.5588552999999998</v>
      </c>
    </row>
    <row r="18" spans="1:16" x14ac:dyDescent="0.2">
      <c r="B18" t="s">
        <v>41</v>
      </c>
      <c r="C18">
        <v>224</v>
      </c>
      <c r="D18">
        <v>14.96663</v>
      </c>
      <c r="E18" s="1">
        <v>305000000</v>
      </c>
      <c r="F18">
        <v>3.9595904000000001E-2</v>
      </c>
      <c r="G18">
        <v>7.4946660999999999</v>
      </c>
      <c r="H18">
        <v>3.0298251999999999</v>
      </c>
      <c r="I18">
        <v>3.1072413000000001</v>
      </c>
    </row>
    <row r="19" spans="1:16" x14ac:dyDescent="0.2">
      <c r="B19" s="2" t="s">
        <v>42</v>
      </c>
      <c r="C19">
        <v>308</v>
      </c>
      <c r="D19">
        <v>17.549928999999999</v>
      </c>
      <c r="E19" s="1">
        <v>420000000</v>
      </c>
      <c r="F19">
        <v>4.6313079E-2</v>
      </c>
      <c r="G19">
        <v>9.3656205999999997</v>
      </c>
      <c r="H19">
        <v>3.6995779999999998</v>
      </c>
      <c r="I19">
        <v>3.8829273</v>
      </c>
      <c r="J19">
        <v>1</v>
      </c>
      <c r="K19">
        <f t="shared" ref="K19" si="7">AVERAGE(I17:I19)*J19</f>
        <v>3.1830079666666666</v>
      </c>
      <c r="L19" s="1">
        <f t="shared" ref="L19" si="8">AVERAGE(E17:E19)*J19</f>
        <v>365666666.66666669</v>
      </c>
      <c r="M19">
        <v>217.14140000000003</v>
      </c>
      <c r="N19">
        <f t="shared" ref="N19" si="9">M19/1000</f>
        <v>0.21714140000000004</v>
      </c>
      <c r="O19">
        <v>4.4817999999999998</v>
      </c>
      <c r="P19" s="1">
        <f t="shared" ref="P19" si="10">(L19*N19)/O19</f>
        <v>17716402.32347123</v>
      </c>
    </row>
    <row r="20" spans="1:16" x14ac:dyDescent="0.2">
      <c r="A20" t="s">
        <v>107</v>
      </c>
      <c r="B20" t="s">
        <v>88</v>
      </c>
    </row>
    <row r="21" spans="1:16" x14ac:dyDescent="0.2">
      <c r="B21" t="s">
        <v>89</v>
      </c>
    </row>
    <row r="22" spans="1:16" x14ac:dyDescent="0.2">
      <c r="B22" t="s">
        <v>90</v>
      </c>
      <c r="J22">
        <v>19.465537383177594</v>
      </c>
      <c r="K22" t="e">
        <f>AVERAGE(I20:I22)*J22</f>
        <v>#DIV/0!</v>
      </c>
      <c r="L22" s="1" t="e">
        <f t="shared" ref="L22" si="11">AVERAGE(E20:E22)*J22</f>
        <v>#DIV/0!</v>
      </c>
      <c r="N22">
        <f t="shared" ref="N22" si="12">M22/1000</f>
        <v>0</v>
      </c>
    </row>
    <row r="23" spans="1:16" x14ac:dyDescent="0.2">
      <c r="A23" t="s">
        <v>108</v>
      </c>
      <c r="B23" t="s">
        <v>91</v>
      </c>
    </row>
    <row r="24" spans="1:16" x14ac:dyDescent="0.2">
      <c r="B24" t="s">
        <v>92</v>
      </c>
    </row>
    <row r="25" spans="1:16" x14ac:dyDescent="0.2">
      <c r="B25" t="s">
        <v>93</v>
      </c>
      <c r="J25">
        <v>19.796270853778214</v>
      </c>
      <c r="K25" t="e">
        <f>AVERAGE(I23:I25)*J25</f>
        <v>#DIV/0!</v>
      </c>
      <c r="L25" s="1" t="e">
        <f t="shared" ref="L25" si="13">AVERAGE(E23:E25)*J25</f>
        <v>#DIV/0!</v>
      </c>
      <c r="N25">
        <f t="shared" ref="N25" si="14">M25/1000</f>
        <v>0</v>
      </c>
    </row>
    <row r="26" spans="1:16" x14ac:dyDescent="0.2">
      <c r="A26" t="s">
        <v>109</v>
      </c>
      <c r="B26" t="s">
        <v>94</v>
      </c>
    </row>
    <row r="27" spans="1:16" x14ac:dyDescent="0.2">
      <c r="B27" t="s">
        <v>95</v>
      </c>
    </row>
    <row r="28" spans="1:16" x14ac:dyDescent="0.2">
      <c r="B28" t="s">
        <v>96</v>
      </c>
      <c r="J28">
        <v>19.127758420441332</v>
      </c>
      <c r="K28" t="e">
        <f>AVERAGE(I26:I28)*J28</f>
        <v>#DIV/0!</v>
      </c>
      <c r="L28" s="1" t="e">
        <f t="shared" ref="L28" si="15">AVERAGE(E26:E28)*J28</f>
        <v>#DIV/0!</v>
      </c>
      <c r="N28">
        <f t="shared" ref="N28" si="16">M28/1000</f>
        <v>0</v>
      </c>
    </row>
    <row r="29" spans="1:16" x14ac:dyDescent="0.2">
      <c r="A29" t="s">
        <v>111</v>
      </c>
      <c r="B29" t="s">
        <v>127</v>
      </c>
    </row>
    <row r="30" spans="1:16" x14ac:dyDescent="0.2">
      <c r="B30" t="s">
        <v>128</v>
      </c>
    </row>
    <row r="31" spans="1:16" x14ac:dyDescent="0.2">
      <c r="B31" t="s">
        <v>129</v>
      </c>
      <c r="J31">
        <v>5.9852838818733218</v>
      </c>
      <c r="K31" t="e">
        <f t="shared" ref="K31" si="17">AVERAGE(I29:I31)*J31</f>
        <v>#DIV/0!</v>
      </c>
      <c r="L31" s="1" t="e">
        <f t="shared" ref="L31" si="18">AVERAGE(E29:E31)*J31</f>
        <v>#DIV/0!</v>
      </c>
      <c r="N31">
        <f t="shared" ref="N31" si="19">M31/1000</f>
        <v>0</v>
      </c>
    </row>
    <row r="32" spans="1:16" x14ac:dyDescent="0.2">
      <c r="A32" t="s">
        <v>112</v>
      </c>
      <c r="B32" t="s">
        <v>130</v>
      </c>
    </row>
    <row r="33" spans="1:14" x14ac:dyDescent="0.2">
      <c r="B33" t="s">
        <v>131</v>
      </c>
    </row>
    <row r="34" spans="1:14" x14ac:dyDescent="0.2">
      <c r="B34" t="s">
        <v>132</v>
      </c>
      <c r="J34">
        <v>5.9622716441620325</v>
      </c>
      <c r="K34" t="e">
        <f t="shared" ref="K34:K37" si="20">AVERAGE(I32:I34)*J34</f>
        <v>#DIV/0!</v>
      </c>
      <c r="L34" s="1" t="e">
        <f t="shared" ref="L34" si="21">AVERAGE(E32:E34)*J34</f>
        <v>#DIV/0!</v>
      </c>
      <c r="N34">
        <f t="shared" ref="N34" si="22">M34/1000</f>
        <v>0</v>
      </c>
    </row>
    <row r="35" spans="1:14" x14ac:dyDescent="0.2">
      <c r="A35" t="s">
        <v>113</v>
      </c>
      <c r="B35" t="s">
        <v>133</v>
      </c>
    </row>
    <row r="36" spans="1:14" x14ac:dyDescent="0.2">
      <c r="B36" t="s">
        <v>134</v>
      </c>
    </row>
    <row r="37" spans="1:14" x14ac:dyDescent="0.2">
      <c r="B37" t="s">
        <v>135</v>
      </c>
      <c r="J37">
        <v>5.8846455150802965</v>
      </c>
      <c r="K37" t="e">
        <f t="shared" si="20"/>
        <v>#DIV/0!</v>
      </c>
      <c r="L37" s="1" t="e">
        <f t="shared" ref="L37" si="23">AVERAGE(E35:E37)*J37</f>
        <v>#DIV/0!</v>
      </c>
      <c r="N37">
        <f t="shared" ref="N37" si="24">M37/1000</f>
        <v>0</v>
      </c>
    </row>
    <row r="38" spans="1:14" x14ac:dyDescent="0.2">
      <c r="A38" t="s">
        <v>114</v>
      </c>
    </row>
    <row r="41" spans="1:14" x14ac:dyDescent="0.2">
      <c r="A41" t="s">
        <v>115</v>
      </c>
    </row>
    <row r="44" spans="1:14" x14ac:dyDescent="0.2">
      <c r="A44" t="s">
        <v>116</v>
      </c>
    </row>
  </sheetData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B7AF-5B34-C743-815D-1DD6F92E01C5}">
  <dimension ref="A1:L37"/>
  <sheetViews>
    <sheetView workbookViewId="0">
      <selection activeCell="F23" sqref="F23"/>
    </sheetView>
  </sheetViews>
  <sheetFormatPr baseColWidth="10" defaultRowHeight="16" x14ac:dyDescent="0.2"/>
  <sheetData>
    <row r="1" spans="1:12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K1" t="s">
        <v>97</v>
      </c>
      <c r="L1" t="s">
        <v>145</v>
      </c>
    </row>
    <row r="2" spans="1:12" x14ac:dyDescent="0.2">
      <c r="A2" s="4" t="s">
        <v>101</v>
      </c>
      <c r="B2" t="s">
        <v>70</v>
      </c>
    </row>
    <row r="3" spans="1:12" x14ac:dyDescent="0.2">
      <c r="B3" t="s">
        <v>71</v>
      </c>
    </row>
    <row r="4" spans="1:12" x14ac:dyDescent="0.2">
      <c r="B4" t="s">
        <v>72</v>
      </c>
      <c r="J4">
        <v>10.024112056028013</v>
      </c>
      <c r="K4" t="e">
        <f>AVERAGE(I2:I4)*J4</f>
        <v>#DIV/0!</v>
      </c>
      <c r="L4" t="e">
        <f>AVERAGE(E2:E4)*J4</f>
        <v>#DIV/0!</v>
      </c>
    </row>
    <row r="5" spans="1:12" x14ac:dyDescent="0.2">
      <c r="A5" s="4" t="s">
        <v>102</v>
      </c>
      <c r="B5" t="s">
        <v>82</v>
      </c>
    </row>
    <row r="6" spans="1:12" x14ac:dyDescent="0.2">
      <c r="B6" t="s">
        <v>83</v>
      </c>
    </row>
    <row r="7" spans="1:12" x14ac:dyDescent="0.2">
      <c r="B7" t="s">
        <v>84</v>
      </c>
      <c r="J7">
        <v>9.595886992113412</v>
      </c>
      <c r="K7" t="e">
        <f t="shared" ref="K7" si="0">AVERAGE(I5:I7)*J7</f>
        <v>#DIV/0!</v>
      </c>
      <c r="L7" t="e">
        <f t="shared" ref="L7" si="1">AVERAGE(E5:E7)*J7</f>
        <v>#DIV/0!</v>
      </c>
    </row>
    <row r="8" spans="1:12" x14ac:dyDescent="0.2">
      <c r="A8" s="4" t="s">
        <v>103</v>
      </c>
      <c r="B8" t="s">
        <v>85</v>
      </c>
    </row>
    <row r="9" spans="1:12" x14ac:dyDescent="0.2">
      <c r="B9" t="s">
        <v>86</v>
      </c>
    </row>
    <row r="10" spans="1:12" x14ac:dyDescent="0.2">
      <c r="B10" t="s">
        <v>87</v>
      </c>
      <c r="J10">
        <v>9.8783515392254273</v>
      </c>
      <c r="K10" t="e">
        <f t="shared" ref="K10" si="2">AVERAGE(I8:I10)*J10</f>
        <v>#DIV/0!</v>
      </c>
      <c r="L10" t="e">
        <f t="shared" ref="L10" si="3">AVERAGE(E8:E10)*J10</f>
        <v>#DIV/0!</v>
      </c>
    </row>
    <row r="11" spans="1:12" x14ac:dyDescent="0.2">
      <c r="A11" s="4" t="s">
        <v>104</v>
      </c>
      <c r="B11" t="s">
        <v>73</v>
      </c>
      <c r="C11">
        <v>195</v>
      </c>
      <c r="D11">
        <v>13.96424</v>
      </c>
      <c r="E11" s="1">
        <v>266000000</v>
      </c>
      <c r="F11">
        <v>3.0519319999999999E-2</v>
      </c>
      <c r="G11">
        <v>10.746111000000001</v>
      </c>
      <c r="H11">
        <v>3.9338910999999999</v>
      </c>
      <c r="I11">
        <v>4.4552699000000002</v>
      </c>
    </row>
    <row r="12" spans="1:12" x14ac:dyDescent="0.2">
      <c r="B12" t="s">
        <v>74</v>
      </c>
      <c r="C12">
        <v>176</v>
      </c>
      <c r="D12">
        <v>13.266499</v>
      </c>
      <c r="E12" s="1">
        <v>240000000</v>
      </c>
      <c r="F12">
        <v>2.4974284999999999E-2</v>
      </c>
      <c r="G12">
        <v>7.6509032000000001</v>
      </c>
      <c r="H12">
        <v>3.0778376999999999</v>
      </c>
      <c r="I12">
        <v>3.1720163000000001</v>
      </c>
    </row>
    <row r="13" spans="1:12" x14ac:dyDescent="0.2">
      <c r="B13" t="s">
        <v>75</v>
      </c>
      <c r="C13">
        <v>226</v>
      </c>
      <c r="D13">
        <v>15.033296</v>
      </c>
      <c r="E13" s="1">
        <v>308000000</v>
      </c>
      <c r="F13">
        <v>3.3231985999999998E-2</v>
      </c>
      <c r="G13">
        <v>9.2775431000000008</v>
      </c>
      <c r="H13">
        <v>3.3829737</v>
      </c>
      <c r="I13">
        <v>3.8464109</v>
      </c>
      <c r="J13">
        <f>([1]dilutions!G17-[1]dilutions!E17)/([1]dilutions!F17-[1]dilutions!E17)</f>
        <v>2.9677323713989234</v>
      </c>
      <c r="K13">
        <f t="shared" ref="K13" si="4">AVERAGE(I11:I13)*J13</f>
        <v>11.350287434431985</v>
      </c>
      <c r="L13">
        <f t="shared" ref="L13" si="5">AVERAGE(E11:E13)*J13</f>
        <v>805244716.77290785</v>
      </c>
    </row>
    <row r="14" spans="1:12" x14ac:dyDescent="0.2">
      <c r="A14" s="4" t="s">
        <v>105</v>
      </c>
      <c r="B14" t="s">
        <v>76</v>
      </c>
      <c r="C14">
        <v>188</v>
      </c>
      <c r="D14">
        <v>13.711309</v>
      </c>
      <c r="E14" s="1">
        <v>256000000</v>
      </c>
      <c r="F14">
        <v>3.2301029000000002E-2</v>
      </c>
      <c r="G14">
        <v>12.656744</v>
      </c>
      <c r="H14">
        <v>4.2274970999999999</v>
      </c>
      <c r="I14">
        <v>5.2474062999999997</v>
      </c>
    </row>
    <row r="15" spans="1:12" x14ac:dyDescent="0.2">
      <c r="B15" t="s">
        <v>77</v>
      </c>
      <c r="C15">
        <v>131</v>
      </c>
      <c r="D15">
        <v>11.445523</v>
      </c>
      <c r="E15" s="1">
        <v>179000000</v>
      </c>
      <c r="F15">
        <v>3.3904129999999998E-2</v>
      </c>
      <c r="G15">
        <v>15.056993</v>
      </c>
      <c r="H15">
        <v>4.6655245000000001</v>
      </c>
      <c r="I15">
        <v>6.2425341999999997</v>
      </c>
    </row>
    <row r="16" spans="1:12" x14ac:dyDescent="0.2">
      <c r="B16" t="s">
        <v>78</v>
      </c>
      <c r="C16">
        <v>117</v>
      </c>
      <c r="D16">
        <v>10.816654</v>
      </c>
      <c r="E16" s="1">
        <v>159000000</v>
      </c>
      <c r="F16">
        <v>3.2915737E-2</v>
      </c>
      <c r="G16">
        <v>16.801796</v>
      </c>
      <c r="H16">
        <v>5.1917128999999997</v>
      </c>
      <c r="I16">
        <v>6.9659186999999996</v>
      </c>
      <c r="J16">
        <f>([1]dilutions!G18-[1]dilutions!E18)/([1]dilutions!F18-[1]dilutions!E18)</f>
        <v>2.9709802764251632</v>
      </c>
      <c r="K16">
        <f t="shared" ref="K16" si="6">AVERAGE(I14:I16)*J16</f>
        <v>18.277331222559962</v>
      </c>
      <c r="L16">
        <f t="shared" ref="L16" si="7">AVERAGE(E14:E16)*J16</f>
        <v>588254094.73218226</v>
      </c>
    </row>
    <row r="17" spans="1:12" x14ac:dyDescent="0.2">
      <c r="A17" s="4" t="s">
        <v>106</v>
      </c>
      <c r="B17" t="s">
        <v>79</v>
      </c>
      <c r="C17">
        <v>136</v>
      </c>
      <c r="D17">
        <v>11.661904</v>
      </c>
      <c r="E17" s="1">
        <v>185000000</v>
      </c>
      <c r="F17">
        <v>3.0204544E-2</v>
      </c>
      <c r="G17">
        <v>15.891780000000001</v>
      </c>
      <c r="H17">
        <v>4.6373614999999999</v>
      </c>
      <c r="I17">
        <v>6.5886317999999999</v>
      </c>
    </row>
    <row r="18" spans="1:12" x14ac:dyDescent="0.2">
      <c r="B18" t="s">
        <v>80</v>
      </c>
      <c r="C18">
        <v>147</v>
      </c>
      <c r="D18">
        <v>12.124356000000001</v>
      </c>
      <c r="E18" s="1">
        <v>200000000</v>
      </c>
      <c r="F18">
        <v>2.7164997999999999E-2</v>
      </c>
      <c r="G18">
        <v>18.943055999999999</v>
      </c>
      <c r="H18">
        <v>5.1797490000000002</v>
      </c>
      <c r="I18">
        <v>7.8536716999999996</v>
      </c>
    </row>
    <row r="19" spans="1:12" x14ac:dyDescent="0.2">
      <c r="B19" t="s">
        <v>81</v>
      </c>
      <c r="C19">
        <v>82</v>
      </c>
      <c r="D19">
        <v>9.0553851000000005</v>
      </c>
      <c r="E19" s="1">
        <v>112000000</v>
      </c>
      <c r="F19">
        <v>2.4583866999999999E-2</v>
      </c>
      <c r="G19">
        <v>20.671783000000001</v>
      </c>
      <c r="H19">
        <v>5.7553859000000003</v>
      </c>
      <c r="I19">
        <v>8.5703911000000002</v>
      </c>
      <c r="J19">
        <f>([1]dilutions!G19-[1]dilutions!E19)/([1]dilutions!F19-[1]dilutions!E19)</f>
        <v>2.9716906687709601</v>
      </c>
      <c r="K19">
        <f t="shared" ref="K19" si="8">AVERAGE(I17:I19)*J19</f>
        <v>22.795536602031955</v>
      </c>
      <c r="L19">
        <f t="shared" ref="L19" si="9">AVERAGE(E17:E19)*J19</f>
        <v>492310087.45972234</v>
      </c>
    </row>
    <row r="20" spans="1:12" x14ac:dyDescent="0.2">
      <c r="A20" t="s">
        <v>107</v>
      </c>
      <c r="B20" t="s">
        <v>98</v>
      </c>
    </row>
    <row r="21" spans="1:12" x14ac:dyDescent="0.2">
      <c r="B21" t="s">
        <v>99</v>
      </c>
    </row>
    <row r="22" spans="1:12" x14ac:dyDescent="0.2">
      <c r="B22" s="2" t="s">
        <v>100</v>
      </c>
      <c r="E22" s="1"/>
      <c r="J22">
        <v>49.167825223435834</v>
      </c>
      <c r="K22" t="e">
        <f t="shared" ref="K22" si="10">AVERAGE(I20:I22)*J22</f>
        <v>#DIV/0!</v>
      </c>
      <c r="L22" t="e">
        <f t="shared" ref="L22" si="11">AVERAGE(E20:E22)*J22</f>
        <v>#DIV/0!</v>
      </c>
    </row>
    <row r="23" spans="1:12" x14ac:dyDescent="0.2">
      <c r="A23" t="s">
        <v>108</v>
      </c>
      <c r="B23" t="s">
        <v>19</v>
      </c>
    </row>
    <row r="24" spans="1:12" x14ac:dyDescent="0.2">
      <c r="B24" t="s">
        <v>20</v>
      </c>
    </row>
    <row r="25" spans="1:12" x14ac:dyDescent="0.2">
      <c r="B25" t="s">
        <v>21</v>
      </c>
      <c r="J25">
        <v>48.605853658536574</v>
      </c>
      <c r="K25" t="e">
        <f t="shared" ref="K25" si="12">AVERAGE(I23:I25)*J25</f>
        <v>#DIV/0!</v>
      </c>
      <c r="L25" t="e">
        <f t="shared" ref="L25" si="13">AVERAGE(E23:E25)*J25</f>
        <v>#DIV/0!</v>
      </c>
    </row>
    <row r="26" spans="1:12" x14ac:dyDescent="0.2">
      <c r="A26" t="s">
        <v>109</v>
      </c>
      <c r="B26" t="s">
        <v>22</v>
      </c>
      <c r="E26" s="1"/>
    </row>
    <row r="27" spans="1:12" x14ac:dyDescent="0.2">
      <c r="B27" t="s">
        <v>23</v>
      </c>
    </row>
    <row r="28" spans="1:12" x14ac:dyDescent="0.2">
      <c r="B28" t="s">
        <v>24</v>
      </c>
      <c r="E28" s="1"/>
      <c r="J28">
        <v>50.324556962025362</v>
      </c>
      <c r="K28" t="e">
        <f t="shared" ref="K28" si="14">AVERAGE(I26:I28)*J28</f>
        <v>#DIV/0!</v>
      </c>
      <c r="L28" t="e">
        <f t="shared" ref="L28" si="15">AVERAGE(E26:E28)*J28</f>
        <v>#DIV/0!</v>
      </c>
    </row>
    <row r="29" spans="1:12" x14ac:dyDescent="0.2">
      <c r="A29" t="s">
        <v>111</v>
      </c>
      <c r="B29" t="s">
        <v>136</v>
      </c>
    </row>
    <row r="30" spans="1:12" x14ac:dyDescent="0.2">
      <c r="B30" t="s">
        <v>137</v>
      </c>
    </row>
    <row r="31" spans="1:12" x14ac:dyDescent="0.2">
      <c r="B31" t="s">
        <v>138</v>
      </c>
      <c r="J31">
        <v>12.733000000000001</v>
      </c>
      <c r="K31" t="e">
        <f t="shared" ref="K31" si="16">AVERAGE(I29:I31)*J31</f>
        <v>#DIV/0!</v>
      </c>
      <c r="L31" t="e">
        <f t="shared" ref="L31" si="17">AVERAGE(E29:E31)*J31</f>
        <v>#DIV/0!</v>
      </c>
    </row>
    <row r="32" spans="1:12" x14ac:dyDescent="0.2">
      <c r="A32" t="s">
        <v>112</v>
      </c>
      <c r="B32" t="s">
        <v>139</v>
      </c>
    </row>
    <row r="33" spans="1:12" x14ac:dyDescent="0.2">
      <c r="B33" t="s">
        <v>140</v>
      </c>
    </row>
    <row r="34" spans="1:12" x14ac:dyDescent="0.2">
      <c r="B34" t="s">
        <v>141</v>
      </c>
      <c r="J34">
        <v>12.7295</v>
      </c>
      <c r="K34" t="e">
        <f t="shared" ref="K34" si="18">AVERAGE(I32:I34)*J34</f>
        <v>#DIV/0!</v>
      </c>
      <c r="L34" t="e">
        <f t="shared" ref="L34" si="19">AVERAGE(E32:E34)*J34</f>
        <v>#DIV/0!</v>
      </c>
    </row>
    <row r="35" spans="1:12" x14ac:dyDescent="0.2">
      <c r="A35" t="s">
        <v>113</v>
      </c>
      <c r="B35" t="s">
        <v>142</v>
      </c>
    </row>
    <row r="36" spans="1:12" x14ac:dyDescent="0.2">
      <c r="B36" t="s">
        <v>143</v>
      </c>
    </row>
    <row r="37" spans="1:12" x14ac:dyDescent="0.2">
      <c r="B37" t="s">
        <v>144</v>
      </c>
      <c r="J37">
        <v>12.754899999999999</v>
      </c>
      <c r="K37" t="e">
        <f t="shared" ref="K37" si="20">AVERAGE(I35:I37)*J37</f>
        <v>#DIV/0!</v>
      </c>
      <c r="L37" t="e">
        <f t="shared" ref="L37" si="21">AVERAGE(E35:E37)*J37</f>
        <v>#DIV/0!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A486-B1C3-6347-995A-FE93F0DC1B50}">
  <dimension ref="A1:K24"/>
  <sheetViews>
    <sheetView workbookViewId="0">
      <selection activeCell="A17" sqref="A17"/>
    </sheetView>
  </sheetViews>
  <sheetFormatPr baseColWidth="10" defaultRowHeight="16" x14ac:dyDescent="0.2"/>
  <cols>
    <col min="2" max="2" width="12.1640625" bestFit="1" customWidth="1"/>
  </cols>
  <sheetData>
    <row r="1" spans="1:7" x14ac:dyDescent="0.2">
      <c r="A1" s="5" t="s">
        <v>156</v>
      </c>
    </row>
    <row r="2" spans="1:7" x14ac:dyDescent="0.2">
      <c r="A2" t="s">
        <v>151</v>
      </c>
      <c r="E2" t="s">
        <v>155</v>
      </c>
    </row>
    <row r="3" spans="1:7" x14ac:dyDescent="0.2">
      <c r="A3" t="s">
        <v>152</v>
      </c>
      <c r="B3" s="3">
        <v>30.463796027223601</v>
      </c>
      <c r="C3" s="3">
        <v>29.0867806062756</v>
      </c>
      <c r="D3" s="3">
        <v>31.9100118995785</v>
      </c>
      <c r="E3">
        <f>AVERAGE(B3:D3)</f>
        <v>30.486862844359234</v>
      </c>
    </row>
    <row r="5" spans="1:7" x14ac:dyDescent="0.2">
      <c r="A5" t="s">
        <v>153</v>
      </c>
      <c r="B5" s="3">
        <v>4.1126581357916097</v>
      </c>
      <c r="C5" s="3">
        <v>4.6703700633254401</v>
      </c>
      <c r="D5" s="3">
        <v>6.1885339853164298</v>
      </c>
      <c r="E5">
        <f>SQRT(((B5^2)+(C5^2)+(D5^2))/3)</f>
        <v>5.06702629286369</v>
      </c>
    </row>
    <row r="7" spans="1:7" x14ac:dyDescent="0.2">
      <c r="A7" t="s">
        <v>154</v>
      </c>
      <c r="B7" s="3">
        <v>29.885953166666699</v>
      </c>
      <c r="C7" s="3">
        <v>28.206682000000001</v>
      </c>
      <c r="D7" s="3">
        <v>30.6013116666667</v>
      </c>
      <c r="E7">
        <f>AVERAGE(B7:D7)</f>
        <v>29.564648944444468</v>
      </c>
      <c r="F7" s="3"/>
      <c r="G7" s="3"/>
    </row>
    <row r="8" spans="1:7" x14ac:dyDescent="0.2">
      <c r="D8" t="s">
        <v>158</v>
      </c>
      <c r="E8">
        <f>STDEV(B7:D7)</f>
        <v>1.229223377801383</v>
      </c>
    </row>
    <row r="10" spans="1:7" x14ac:dyDescent="0.2">
      <c r="A10" t="s">
        <v>110</v>
      </c>
      <c r="E10" t="s">
        <v>155</v>
      </c>
      <c r="F10" s="3"/>
      <c r="G10" s="3"/>
    </row>
    <row r="11" spans="1:7" x14ac:dyDescent="0.2">
      <c r="A11" t="s">
        <v>152</v>
      </c>
      <c r="B11" s="3">
        <v>30.839723948849599</v>
      </c>
      <c r="C11" s="3">
        <v>28.827129487642001</v>
      </c>
      <c r="D11" s="3">
        <v>30.830056955086601</v>
      </c>
      <c r="E11">
        <f>AVERAGE(B11:D11)</f>
        <v>30.165636797192732</v>
      </c>
    </row>
    <row r="13" spans="1:7" x14ac:dyDescent="0.2">
      <c r="A13" t="s">
        <v>153</v>
      </c>
      <c r="B13" s="3">
        <v>5.4717651435068602</v>
      </c>
      <c r="C13" s="3">
        <v>4.2024492425093296</v>
      </c>
      <c r="D13" s="3">
        <v>5.8294020603086301</v>
      </c>
      <c r="E13">
        <f>SQRT(((B13^2)+(C13^2)+(D13^2))/3)</f>
        <v>5.2148097377339466</v>
      </c>
    </row>
    <row r="15" spans="1:7" x14ac:dyDescent="0.2">
      <c r="A15" t="s">
        <v>154</v>
      </c>
      <c r="B15" s="3">
        <v>29.857011499999999</v>
      </c>
      <c r="C15" s="3">
        <v>27.970648000000001</v>
      </c>
      <c r="D15" s="3">
        <v>29.4568768333333</v>
      </c>
      <c r="E15">
        <f>AVERAGE(B15:D15)</f>
        <v>29.094845444444431</v>
      </c>
    </row>
    <row r="16" spans="1:7" x14ac:dyDescent="0.2">
      <c r="D16" t="s">
        <v>158</v>
      </c>
      <c r="E16">
        <f>STDEV(B15:D15)</f>
        <v>0.99392749153983173</v>
      </c>
    </row>
    <row r="17" spans="1:11" x14ac:dyDescent="0.2">
      <c r="A17" s="5" t="s">
        <v>157</v>
      </c>
      <c r="B17" s="3"/>
      <c r="C17" s="3"/>
    </row>
    <row r="18" spans="1:11" x14ac:dyDescent="0.2">
      <c r="A18" t="s">
        <v>151</v>
      </c>
      <c r="E18" t="s">
        <v>155</v>
      </c>
    </row>
    <row r="19" spans="1:11" x14ac:dyDescent="0.2">
      <c r="A19" t="s">
        <v>152</v>
      </c>
      <c r="B19" s="3">
        <v>64.150819244576397</v>
      </c>
      <c r="C19" s="3">
        <v>67.944765453638496</v>
      </c>
      <c r="D19" s="3">
        <v>71.524307416945405</v>
      </c>
      <c r="E19">
        <f>AVERAGE(B19:D19)</f>
        <v>67.873297371720113</v>
      </c>
      <c r="H19" s="3"/>
      <c r="I19">
        <v>0</v>
      </c>
      <c r="J19" s="3">
        <v>0</v>
      </c>
      <c r="K19">
        <v>0</v>
      </c>
    </row>
    <row r="20" spans="1:11" x14ac:dyDescent="0.2">
      <c r="H20" s="3"/>
      <c r="I20">
        <v>0</v>
      </c>
      <c r="J20" s="3">
        <v>0</v>
      </c>
      <c r="K20">
        <v>0</v>
      </c>
    </row>
    <row r="21" spans="1:11" x14ac:dyDescent="0.2">
      <c r="A21" t="s">
        <v>153</v>
      </c>
      <c r="B21" s="3">
        <v>14.008912223200801</v>
      </c>
      <c r="C21" s="3">
        <v>51.464245548236399</v>
      </c>
      <c r="D21" s="3">
        <v>35.631113870222002</v>
      </c>
      <c r="E21">
        <f>SQRT(((B21^2)+(C21^2)+(D21^2))/3)</f>
        <v>37.033293431538247</v>
      </c>
    </row>
    <row r="22" spans="1:11" x14ac:dyDescent="0.2">
      <c r="G22" s="3"/>
      <c r="H22" s="3"/>
    </row>
    <row r="23" spans="1:11" x14ac:dyDescent="0.2">
      <c r="A23" t="s">
        <v>154</v>
      </c>
      <c r="B23" s="3">
        <v>62.335157000000002</v>
      </c>
      <c r="C23" s="3">
        <v>58.806843000000001</v>
      </c>
      <c r="D23" s="3">
        <v>63.245289</v>
      </c>
      <c r="E23">
        <f>AVERAGE(B23:D23)</f>
        <v>61.462429666666672</v>
      </c>
      <c r="G23" s="3"/>
      <c r="H23" s="3"/>
    </row>
    <row r="24" spans="1:11" x14ac:dyDescent="0.2">
      <c r="D24" t="s">
        <v>158</v>
      </c>
      <c r="E24">
        <f>STDEV(B23:D23)</f>
        <v>2.3443955452289473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data</vt:lpstr>
      <vt:lpstr>t = 2</vt:lpstr>
      <vt:lpstr>t=4</vt:lpstr>
      <vt:lpstr>t=6</vt:lpstr>
      <vt:lpstr>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2024-06-28T00:19:23Z</dcterms:created>
  <dcterms:modified xsi:type="dcterms:W3CDTF">2025-10-05T20:53:15Z</dcterms:modified>
</cp:coreProperties>
</file>