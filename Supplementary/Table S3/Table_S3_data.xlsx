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isantos/Documents/Tufenkji/Raw data for SI/_manuscript tables/Supplementary/"/>
    </mc:Choice>
  </mc:AlternateContent>
  <xr:revisionPtr revIDLastSave="0" documentId="8_{8340E40D-B565-024B-B2B8-67DB25C2DD6A}" xr6:coauthVersionLast="47" xr6:coauthVersionMax="47" xr10:uidLastSave="{00000000-0000-0000-0000-000000000000}"/>
  <bookViews>
    <workbookView xWindow="1320" yWindow="2380" windowWidth="35220" windowHeight="17960" activeTab="2" xr2:uid="{0B8811E4-808F-534F-8BB7-DA5AE6140F8E}"/>
  </bookViews>
  <sheets>
    <sheet name="processed data" sheetId="3" r:id="rId1"/>
    <sheet name="statistics" sheetId="2" r:id="rId2"/>
    <sheet name="analysis using graphpad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3" l="1"/>
  <c r="U3" i="3"/>
  <c r="R4" i="3"/>
  <c r="S4" i="3"/>
  <c r="T4" i="3"/>
  <c r="U4" i="3"/>
  <c r="S5" i="3"/>
  <c r="U5" i="3"/>
  <c r="R6" i="3"/>
  <c r="S6" i="3"/>
  <c r="T6" i="3"/>
  <c r="U6" i="3"/>
  <c r="C7" i="3"/>
  <c r="R3" i="3" s="1"/>
  <c r="E7" i="3"/>
  <c r="G7" i="3"/>
  <c r="T3" i="3" s="1"/>
  <c r="I7" i="3"/>
  <c r="S7" i="3"/>
  <c r="T7" i="3"/>
  <c r="U7" i="3"/>
  <c r="C11" i="3"/>
  <c r="E11" i="3"/>
  <c r="F11" i="3"/>
  <c r="G11" i="3"/>
  <c r="I11" i="3"/>
  <c r="C15" i="3"/>
  <c r="R5" i="3" s="1"/>
  <c r="E15" i="3"/>
  <c r="G15" i="3"/>
  <c r="T5" i="3" s="1"/>
  <c r="I15" i="3"/>
  <c r="C19" i="3"/>
  <c r="E19" i="3"/>
  <c r="G19" i="3"/>
  <c r="H19" i="3"/>
  <c r="I19" i="3"/>
  <c r="J19" i="3"/>
  <c r="C23" i="3"/>
  <c r="R7" i="3" s="1"/>
  <c r="E23" i="3"/>
  <c r="G23" i="3"/>
  <c r="I23" i="3"/>
  <c r="K23" i="3"/>
  <c r="L23" i="3"/>
  <c r="M23" i="3"/>
  <c r="N23" i="3"/>
</calcChain>
</file>

<file path=xl/sharedStrings.xml><?xml version="1.0" encoding="utf-8"?>
<sst xmlns="http://schemas.openxmlformats.org/spreadsheetml/2006/main" count="279" uniqueCount="68">
  <si>
    <t>not significant</t>
  </si>
  <si>
    <t xml:space="preserve">ns </t>
  </si>
  <si>
    <t>p &lt; 0.001</t>
  </si>
  <si>
    <t>***</t>
  </si>
  <si>
    <t>p &lt; 0.01</t>
  </si>
  <si>
    <t>**</t>
  </si>
  <si>
    <t>p &lt; 0.05</t>
  </si>
  <si>
    <t xml:space="preserve">* </t>
  </si>
  <si>
    <t>*</t>
  </si>
  <si>
    <t>ns</t>
  </si>
  <si>
    <t>UV-FT (2nd layer)</t>
  </si>
  <si>
    <t>UV-FT (1st layer)</t>
  </si>
  <si>
    <t>UV</t>
  </si>
  <si>
    <t>FT</t>
  </si>
  <si>
    <t>HC</t>
  </si>
  <si>
    <t>CC</t>
  </si>
  <si>
    <t>UV-FT (2nd)</t>
  </si>
  <si>
    <t>UV-FT (1st)</t>
  </si>
  <si>
    <t>t-test summary Mann Whitney U test</t>
  </si>
  <si>
    <t>I did not include this data in the graph because I wasn't sure where it fit</t>
  </si>
  <si>
    <t>Average</t>
  </si>
  <si>
    <t>-</t>
  </si>
  <si>
    <t>UV-FT</t>
  </si>
  <si>
    <t>St Dev</t>
  </si>
  <si>
    <t>Avg</t>
  </si>
  <si>
    <t>Red</t>
  </si>
  <si>
    <t>Grey</t>
  </si>
  <si>
    <t>Red Bottom Dark</t>
  </si>
  <si>
    <t>Red Top Dark</t>
  </si>
  <si>
    <t>Red Bottom</t>
  </si>
  <si>
    <t>Red Top</t>
  </si>
  <si>
    <t>Grey Bottom</t>
  </si>
  <si>
    <t>Grey Top</t>
  </si>
  <si>
    <t>Treatment</t>
  </si>
  <si>
    <t>Table Analyzed</t>
  </si>
  <si>
    <t>testing for normality</t>
  </si>
  <si>
    <t>vs.</t>
  </si>
  <si>
    <t>Mann Whitney test</t>
  </si>
  <si>
    <t>    P value</t>
  </si>
  <si>
    <t>    Exact or approximate P value?</t>
  </si>
  <si>
    <t>Exact</t>
  </si>
  <si>
    <t>    P value summary</t>
  </si>
  <si>
    <t>    Significantly different (P &lt; 0.05)?</t>
  </si>
  <si>
    <t>Yes</t>
  </si>
  <si>
    <t>    One- or two-tailed P value?</t>
  </si>
  <si>
    <t>Two-tailed</t>
  </si>
  <si>
    <t>    Sum of  ranks in column A,D</t>
  </si>
  <si>
    <t>26 , 52</t>
  </si>
  <si>
    <t>    Mann-Whitney U</t>
  </si>
  <si>
    <t>Difference between medians</t>
  </si>
  <si>
    <t>    Median of column A</t>
  </si>
  <si>
    <t>76.92, n=6</t>
  </si>
  <si>
    <t>    Median of column D</t>
  </si>
  <si>
    <t>84.34, n=6</t>
  </si>
  <si>
    <t>    Difference: Actual</t>
  </si>
  <si>
    <t>    Difference: Hodges-Lehmann</t>
  </si>
  <si>
    <t>21 , 57</t>
  </si>
  <si>
    <t>114.3, n=6</t>
  </si>
  <si>
    <t>UV-FT (2nd)</t>
  </si>
  <si>
    <t>No</t>
  </si>
  <si>
    <t>29 , 49</t>
  </si>
  <si>
    <t>88.04, n=6</t>
  </si>
  <si>
    <t>91.75, n=6</t>
  </si>
  <si>
    <t>50 , 28</t>
  </si>
  <si>
    <t>51 , 27</t>
  </si>
  <si>
    <t>24 , 54</t>
  </si>
  <si>
    <t>UV-FT 1st</t>
  </si>
  <si>
    <t>124.1, n=6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</si>
</sst>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2" fontId="0" fillId="0" borderId="1" xfId="0" applyNumberFormat="1" applyBorder="1"/>
    <xf numFmtId="2" fontId="0" fillId="3" borderId="1" xfId="0" applyNumberFormat="1" applyFill="1" applyBorder="1"/>
    <xf numFmtId="0" fontId="2" fillId="0" borderId="1" xfId="0" applyFont="1" applyBorder="1"/>
    <xf numFmtId="2" fontId="0" fillId="0" borderId="2" xfId="0" applyNumberFormat="1" applyBorder="1" applyAlignment="1">
      <alignment horizontal="center"/>
    </xf>
    <xf numFmtId="2" fontId="0" fillId="0" borderId="2" xfId="0" applyNumberFormat="1" applyBorder="1"/>
    <xf numFmtId="2" fontId="0" fillId="3" borderId="2" xfId="0" applyNumberFormat="1" applyFill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2" fontId="0" fillId="0" borderId="4" xfId="0" applyNumberFormat="1" applyBorder="1"/>
    <xf numFmtId="0" fontId="3" fillId="0" borderId="4" xfId="0" applyFont="1" applyBorder="1" applyAlignment="1">
      <alignment horizontal="center" vertical="center"/>
    </xf>
    <xf numFmtId="2" fontId="0" fillId="4" borderId="1" xfId="0" applyNumberFormat="1" applyFill="1" applyBorder="1"/>
    <xf numFmtId="2" fontId="0" fillId="4" borderId="2" xfId="0" applyNumberFormat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4" xfId="0" applyFill="1" applyBorder="1"/>
    <xf numFmtId="2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'processed data'!$R$2</c:f>
              <c:strCache>
                <c:ptCount val="1"/>
                <c:pt idx="0">
                  <c:v>Grey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'processed data'!$S$3:$S$7</c:f>
                <c:numCache>
                  <c:formatCode>General</c:formatCode>
                  <c:ptCount val="5"/>
                  <c:pt idx="0">
                    <c:v>3.2092989888759198</c:v>
                  </c:pt>
                  <c:pt idx="1">
                    <c:v>2.1052315787105225</c:v>
                  </c:pt>
                  <c:pt idx="2">
                    <c:v>1.8940168953839878</c:v>
                  </c:pt>
                  <c:pt idx="3">
                    <c:v>2.4911242441917669</c:v>
                  </c:pt>
                  <c:pt idx="4">
                    <c:v>1.8080099557248019</c:v>
                  </c:pt>
                </c:numCache>
              </c:numRef>
            </c:plus>
            <c:minus>
              <c:numRef>
                <c:f>'processed data'!$S$3:$S$7</c:f>
                <c:numCache>
                  <c:formatCode>General</c:formatCode>
                  <c:ptCount val="5"/>
                  <c:pt idx="0">
                    <c:v>3.2092989888759198</c:v>
                  </c:pt>
                  <c:pt idx="1">
                    <c:v>2.1052315787105225</c:v>
                  </c:pt>
                  <c:pt idx="2">
                    <c:v>1.8940168953839878</c:v>
                  </c:pt>
                  <c:pt idx="3">
                    <c:v>2.4911242441917669</c:v>
                  </c:pt>
                  <c:pt idx="4">
                    <c:v>1.8080099557248019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'processed data'!$Q$3:$Q$7</c:f>
              <c:strCache>
                <c:ptCount val="5"/>
                <c:pt idx="0">
                  <c:v>HC</c:v>
                </c:pt>
                <c:pt idx="1">
                  <c:v>CC</c:v>
                </c:pt>
                <c:pt idx="2">
                  <c:v>FT</c:v>
                </c:pt>
                <c:pt idx="3">
                  <c:v>UV</c:v>
                </c:pt>
                <c:pt idx="4">
                  <c:v>UV-FT</c:v>
                </c:pt>
              </c:strCache>
            </c:strRef>
          </c:cat>
          <c:val>
            <c:numRef>
              <c:f>'processed data'!$R$3:$R$7</c:f>
              <c:numCache>
                <c:formatCode>0.00</c:formatCode>
                <c:ptCount val="5"/>
                <c:pt idx="0">
                  <c:v>79.251666666666665</c:v>
                </c:pt>
                <c:pt idx="1">
                  <c:v>81.765000000000001</c:v>
                </c:pt>
                <c:pt idx="2">
                  <c:v>81.161666666666662</c:v>
                </c:pt>
                <c:pt idx="3">
                  <c:v>65.51166666666667</c:v>
                </c:pt>
                <c:pt idx="4">
                  <c:v>78.465000000000003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0-3B4B-B5BD-9C4E0287E083}"/>
            </c:ext>
          </c:extLst>
        </c:ser>
        <c:ser>
          <c:idx val="1"/>
          <c:order val="1"/>
          <c:tx>
            <c:strRef>
              <c:f>'processed data'!$T$2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'processed data'!$U$3:$U$7</c:f>
                <c:numCache>
                  <c:formatCode>General</c:formatCode>
                  <c:ptCount val="5"/>
                  <c:pt idx="0">
                    <c:v>9.2042816123801856</c:v>
                  </c:pt>
                  <c:pt idx="1">
                    <c:v>2.9558416737031092</c:v>
                  </c:pt>
                  <c:pt idx="2">
                    <c:v>4.360963196359263</c:v>
                  </c:pt>
                  <c:pt idx="3">
                    <c:v>4.0734383510739427</c:v>
                  </c:pt>
                  <c:pt idx="4">
                    <c:v>6.3125272276640514</c:v>
                  </c:pt>
                </c:numCache>
              </c:numRef>
            </c:plus>
            <c:minus>
              <c:numRef>
                <c:f>'processed data'!$U$3:$U$7</c:f>
                <c:numCache>
                  <c:formatCode>General</c:formatCode>
                  <c:ptCount val="5"/>
                  <c:pt idx="0">
                    <c:v>9.2042816123801856</c:v>
                  </c:pt>
                  <c:pt idx="1">
                    <c:v>2.9558416737031092</c:v>
                  </c:pt>
                  <c:pt idx="2">
                    <c:v>4.360963196359263</c:v>
                  </c:pt>
                  <c:pt idx="3">
                    <c:v>4.0734383510739427</c:v>
                  </c:pt>
                  <c:pt idx="4">
                    <c:v>6.3125272276640514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'processed data'!$Q$3:$Q$7</c:f>
              <c:strCache>
                <c:ptCount val="5"/>
                <c:pt idx="0">
                  <c:v>HC</c:v>
                </c:pt>
                <c:pt idx="1">
                  <c:v>CC</c:v>
                </c:pt>
                <c:pt idx="2">
                  <c:v>FT</c:v>
                </c:pt>
                <c:pt idx="3">
                  <c:v>UV</c:v>
                </c:pt>
                <c:pt idx="4">
                  <c:v>UV-FT</c:v>
                </c:pt>
              </c:strCache>
            </c:strRef>
          </c:cat>
          <c:val>
            <c:numRef>
              <c:f>'processed data'!$T$3:$T$7</c:f>
              <c:numCache>
                <c:formatCode>0.00</c:formatCode>
                <c:ptCount val="5"/>
                <c:pt idx="0">
                  <c:v>77.193333333333328</c:v>
                </c:pt>
                <c:pt idx="1">
                  <c:v>84.193333333333328</c:v>
                </c:pt>
                <c:pt idx="2">
                  <c:v>88.248333333333335</c:v>
                </c:pt>
                <c:pt idx="3">
                  <c:v>113.83</c:v>
                </c:pt>
                <c:pt idx="4">
                  <c:v>94.158333333333331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70-3B4B-B5BD-9C4E0287E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939888"/>
        <c:axId val="1726744896"/>
      </c:barChart>
      <c:catAx>
        <c:axId val="16569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744896"/>
        <c:crosses val="autoZero"/>
        <c:auto val="1"/>
        <c:lblAlgn val="ctr"/>
        <c:lblOffset val="100"/>
        <c:noMultiLvlLbl val="0"/>
      </c:catAx>
      <c:valAx>
        <c:axId val="1726744896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Contact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93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82550</xdr:colOff>
      <xdr:row>8</xdr:row>
      <xdr:rowOff>196850</xdr:rowOff>
    </xdr:from>
    <xdr:to>
      <xdr:col>22</xdr:col>
      <xdr:colOff>406400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8A0C71-E048-A341-A1A0-44C3B5E55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166A-DB1C-594A-ABD6-6A2E60ABA747}">
  <dimension ref="B1:U25"/>
  <sheetViews>
    <sheetView zoomScale="125" workbookViewId="0">
      <selection activeCell="K25" sqref="K25"/>
    </sheetView>
  </sheetViews>
  <sheetFormatPr baseColWidth="10" defaultColWidth="11" defaultRowHeight="16" x14ac:dyDescent="0.2"/>
  <cols>
    <col min="2" max="14" width="10.83203125" customWidth="1"/>
  </cols>
  <sheetData>
    <row r="1" spans="2:21" x14ac:dyDescent="0.2">
      <c r="G1" s="19"/>
    </row>
    <row r="2" spans="2:21" x14ac:dyDescent="0.2">
      <c r="B2" s="25" t="s">
        <v>33</v>
      </c>
      <c r="C2" s="24" t="s">
        <v>32</v>
      </c>
      <c r="D2" s="23"/>
      <c r="E2" s="24" t="s">
        <v>31</v>
      </c>
      <c r="F2" s="23"/>
      <c r="G2" s="24" t="s">
        <v>30</v>
      </c>
      <c r="H2" s="23"/>
      <c r="I2" s="24" t="s">
        <v>29</v>
      </c>
      <c r="J2" s="23"/>
      <c r="K2" s="24" t="s">
        <v>28</v>
      </c>
      <c r="L2" s="23"/>
      <c r="M2" s="24" t="s">
        <v>27</v>
      </c>
      <c r="N2" s="23"/>
      <c r="R2" t="s">
        <v>26</v>
      </c>
      <c r="T2" t="s">
        <v>25</v>
      </c>
    </row>
    <row r="3" spans="2:21" x14ac:dyDescent="0.2">
      <c r="B3" s="22"/>
      <c r="C3" s="21" t="s">
        <v>24</v>
      </c>
      <c r="D3" s="21" t="s">
        <v>23</v>
      </c>
      <c r="E3" s="21" t="s">
        <v>24</v>
      </c>
      <c r="F3" s="21" t="s">
        <v>23</v>
      </c>
      <c r="G3" s="21" t="s">
        <v>24</v>
      </c>
      <c r="H3" s="21" t="s">
        <v>23</v>
      </c>
      <c r="I3" s="21" t="s">
        <v>24</v>
      </c>
      <c r="J3" s="21" t="s">
        <v>23</v>
      </c>
      <c r="K3" s="21" t="s">
        <v>24</v>
      </c>
      <c r="L3" s="21" t="s">
        <v>23</v>
      </c>
      <c r="M3" s="21" t="s">
        <v>24</v>
      </c>
      <c r="N3" s="21" t="s">
        <v>23</v>
      </c>
      <c r="Q3" s="20" t="s">
        <v>14</v>
      </c>
      <c r="R3" s="19">
        <f>AVERAGE(C7,E7)</f>
        <v>79.251666666666665</v>
      </c>
      <c r="S3" s="19">
        <f>SQRT((((D7)^2)+((F7)^2)))</f>
        <v>3.2092989888759198</v>
      </c>
      <c r="T3" s="19">
        <f>AVERAGE(G7,I7)</f>
        <v>77.193333333333328</v>
      </c>
      <c r="U3" s="19">
        <f>SQRT((((H7)^2)+((J7)^2)))</f>
        <v>9.2042816123801856</v>
      </c>
    </row>
    <row r="4" spans="2:21" x14ac:dyDescent="0.2">
      <c r="B4" s="13" t="s">
        <v>14</v>
      </c>
      <c r="C4" s="12">
        <v>79.95</v>
      </c>
      <c r="D4" s="12">
        <v>2.17</v>
      </c>
      <c r="E4" s="12">
        <v>78.28</v>
      </c>
      <c r="F4" s="12">
        <v>0.57999999999999996</v>
      </c>
      <c r="G4" s="12">
        <v>79.03</v>
      </c>
      <c r="H4" s="12">
        <v>0.45</v>
      </c>
      <c r="I4" s="12">
        <v>71.400000000000006</v>
      </c>
      <c r="J4" s="12">
        <v>2.84</v>
      </c>
      <c r="K4" s="18"/>
      <c r="L4" s="18"/>
      <c r="M4" s="18"/>
      <c r="N4" s="18"/>
      <c r="Q4" s="20" t="s">
        <v>15</v>
      </c>
      <c r="R4" s="19">
        <f>AVERAGE(C11,E11)</f>
        <v>81.765000000000001</v>
      </c>
      <c r="S4" s="19">
        <f>SQRT((((D8)^2)+((F8)^2)))</f>
        <v>2.1052315787105225</v>
      </c>
      <c r="T4" s="19">
        <f>AVERAGE(G11,I11)</f>
        <v>84.193333333333328</v>
      </c>
      <c r="U4" s="19">
        <f>SQRT((((H8)^2)+((J8)^2)))</f>
        <v>2.9558416737031092</v>
      </c>
    </row>
    <row r="5" spans="2:21" x14ac:dyDescent="0.2">
      <c r="B5" s="10"/>
      <c r="C5" s="7">
        <v>82.23</v>
      </c>
      <c r="D5" s="7">
        <v>1.56</v>
      </c>
      <c r="E5" s="7">
        <v>79.849999999999994</v>
      </c>
      <c r="F5" s="7">
        <v>2.16</v>
      </c>
      <c r="G5" s="7">
        <v>75.56</v>
      </c>
      <c r="H5" s="7">
        <v>1.0900000000000001</v>
      </c>
      <c r="I5" s="7">
        <v>78.28</v>
      </c>
      <c r="J5" s="7">
        <v>1.23</v>
      </c>
      <c r="K5" s="17"/>
      <c r="L5" s="17"/>
      <c r="M5" s="17"/>
      <c r="N5" s="17"/>
      <c r="Q5" s="20" t="s">
        <v>13</v>
      </c>
      <c r="R5" s="19">
        <f>AVERAGE(C15,E15)</f>
        <v>81.161666666666662</v>
      </c>
      <c r="S5" s="19">
        <f>SQRT((((D9)^2)+((F9)^2)))</f>
        <v>1.8940168953839878</v>
      </c>
      <c r="T5" s="19">
        <f>AVERAGE(G15,I15)</f>
        <v>88.248333333333335</v>
      </c>
      <c r="U5" s="19">
        <f>SQRT((((H9)^2)+((J9)^2)))</f>
        <v>4.360963196359263</v>
      </c>
    </row>
    <row r="6" spans="2:21" x14ac:dyDescent="0.2">
      <c r="B6" s="9"/>
      <c r="C6" s="7">
        <v>81.150000000000006</v>
      </c>
      <c r="D6" s="7">
        <v>0.69</v>
      </c>
      <c r="E6" s="7">
        <v>74.05</v>
      </c>
      <c r="F6" s="7">
        <v>1.97</v>
      </c>
      <c r="G6" s="7">
        <v>71</v>
      </c>
      <c r="H6" s="7">
        <v>1.83</v>
      </c>
      <c r="I6" s="7">
        <v>87.89</v>
      </c>
      <c r="J6" s="7">
        <v>2.4500000000000002</v>
      </c>
      <c r="K6" s="17"/>
      <c r="L6" s="17"/>
      <c r="M6" s="17"/>
      <c r="N6" s="17"/>
      <c r="Q6" s="20" t="s">
        <v>12</v>
      </c>
      <c r="R6" s="19">
        <f>AVERAGE(C19,E19)</f>
        <v>65.51166666666667</v>
      </c>
      <c r="S6" s="19">
        <f>SQRT((((D10)^2)+((F10)^2)))</f>
        <v>2.4911242441917669</v>
      </c>
      <c r="T6" s="19">
        <f>AVERAGE(G19,I19)</f>
        <v>113.83</v>
      </c>
      <c r="U6" s="19">
        <f>SQRT((((H10)^2)+((J10)^2)))</f>
        <v>4.0734383510739427</v>
      </c>
    </row>
    <row r="7" spans="2:21" x14ac:dyDescent="0.2">
      <c r="B7" s="5" t="s">
        <v>20</v>
      </c>
      <c r="C7" s="3">
        <f>AVERAGE(C4:C6)</f>
        <v>81.11</v>
      </c>
      <c r="D7" s="3">
        <v>1.1399999999999999</v>
      </c>
      <c r="E7" s="3">
        <f>AVERAGE(E4:E6)</f>
        <v>77.393333333333331</v>
      </c>
      <c r="F7" s="3">
        <v>3</v>
      </c>
      <c r="G7" s="3">
        <f>AVERAGE(G4:G6)</f>
        <v>75.196666666666673</v>
      </c>
      <c r="H7" s="3">
        <v>4.0199999999999996</v>
      </c>
      <c r="I7" s="3">
        <f>AVERAGE(I4:I6)</f>
        <v>79.19</v>
      </c>
      <c r="J7" s="3">
        <v>8.2799999999999994</v>
      </c>
      <c r="K7" s="16"/>
      <c r="L7" s="16"/>
      <c r="M7" s="16"/>
      <c r="N7" s="16"/>
      <c r="Q7" s="20" t="s">
        <v>22</v>
      </c>
      <c r="R7" s="19">
        <f>AVERAGE(C23,E23)</f>
        <v>78.465000000000003</v>
      </c>
      <c r="S7" s="19">
        <f>SQRT((((D11)^2)+((F11)^2)))</f>
        <v>1.8080099557248019</v>
      </c>
      <c r="T7" s="19">
        <f>AVERAGE(G23,I23)</f>
        <v>94.158333333333331</v>
      </c>
      <c r="U7" s="19">
        <f>SQRT((((H11)^2)+((J11)^2)))</f>
        <v>6.3125272276640514</v>
      </c>
    </row>
    <row r="8" spans="2:21" x14ac:dyDescent="0.2">
      <c r="B8" s="13" t="s">
        <v>15</v>
      </c>
      <c r="C8" s="7">
        <v>83.7</v>
      </c>
      <c r="D8" s="7">
        <v>1.32</v>
      </c>
      <c r="E8" s="7">
        <v>82.67</v>
      </c>
      <c r="F8" s="7">
        <v>1.64</v>
      </c>
      <c r="G8" s="7">
        <v>87.27</v>
      </c>
      <c r="H8" s="7">
        <v>2.11</v>
      </c>
      <c r="I8" s="7">
        <v>89.21</v>
      </c>
      <c r="J8" s="7">
        <v>2.0699999999999998</v>
      </c>
      <c r="K8" s="17"/>
      <c r="L8" s="17"/>
      <c r="M8" s="17"/>
      <c r="N8" s="17"/>
    </row>
    <row r="9" spans="2:21" x14ac:dyDescent="0.2">
      <c r="B9" s="10"/>
      <c r="C9" s="7">
        <v>83.99</v>
      </c>
      <c r="D9" s="7">
        <v>1.1299999999999999</v>
      </c>
      <c r="E9" s="7">
        <v>75.66</v>
      </c>
      <c r="F9" s="7">
        <v>1.52</v>
      </c>
      <c r="G9" s="7">
        <v>80.28</v>
      </c>
      <c r="H9" s="7">
        <v>3.36</v>
      </c>
      <c r="I9" s="7">
        <v>84.1</v>
      </c>
      <c r="J9" s="7">
        <v>2.78</v>
      </c>
      <c r="K9" s="17"/>
      <c r="L9" s="17"/>
      <c r="M9" s="17"/>
      <c r="N9" s="17"/>
    </row>
    <row r="10" spans="2:21" x14ac:dyDescent="0.2">
      <c r="B10" s="9"/>
      <c r="C10" s="7">
        <v>83.7</v>
      </c>
      <c r="D10" s="7">
        <v>1.0900000000000001</v>
      </c>
      <c r="E10" s="7">
        <v>80.87</v>
      </c>
      <c r="F10" s="7">
        <v>2.2400000000000002</v>
      </c>
      <c r="G10" s="7">
        <v>84.58</v>
      </c>
      <c r="H10" s="7">
        <v>3.52</v>
      </c>
      <c r="I10" s="7">
        <v>79.72</v>
      </c>
      <c r="J10" s="7">
        <v>2.0499999999999998</v>
      </c>
      <c r="K10" s="17"/>
      <c r="L10" s="17"/>
      <c r="M10" s="17"/>
      <c r="N10" s="17"/>
    </row>
    <row r="11" spans="2:21" x14ac:dyDescent="0.2">
      <c r="B11" s="5" t="s">
        <v>20</v>
      </c>
      <c r="C11" s="3">
        <f>AVERAGE(C8:C10)</f>
        <v>83.796666666666667</v>
      </c>
      <c r="D11" s="3">
        <v>0.17</v>
      </c>
      <c r="E11" s="3">
        <f>AVERAGE(E8:E10)</f>
        <v>79.733333333333334</v>
      </c>
      <c r="F11" s="3">
        <f>AVERAGE(F8:F10)</f>
        <v>1.8</v>
      </c>
      <c r="G11" s="3">
        <f>AVERAGE(G8:G10)</f>
        <v>84.043333333333337</v>
      </c>
      <c r="H11" s="3">
        <v>3.52</v>
      </c>
      <c r="I11" s="3">
        <f>AVERAGE(I8:I10)</f>
        <v>84.343333333333334</v>
      </c>
      <c r="J11" s="3">
        <v>5.24</v>
      </c>
      <c r="K11" s="16"/>
      <c r="L11" s="16"/>
      <c r="M11" s="16"/>
      <c r="N11" s="16"/>
    </row>
    <row r="12" spans="2:21" x14ac:dyDescent="0.2">
      <c r="B12" s="13" t="s">
        <v>13</v>
      </c>
      <c r="C12" s="12">
        <v>80.97</v>
      </c>
      <c r="D12" s="12">
        <v>1.17</v>
      </c>
      <c r="E12" s="12">
        <v>73.91</v>
      </c>
      <c r="F12" s="12">
        <v>1.72</v>
      </c>
      <c r="G12" s="12">
        <v>91.83</v>
      </c>
      <c r="H12" s="12">
        <v>0.97</v>
      </c>
      <c r="I12" s="12">
        <v>88.22</v>
      </c>
      <c r="J12" s="12">
        <v>1.89</v>
      </c>
      <c r="K12" s="18"/>
      <c r="L12" s="18"/>
      <c r="M12" s="18"/>
      <c r="N12" s="18"/>
    </row>
    <row r="13" spans="2:21" x14ac:dyDescent="0.2">
      <c r="B13" s="10"/>
      <c r="C13" s="7">
        <v>83.15</v>
      </c>
      <c r="D13" s="7">
        <v>1.33</v>
      </c>
      <c r="E13" s="7">
        <v>83.74</v>
      </c>
      <c r="F13" s="7">
        <v>1.17</v>
      </c>
      <c r="G13" s="7">
        <v>87.85</v>
      </c>
      <c r="H13" s="7">
        <v>2.2599999999999998</v>
      </c>
      <c r="I13" s="7">
        <v>89.13</v>
      </c>
      <c r="J13" s="7">
        <v>1.43</v>
      </c>
      <c r="K13" s="17"/>
      <c r="L13" s="17"/>
      <c r="M13" s="17"/>
      <c r="N13" s="17"/>
    </row>
    <row r="14" spans="2:21" x14ac:dyDescent="0.2">
      <c r="B14" s="9"/>
      <c r="C14" s="7">
        <v>85.27</v>
      </c>
      <c r="D14" s="7">
        <v>1.08</v>
      </c>
      <c r="E14" s="7">
        <v>79.930000000000007</v>
      </c>
      <c r="F14" s="7">
        <v>1.44</v>
      </c>
      <c r="G14" s="7">
        <v>86.15</v>
      </c>
      <c r="H14" s="7">
        <v>3.2</v>
      </c>
      <c r="I14" s="7">
        <v>86.31</v>
      </c>
      <c r="J14" s="7">
        <v>1.57</v>
      </c>
      <c r="K14" s="17"/>
      <c r="L14" s="17"/>
      <c r="M14" s="17"/>
      <c r="N14" s="17"/>
    </row>
    <row r="15" spans="2:21" x14ac:dyDescent="0.2">
      <c r="B15" s="5" t="s">
        <v>20</v>
      </c>
      <c r="C15" s="3">
        <f>AVERAGE(C12:C14)</f>
        <v>83.13</v>
      </c>
      <c r="D15" s="3">
        <v>2.15</v>
      </c>
      <c r="E15" s="3">
        <f>AVERAGE(E12:E14)</f>
        <v>79.193333333333328</v>
      </c>
      <c r="F15" s="3">
        <v>4.96</v>
      </c>
      <c r="G15" s="3">
        <f>AVERAGE(G12:G14)</f>
        <v>88.610000000000014</v>
      </c>
      <c r="H15" s="3">
        <v>2.92</v>
      </c>
      <c r="I15" s="3">
        <f>AVERAGE(I12:I14)</f>
        <v>87.886666666666656</v>
      </c>
      <c r="J15" s="3">
        <v>1.44</v>
      </c>
      <c r="K15" s="16"/>
      <c r="L15" s="16"/>
      <c r="M15" s="16"/>
      <c r="N15" s="16"/>
    </row>
    <row r="16" spans="2:21" x14ac:dyDescent="0.2">
      <c r="B16" s="13" t="s">
        <v>12</v>
      </c>
      <c r="C16" s="7">
        <v>65.930000000000007</v>
      </c>
      <c r="D16" s="7">
        <v>0.65</v>
      </c>
      <c r="E16" s="7">
        <v>68.98</v>
      </c>
      <c r="F16" s="7">
        <v>2.57</v>
      </c>
      <c r="G16" s="7">
        <v>119.13</v>
      </c>
      <c r="H16" s="11" t="s">
        <v>21</v>
      </c>
      <c r="I16" s="7">
        <v>102.04</v>
      </c>
      <c r="J16" s="11" t="s">
        <v>21</v>
      </c>
      <c r="K16" s="15"/>
      <c r="L16" s="15"/>
      <c r="M16" s="15"/>
      <c r="N16" s="15"/>
    </row>
    <row r="17" spans="2:14" x14ac:dyDescent="0.2">
      <c r="B17" s="10"/>
      <c r="C17" s="7">
        <v>60.05</v>
      </c>
      <c r="D17" s="7">
        <v>0.93</v>
      </c>
      <c r="E17" s="7">
        <v>70.39</v>
      </c>
      <c r="F17" s="7">
        <v>2.33</v>
      </c>
      <c r="G17" s="7">
        <v>124.28</v>
      </c>
      <c r="H17" s="6" t="s">
        <v>21</v>
      </c>
      <c r="I17" s="7">
        <v>109.55</v>
      </c>
      <c r="J17" s="6" t="s">
        <v>21</v>
      </c>
      <c r="K17" s="15"/>
      <c r="L17" s="15"/>
      <c r="M17" s="15"/>
      <c r="N17" s="15"/>
    </row>
    <row r="18" spans="2:14" x14ac:dyDescent="0.2">
      <c r="B18" s="9"/>
      <c r="C18" s="7">
        <v>57.84</v>
      </c>
      <c r="D18" s="7">
        <v>0.94</v>
      </c>
      <c r="E18" s="7">
        <v>69.88</v>
      </c>
      <c r="F18" s="7">
        <v>1.27</v>
      </c>
      <c r="G18" s="7">
        <v>126.23</v>
      </c>
      <c r="H18" s="6" t="s">
        <v>21</v>
      </c>
      <c r="I18" s="7">
        <v>101.75</v>
      </c>
      <c r="J18" s="6" t="s">
        <v>21</v>
      </c>
      <c r="K18" s="15"/>
      <c r="L18" s="15"/>
      <c r="M18" s="15"/>
      <c r="N18" s="15"/>
    </row>
    <row r="19" spans="2:14" x14ac:dyDescent="0.2">
      <c r="B19" s="5" t="s">
        <v>20</v>
      </c>
      <c r="C19" s="3">
        <f>AVERAGE(C16:C18)</f>
        <v>61.273333333333333</v>
      </c>
      <c r="D19" s="3">
        <v>4.18</v>
      </c>
      <c r="E19" s="3">
        <f>AVERAGE(E16:E18)</f>
        <v>69.75</v>
      </c>
      <c r="F19" s="3">
        <v>0.71</v>
      </c>
      <c r="G19" s="3">
        <f>AVERAGE(G16:G18)</f>
        <v>123.21333333333332</v>
      </c>
      <c r="H19" s="3">
        <f>STDEV(G16:G18)</f>
        <v>3.6682193682130522</v>
      </c>
      <c r="I19" s="3">
        <f>AVERAGE(I16:I18)</f>
        <v>104.44666666666667</v>
      </c>
      <c r="J19" s="3">
        <f>STDEV(I16:I18)</f>
        <v>4.4219942710651834</v>
      </c>
      <c r="K19" s="14"/>
      <c r="L19" s="14"/>
      <c r="M19" s="14"/>
      <c r="N19" s="14"/>
    </row>
    <row r="20" spans="2:14" x14ac:dyDescent="0.2">
      <c r="B20" s="13" t="s">
        <v>22</v>
      </c>
      <c r="C20" s="12">
        <v>86.56</v>
      </c>
      <c r="D20" s="12">
        <v>0.88</v>
      </c>
      <c r="E20" s="12">
        <v>74.63</v>
      </c>
      <c r="F20" s="12">
        <v>2.02</v>
      </c>
      <c r="G20" s="12">
        <v>76.95</v>
      </c>
      <c r="H20" s="12">
        <v>1.33</v>
      </c>
      <c r="I20" s="12">
        <v>92.02</v>
      </c>
      <c r="J20" s="12">
        <v>0.63</v>
      </c>
      <c r="K20" s="12">
        <v>123.71</v>
      </c>
      <c r="L20" s="11" t="s">
        <v>21</v>
      </c>
      <c r="M20" s="12">
        <v>139.46</v>
      </c>
      <c r="N20" s="11" t="s">
        <v>21</v>
      </c>
    </row>
    <row r="21" spans="2:14" x14ac:dyDescent="0.2">
      <c r="B21" s="10"/>
      <c r="C21" s="7">
        <v>74.39</v>
      </c>
      <c r="D21" s="7">
        <v>1.76</v>
      </c>
      <c r="E21" s="7">
        <v>76.75</v>
      </c>
      <c r="F21" s="7">
        <v>1.29</v>
      </c>
      <c r="G21" s="7">
        <v>90.14</v>
      </c>
      <c r="H21" s="7">
        <v>0.65</v>
      </c>
      <c r="I21" s="7">
        <v>104.23</v>
      </c>
      <c r="J21" s="8"/>
      <c r="K21" s="7">
        <v>139.13999999999999</v>
      </c>
      <c r="L21" s="6" t="s">
        <v>21</v>
      </c>
      <c r="M21" s="7">
        <v>124.21</v>
      </c>
      <c r="N21" s="6" t="s">
        <v>21</v>
      </c>
    </row>
    <row r="22" spans="2:14" x14ac:dyDescent="0.2">
      <c r="B22" s="9"/>
      <c r="C22" s="7">
        <v>79.599999999999994</v>
      </c>
      <c r="D22" s="7">
        <v>1.45</v>
      </c>
      <c r="E22" s="7">
        <v>78.86</v>
      </c>
      <c r="F22" s="7">
        <v>0.93</v>
      </c>
      <c r="G22" s="7">
        <v>91.47</v>
      </c>
      <c r="H22" s="7">
        <v>2.9</v>
      </c>
      <c r="I22" s="7">
        <v>110.14</v>
      </c>
      <c r="J22" s="8"/>
      <c r="K22" s="7">
        <v>121.53</v>
      </c>
      <c r="L22" s="6" t="s">
        <v>21</v>
      </c>
      <c r="M22" s="7">
        <v>123.91</v>
      </c>
      <c r="N22" s="6" t="s">
        <v>21</v>
      </c>
    </row>
    <row r="23" spans="2:14" x14ac:dyDescent="0.2">
      <c r="B23" s="5" t="s">
        <v>20</v>
      </c>
      <c r="C23" s="3">
        <f>AVERAGE(C20:C22)</f>
        <v>80.183333333333323</v>
      </c>
      <c r="D23" s="3">
        <v>6.1</v>
      </c>
      <c r="E23" s="3">
        <f>AVERAGE(E20:E22)</f>
        <v>76.74666666666667</v>
      </c>
      <c r="F23" s="3">
        <v>2.12</v>
      </c>
      <c r="G23" s="3">
        <f>AVERAGE(G20:G22)</f>
        <v>86.186666666666667</v>
      </c>
      <c r="H23" s="3">
        <v>8.0299999999999994</v>
      </c>
      <c r="I23" s="3">
        <f>AVERAGE(I20:I22)</f>
        <v>102.13</v>
      </c>
      <c r="J23" s="4">
        <v>9</v>
      </c>
      <c r="K23" s="3">
        <f>AVERAGE(K20:K22)</f>
        <v>128.12666666666667</v>
      </c>
      <c r="L23" s="3">
        <f>STDEV(K20:K22)</f>
        <v>9.5999079856701339</v>
      </c>
      <c r="M23" s="3">
        <f>AVERAGE(M20:M22)</f>
        <v>129.19333333333336</v>
      </c>
      <c r="N23" s="3">
        <f>STDEV(M20:M22)</f>
        <v>8.8924593523576743</v>
      </c>
    </row>
    <row r="25" spans="2:14" x14ac:dyDescent="0.2">
      <c r="K25" t="s">
        <v>19</v>
      </c>
    </row>
  </sheetData>
  <mergeCells count="11">
    <mergeCell ref="E2:F2"/>
    <mergeCell ref="G2:H2"/>
    <mergeCell ref="I2:J2"/>
    <mergeCell ref="K2:L2"/>
    <mergeCell ref="M2:N2"/>
    <mergeCell ref="B4:B6"/>
    <mergeCell ref="B8:B10"/>
    <mergeCell ref="B12:B14"/>
    <mergeCell ref="B16:B18"/>
    <mergeCell ref="B20:B22"/>
    <mergeCell ref="C2: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9DD1-471F-B04C-8246-4227EB90E13F}">
  <dimension ref="A1:G13"/>
  <sheetViews>
    <sheetView workbookViewId="0">
      <selection activeCell="B8" sqref="B8"/>
    </sheetView>
  </sheetViews>
  <sheetFormatPr baseColWidth="10" defaultRowHeight="16" x14ac:dyDescent="0.2"/>
  <sheetData>
    <row r="1" spans="1:7" x14ac:dyDescent="0.2">
      <c r="A1" t="s">
        <v>18</v>
      </c>
    </row>
    <row r="2" spans="1:7" x14ac:dyDescent="0.2">
      <c r="B2" s="2" t="s">
        <v>15</v>
      </c>
      <c r="C2" s="2" t="s">
        <v>14</v>
      </c>
      <c r="D2" s="2" t="s">
        <v>13</v>
      </c>
      <c r="E2" s="2" t="s">
        <v>12</v>
      </c>
      <c r="F2" s="2" t="s">
        <v>17</v>
      </c>
      <c r="G2" s="2" t="s">
        <v>16</v>
      </c>
    </row>
    <row r="3" spans="1:7" x14ac:dyDescent="0.2">
      <c r="A3" t="s">
        <v>15</v>
      </c>
      <c r="B3" s="1"/>
      <c r="C3" t="s">
        <v>8</v>
      </c>
      <c r="D3" t="s">
        <v>9</v>
      </c>
      <c r="E3" t="s">
        <v>5</v>
      </c>
      <c r="F3" t="s">
        <v>5</v>
      </c>
      <c r="G3" t="s">
        <v>9</v>
      </c>
    </row>
    <row r="4" spans="1:7" x14ac:dyDescent="0.2">
      <c r="A4" t="s">
        <v>14</v>
      </c>
      <c r="B4" t="s">
        <v>8</v>
      </c>
      <c r="C4" s="1"/>
      <c r="D4" t="s">
        <v>8</v>
      </c>
      <c r="E4" t="s">
        <v>5</v>
      </c>
      <c r="F4" t="s">
        <v>5</v>
      </c>
      <c r="G4" t="s">
        <v>8</v>
      </c>
    </row>
    <row r="5" spans="1:7" x14ac:dyDescent="0.2">
      <c r="A5" t="s">
        <v>13</v>
      </c>
      <c r="B5" t="s">
        <v>9</v>
      </c>
      <c r="C5" t="s">
        <v>8</v>
      </c>
      <c r="D5" s="1"/>
      <c r="E5" t="s">
        <v>5</v>
      </c>
      <c r="F5" t="s">
        <v>5</v>
      </c>
      <c r="G5" t="s">
        <v>9</v>
      </c>
    </row>
    <row r="6" spans="1:7" x14ac:dyDescent="0.2">
      <c r="A6" t="s">
        <v>12</v>
      </c>
      <c r="B6" t="s">
        <v>5</v>
      </c>
      <c r="C6" t="s">
        <v>5</v>
      </c>
      <c r="D6" t="s">
        <v>9</v>
      </c>
      <c r="E6" s="1"/>
      <c r="F6" t="s">
        <v>9</v>
      </c>
      <c r="G6" t="s">
        <v>8</v>
      </c>
    </row>
    <row r="7" spans="1:7" x14ac:dyDescent="0.2">
      <c r="A7" t="s">
        <v>11</v>
      </c>
      <c r="B7" t="s">
        <v>5</v>
      </c>
      <c r="C7" t="s">
        <v>5</v>
      </c>
      <c r="D7" t="s">
        <v>8</v>
      </c>
      <c r="E7" t="s">
        <v>9</v>
      </c>
      <c r="F7" s="1"/>
      <c r="G7" t="s">
        <v>5</v>
      </c>
    </row>
    <row r="8" spans="1:7" x14ac:dyDescent="0.2">
      <c r="A8" t="s">
        <v>10</v>
      </c>
      <c r="B8" t="s">
        <v>9</v>
      </c>
      <c r="C8" t="s">
        <v>8</v>
      </c>
      <c r="D8" t="s">
        <v>9</v>
      </c>
      <c r="E8" t="s">
        <v>8</v>
      </c>
      <c r="F8" t="s">
        <v>5</v>
      </c>
      <c r="G8" s="1"/>
    </row>
    <row r="10" spans="1:7" x14ac:dyDescent="0.2">
      <c r="A10" t="s">
        <v>7</v>
      </c>
      <c r="B10" t="s">
        <v>6</v>
      </c>
    </row>
    <row r="11" spans="1:7" x14ac:dyDescent="0.2">
      <c r="A11" t="s">
        <v>5</v>
      </c>
      <c r="B11" t="s">
        <v>4</v>
      </c>
    </row>
    <row r="12" spans="1:7" x14ac:dyDescent="0.2">
      <c r="A12" t="s">
        <v>3</v>
      </c>
      <c r="B12" t="s">
        <v>2</v>
      </c>
    </row>
    <row r="13" spans="1:7" x14ac:dyDescent="0.2">
      <c r="A13" t="s">
        <v>1</v>
      </c>
      <c r="B1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64F4F-85C9-5645-8A84-F35C55BA14AB}">
  <dimension ref="A1:P21"/>
  <sheetViews>
    <sheetView tabSelected="1" workbookViewId="0">
      <selection activeCell="D29" sqref="D29"/>
    </sheetView>
  </sheetViews>
  <sheetFormatPr baseColWidth="10" defaultRowHeight="16" x14ac:dyDescent="0.2"/>
  <cols>
    <col min="1" max="1" width="36.5" customWidth="1"/>
    <col min="2" max="16" width="20.83203125" customWidth="1"/>
  </cols>
  <sheetData>
    <row r="1" spans="1:16" x14ac:dyDescent="0.2">
      <c r="A1" s="2"/>
      <c r="B1" s="2"/>
    </row>
    <row r="2" spans="1:16" x14ac:dyDescent="0.2">
      <c r="A2" s="27" t="s">
        <v>34</v>
      </c>
      <c r="B2" s="26" t="s">
        <v>35</v>
      </c>
      <c r="C2" s="26" t="s">
        <v>35</v>
      </c>
      <c r="D2" s="26" t="s">
        <v>35</v>
      </c>
      <c r="E2" s="26" t="s">
        <v>35</v>
      </c>
      <c r="F2" s="26" t="s">
        <v>35</v>
      </c>
      <c r="G2" s="26" t="s">
        <v>35</v>
      </c>
      <c r="H2" s="26" t="s">
        <v>35</v>
      </c>
      <c r="I2" s="26" t="s">
        <v>35</v>
      </c>
      <c r="J2" s="26" t="s">
        <v>35</v>
      </c>
      <c r="K2" s="26" t="s">
        <v>35</v>
      </c>
      <c r="L2" s="26" t="s">
        <v>35</v>
      </c>
      <c r="M2" s="26" t="s">
        <v>35</v>
      </c>
      <c r="N2" s="26" t="s">
        <v>35</v>
      </c>
      <c r="O2" s="26" t="s">
        <v>35</v>
      </c>
      <c r="P2" s="26" t="s">
        <v>35</v>
      </c>
    </row>
    <row r="3" spans="1:16" x14ac:dyDescent="0.2">
      <c r="A3" s="27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x14ac:dyDescent="0.2">
      <c r="A4" s="27"/>
      <c r="B4" s="26" t="s">
        <v>15</v>
      </c>
      <c r="C4" s="26" t="s">
        <v>12</v>
      </c>
      <c r="D4" s="26" t="s">
        <v>58</v>
      </c>
      <c r="E4" s="26" t="s">
        <v>15</v>
      </c>
      <c r="F4" s="26" t="s">
        <v>12</v>
      </c>
      <c r="G4" s="26" t="s">
        <v>12</v>
      </c>
      <c r="H4" s="26" t="s">
        <v>15</v>
      </c>
      <c r="I4" s="26" t="s">
        <v>12</v>
      </c>
      <c r="J4" s="26" t="s">
        <v>58</v>
      </c>
      <c r="K4" s="26" t="s">
        <v>13</v>
      </c>
      <c r="L4" s="26" t="s">
        <v>66</v>
      </c>
      <c r="M4" s="26" t="s">
        <v>66</v>
      </c>
      <c r="N4" s="26" t="s">
        <v>66</v>
      </c>
      <c r="O4" s="26" t="s">
        <v>66</v>
      </c>
      <c r="P4" s="26" t="s">
        <v>66</v>
      </c>
    </row>
    <row r="5" spans="1:16" x14ac:dyDescent="0.2">
      <c r="A5" s="27"/>
      <c r="B5" s="26" t="s">
        <v>36</v>
      </c>
      <c r="C5" s="26" t="s">
        <v>36</v>
      </c>
      <c r="D5" s="26" t="s">
        <v>36</v>
      </c>
      <c r="E5" s="26" t="s">
        <v>36</v>
      </c>
      <c r="F5" s="26" t="s">
        <v>36</v>
      </c>
      <c r="G5" s="26" t="s">
        <v>36</v>
      </c>
      <c r="H5" s="26" t="s">
        <v>36</v>
      </c>
      <c r="I5" s="26" t="s">
        <v>36</v>
      </c>
      <c r="J5" s="26" t="s">
        <v>36</v>
      </c>
      <c r="K5" s="26" t="s">
        <v>36</v>
      </c>
      <c r="L5" s="26" t="s">
        <v>36</v>
      </c>
      <c r="M5" s="26" t="s">
        <v>36</v>
      </c>
      <c r="N5" s="26" t="s">
        <v>36</v>
      </c>
      <c r="O5" s="26" t="s">
        <v>36</v>
      </c>
      <c r="P5" s="26" t="s">
        <v>36</v>
      </c>
    </row>
    <row r="6" spans="1:16" x14ac:dyDescent="0.2">
      <c r="A6" s="27"/>
      <c r="B6" s="26" t="s">
        <v>14</v>
      </c>
      <c r="C6" s="26" t="s">
        <v>14</v>
      </c>
      <c r="D6" s="26" t="s">
        <v>13</v>
      </c>
      <c r="E6" s="26" t="s">
        <v>13</v>
      </c>
      <c r="F6" s="26" t="s">
        <v>58</v>
      </c>
      <c r="G6" s="26" t="s">
        <v>13</v>
      </c>
      <c r="H6" s="26" t="s">
        <v>58</v>
      </c>
      <c r="I6" s="26" t="s">
        <v>15</v>
      </c>
      <c r="J6" s="26" t="s">
        <v>14</v>
      </c>
      <c r="K6" s="26" t="s">
        <v>14</v>
      </c>
      <c r="L6" s="26" t="s">
        <v>58</v>
      </c>
      <c r="M6" s="26" t="s">
        <v>15</v>
      </c>
      <c r="N6" s="26" t="s">
        <v>14</v>
      </c>
      <c r="O6" s="26" t="s">
        <v>13</v>
      </c>
      <c r="P6" s="26" t="s">
        <v>12</v>
      </c>
    </row>
    <row r="7" spans="1:16" x14ac:dyDescent="0.2">
      <c r="A7" s="27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 x14ac:dyDescent="0.2">
      <c r="A8" s="27" t="s">
        <v>37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 x14ac:dyDescent="0.2">
      <c r="A9" s="27" t="s">
        <v>38</v>
      </c>
      <c r="B9" s="26">
        <v>4.1099999999999998E-2</v>
      </c>
      <c r="C9" s="26">
        <v>2.2000000000000001E-3</v>
      </c>
      <c r="D9" s="26">
        <v>0.13200000000000001</v>
      </c>
      <c r="E9" s="26">
        <v>9.3100000000000002E-2</v>
      </c>
      <c r="F9" s="26">
        <v>4.1099999999999998E-2</v>
      </c>
      <c r="G9" s="26">
        <v>2.2000000000000001E-3</v>
      </c>
      <c r="H9" s="26">
        <v>6.4899999999999999E-2</v>
      </c>
      <c r="I9" s="26">
        <v>2.2000000000000001E-3</v>
      </c>
      <c r="J9" s="26">
        <v>1.52E-2</v>
      </c>
      <c r="K9" s="26">
        <v>1.52E-2</v>
      </c>
      <c r="L9" s="26">
        <v>2.2000000000000001E-3</v>
      </c>
      <c r="M9" s="26">
        <v>2.2000000000000001E-3</v>
      </c>
      <c r="N9" s="26">
        <v>2.2000000000000001E-3</v>
      </c>
      <c r="O9" s="26">
        <v>2.2000000000000001E-3</v>
      </c>
      <c r="P9" s="26">
        <v>0.13200000000000001</v>
      </c>
    </row>
    <row r="10" spans="1:16" x14ac:dyDescent="0.2">
      <c r="A10" s="27" t="s">
        <v>39</v>
      </c>
      <c r="B10" s="26" t="s">
        <v>40</v>
      </c>
      <c r="C10" s="26" t="s">
        <v>40</v>
      </c>
      <c r="D10" s="26" t="s">
        <v>40</v>
      </c>
      <c r="E10" s="26" t="s">
        <v>40</v>
      </c>
      <c r="F10" s="26" t="s">
        <v>40</v>
      </c>
      <c r="G10" s="26" t="s">
        <v>40</v>
      </c>
      <c r="H10" s="26" t="s">
        <v>40</v>
      </c>
      <c r="I10" s="26" t="s">
        <v>40</v>
      </c>
      <c r="J10" s="26" t="s">
        <v>40</v>
      </c>
      <c r="K10" s="26" t="s">
        <v>40</v>
      </c>
      <c r="L10" s="26" t="s">
        <v>40</v>
      </c>
      <c r="M10" s="26" t="s">
        <v>40</v>
      </c>
      <c r="N10" s="26" t="s">
        <v>40</v>
      </c>
      <c r="O10" s="26" t="s">
        <v>40</v>
      </c>
      <c r="P10" s="26" t="s">
        <v>40</v>
      </c>
    </row>
    <row r="11" spans="1:16" x14ac:dyDescent="0.2">
      <c r="A11" s="27" t="s">
        <v>41</v>
      </c>
      <c r="B11" s="26" t="s">
        <v>8</v>
      </c>
      <c r="C11" s="26" t="s">
        <v>5</v>
      </c>
      <c r="D11" s="26" t="s">
        <v>9</v>
      </c>
      <c r="E11" s="26" t="s">
        <v>9</v>
      </c>
      <c r="F11" s="26" t="s">
        <v>8</v>
      </c>
      <c r="G11" s="26" t="s">
        <v>5</v>
      </c>
      <c r="H11" s="26" t="s">
        <v>9</v>
      </c>
      <c r="I11" s="26" t="s">
        <v>5</v>
      </c>
      <c r="J11" s="26" t="s">
        <v>8</v>
      </c>
      <c r="K11" s="26" t="s">
        <v>8</v>
      </c>
      <c r="L11" s="26" t="s">
        <v>5</v>
      </c>
      <c r="M11" s="26" t="s">
        <v>5</v>
      </c>
      <c r="N11" s="26" t="s">
        <v>5</v>
      </c>
      <c r="O11" s="26" t="s">
        <v>5</v>
      </c>
      <c r="P11" s="26" t="s">
        <v>9</v>
      </c>
    </row>
    <row r="12" spans="1:16" x14ac:dyDescent="0.2">
      <c r="A12" s="27" t="s">
        <v>42</v>
      </c>
      <c r="B12" s="26" t="s">
        <v>43</v>
      </c>
      <c r="C12" s="26" t="s">
        <v>43</v>
      </c>
      <c r="D12" s="26" t="s">
        <v>59</v>
      </c>
      <c r="E12" s="26" t="s">
        <v>59</v>
      </c>
      <c r="F12" s="26" t="s">
        <v>43</v>
      </c>
      <c r="G12" s="26" t="s">
        <v>43</v>
      </c>
      <c r="H12" s="26" t="s">
        <v>59</v>
      </c>
      <c r="I12" s="26" t="s">
        <v>43</v>
      </c>
      <c r="J12" s="26" t="s">
        <v>43</v>
      </c>
      <c r="K12" s="26" t="s">
        <v>43</v>
      </c>
      <c r="L12" s="26" t="s">
        <v>43</v>
      </c>
      <c r="M12" s="26" t="s">
        <v>43</v>
      </c>
      <c r="N12" s="26" t="s">
        <v>43</v>
      </c>
      <c r="O12" s="26" t="s">
        <v>43</v>
      </c>
      <c r="P12" s="26" t="s">
        <v>59</v>
      </c>
    </row>
    <row r="13" spans="1:16" x14ac:dyDescent="0.2">
      <c r="A13" s="27" t="s">
        <v>44</v>
      </c>
      <c r="B13" s="26" t="s">
        <v>45</v>
      </c>
      <c r="C13" s="26" t="s">
        <v>45</v>
      </c>
      <c r="D13" s="26" t="s">
        <v>45</v>
      </c>
      <c r="E13" s="26" t="s">
        <v>45</v>
      </c>
      <c r="F13" s="26" t="s">
        <v>45</v>
      </c>
      <c r="G13" s="26" t="s">
        <v>45</v>
      </c>
      <c r="H13" s="26" t="s">
        <v>45</v>
      </c>
      <c r="I13" s="26" t="s">
        <v>45</v>
      </c>
      <c r="J13" s="26" t="s">
        <v>45</v>
      </c>
      <c r="K13" s="26" t="s">
        <v>45</v>
      </c>
      <c r="L13" s="26" t="s">
        <v>45</v>
      </c>
      <c r="M13" s="26" t="s">
        <v>45</v>
      </c>
      <c r="N13" s="26" t="s">
        <v>45</v>
      </c>
      <c r="O13" s="26" t="s">
        <v>45</v>
      </c>
      <c r="P13" s="26" t="s">
        <v>45</v>
      </c>
    </row>
    <row r="14" spans="1:16" x14ac:dyDescent="0.2">
      <c r="A14" s="27" t="s">
        <v>46</v>
      </c>
      <c r="B14" s="26" t="s">
        <v>47</v>
      </c>
      <c r="C14" s="26" t="s">
        <v>56</v>
      </c>
      <c r="D14" s="26" t="s">
        <v>60</v>
      </c>
      <c r="E14" s="26" t="s">
        <v>63</v>
      </c>
      <c r="F14" s="26" t="s">
        <v>47</v>
      </c>
      <c r="G14" s="26" t="s">
        <v>56</v>
      </c>
      <c r="H14" s="26" t="s">
        <v>64</v>
      </c>
      <c r="I14" s="26" t="s">
        <v>56</v>
      </c>
      <c r="J14" s="26" t="s">
        <v>65</v>
      </c>
      <c r="K14" s="26" t="s">
        <v>65</v>
      </c>
      <c r="L14" s="26" t="s">
        <v>56</v>
      </c>
      <c r="M14" s="26" t="s">
        <v>56</v>
      </c>
      <c r="N14" s="26" t="s">
        <v>56</v>
      </c>
      <c r="O14" s="26" t="s">
        <v>56</v>
      </c>
      <c r="P14" s="26" t="s">
        <v>60</v>
      </c>
    </row>
    <row r="15" spans="1:16" x14ac:dyDescent="0.2">
      <c r="A15" s="27" t="s">
        <v>48</v>
      </c>
      <c r="B15" s="26">
        <v>5</v>
      </c>
      <c r="C15" s="26">
        <v>0</v>
      </c>
      <c r="D15" s="26">
        <v>8</v>
      </c>
      <c r="E15" s="26">
        <v>7</v>
      </c>
      <c r="F15" s="26">
        <v>5</v>
      </c>
      <c r="G15" s="26">
        <v>0</v>
      </c>
      <c r="H15" s="26">
        <v>6</v>
      </c>
      <c r="I15" s="26">
        <v>0</v>
      </c>
      <c r="J15" s="26">
        <v>3</v>
      </c>
      <c r="K15" s="26">
        <v>3</v>
      </c>
      <c r="L15" s="26">
        <v>0</v>
      </c>
      <c r="M15" s="26">
        <v>0</v>
      </c>
      <c r="N15" s="26">
        <v>0</v>
      </c>
      <c r="O15" s="26">
        <v>0</v>
      </c>
      <c r="P15" s="26">
        <v>8</v>
      </c>
    </row>
    <row r="16" spans="1:16" x14ac:dyDescent="0.2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</row>
    <row r="17" spans="1:16" x14ac:dyDescent="0.2">
      <c r="A17" s="27" t="s">
        <v>49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spans="1:16" x14ac:dyDescent="0.2">
      <c r="A18" s="27" t="s">
        <v>50</v>
      </c>
      <c r="B18" s="26" t="s">
        <v>51</v>
      </c>
      <c r="C18" s="26" t="s">
        <v>51</v>
      </c>
      <c r="D18" s="26" t="s">
        <v>61</v>
      </c>
      <c r="E18" s="26" t="s">
        <v>61</v>
      </c>
      <c r="F18" s="26" t="s">
        <v>62</v>
      </c>
      <c r="G18" s="26" t="s">
        <v>61</v>
      </c>
      <c r="H18" s="26" t="s">
        <v>62</v>
      </c>
      <c r="I18" s="26" t="s">
        <v>53</v>
      </c>
      <c r="J18" s="26" t="s">
        <v>51</v>
      </c>
      <c r="K18" s="26" t="s">
        <v>51</v>
      </c>
      <c r="L18" s="26" t="s">
        <v>62</v>
      </c>
      <c r="M18" s="26" t="s">
        <v>53</v>
      </c>
      <c r="N18" s="26" t="s">
        <v>51</v>
      </c>
      <c r="O18" s="26" t="s">
        <v>61</v>
      </c>
      <c r="P18" s="26" t="s">
        <v>57</v>
      </c>
    </row>
    <row r="19" spans="1:16" x14ac:dyDescent="0.2">
      <c r="A19" s="27" t="s">
        <v>52</v>
      </c>
      <c r="B19" s="26" t="s">
        <v>53</v>
      </c>
      <c r="C19" s="26" t="s">
        <v>57</v>
      </c>
      <c r="D19" s="26" t="s">
        <v>62</v>
      </c>
      <c r="E19" s="26" t="s">
        <v>53</v>
      </c>
      <c r="F19" s="26" t="s">
        <v>57</v>
      </c>
      <c r="G19" s="26" t="s">
        <v>57</v>
      </c>
      <c r="H19" s="26" t="s">
        <v>53</v>
      </c>
      <c r="I19" s="26" t="s">
        <v>57</v>
      </c>
      <c r="J19" s="26" t="s">
        <v>62</v>
      </c>
      <c r="K19" s="26" t="s">
        <v>61</v>
      </c>
      <c r="L19" s="26" t="s">
        <v>67</v>
      </c>
      <c r="M19" s="26" t="s">
        <v>67</v>
      </c>
      <c r="N19" s="26" t="s">
        <v>67</v>
      </c>
      <c r="O19" s="26" t="s">
        <v>67</v>
      </c>
      <c r="P19" s="26" t="s">
        <v>67</v>
      </c>
    </row>
    <row r="20" spans="1:16" x14ac:dyDescent="0.2">
      <c r="A20" s="27" t="s">
        <v>54</v>
      </c>
      <c r="B20" s="26">
        <v>7.42</v>
      </c>
      <c r="C20" s="26">
        <v>37.42</v>
      </c>
      <c r="D20" s="26">
        <v>3.71</v>
      </c>
      <c r="E20" s="26">
        <v>-3.6949999999999998</v>
      </c>
      <c r="F20" s="26">
        <v>22.6</v>
      </c>
      <c r="G20" s="26">
        <v>26.31</v>
      </c>
      <c r="H20" s="26">
        <v>-7.4050000000000002</v>
      </c>
      <c r="I20" s="26">
        <v>30</v>
      </c>
      <c r="J20" s="26">
        <v>14.83</v>
      </c>
      <c r="K20" s="26">
        <v>11.12</v>
      </c>
      <c r="L20" s="26">
        <v>32.32</v>
      </c>
      <c r="M20" s="26">
        <v>39.72</v>
      </c>
      <c r="N20" s="26">
        <v>47.14</v>
      </c>
      <c r="O20" s="26">
        <v>36.03</v>
      </c>
      <c r="P20" s="26">
        <v>9.7200000000000006</v>
      </c>
    </row>
    <row r="21" spans="1:16" x14ac:dyDescent="0.2">
      <c r="A21" s="27" t="s">
        <v>55</v>
      </c>
      <c r="B21" s="26">
        <v>8.43</v>
      </c>
      <c r="C21" s="26">
        <v>37.270000000000003</v>
      </c>
      <c r="D21" s="26">
        <v>3.91</v>
      </c>
      <c r="E21" s="26">
        <v>-3.9350000000000001</v>
      </c>
      <c r="F21" s="26">
        <v>18.75</v>
      </c>
      <c r="G21" s="26">
        <v>25.35</v>
      </c>
      <c r="H21" s="26">
        <v>-8.89</v>
      </c>
      <c r="I21" s="26">
        <v>29.88</v>
      </c>
      <c r="J21" s="26">
        <v>16.399999999999999</v>
      </c>
      <c r="K21" s="26">
        <v>11.57</v>
      </c>
      <c r="L21" s="26">
        <v>32.590000000000003</v>
      </c>
      <c r="M21" s="26">
        <v>42.62</v>
      </c>
      <c r="N21" s="26">
        <v>50.89</v>
      </c>
      <c r="O21" s="26">
        <v>36.880000000000003</v>
      </c>
      <c r="P21" s="26">
        <v>14.76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</vt:lpstr>
      <vt:lpstr>statistics</vt:lpstr>
      <vt:lpstr>analysis using graphpad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Santos</dc:creator>
  <cp:lastModifiedBy>Guadalupe Santos</cp:lastModifiedBy>
  <dcterms:created xsi:type="dcterms:W3CDTF">2025-10-30T00:43:27Z</dcterms:created>
  <dcterms:modified xsi:type="dcterms:W3CDTF">2025-10-30T00:51:46Z</dcterms:modified>
</cp:coreProperties>
</file>