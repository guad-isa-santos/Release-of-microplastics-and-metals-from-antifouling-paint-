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uisantos/Documents/Tufenkji/Raw data for SI/Contact angle/"/>
    </mc:Choice>
  </mc:AlternateContent>
  <xr:revisionPtr revIDLastSave="0" documentId="13_ncr:1_{9AF426AD-4433-FF49-A8ED-307E4A657A9D}" xr6:coauthVersionLast="47" xr6:coauthVersionMax="47" xr10:uidLastSave="{00000000-0000-0000-0000-000000000000}"/>
  <bookViews>
    <workbookView xWindow="2420" yWindow="8760" windowWidth="38400" windowHeight="21100" xr2:uid="{F55CDE57-9941-CB46-A3F0-E5F264D223C5}"/>
  </bookViews>
  <sheets>
    <sheet name="Guadalupe" sheetId="3" r:id="rId1"/>
    <sheet name="Mann Whitney U tes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H19" i="3"/>
  <c r="J19" i="3"/>
  <c r="C23" i="3"/>
  <c r="N23" i="3"/>
  <c r="L23" i="3"/>
  <c r="E15" i="3"/>
  <c r="G15" i="3"/>
  <c r="I15" i="3"/>
  <c r="E11" i="3"/>
  <c r="F11" i="3"/>
  <c r="G11" i="3"/>
  <c r="I11" i="3"/>
  <c r="E7" i="3"/>
  <c r="I7" i="3"/>
  <c r="C7" i="3"/>
  <c r="C11" i="3"/>
  <c r="C15" i="3"/>
  <c r="C19" i="3"/>
  <c r="E19" i="3"/>
  <c r="G19" i="3"/>
  <c r="I19" i="3"/>
  <c r="E23" i="3"/>
  <c r="G23" i="3"/>
  <c r="I23" i="3"/>
  <c r="K23" i="3"/>
  <c r="M23" i="3"/>
</calcChain>
</file>

<file path=xl/sharedStrings.xml><?xml version="1.0" encoding="utf-8"?>
<sst xmlns="http://schemas.openxmlformats.org/spreadsheetml/2006/main" count="78" uniqueCount="27">
  <si>
    <t>Treatment</t>
  </si>
  <si>
    <t>Avg</t>
  </si>
  <si>
    <t>St Dev</t>
  </si>
  <si>
    <t>Average</t>
  </si>
  <si>
    <t>Grey Top</t>
  </si>
  <si>
    <t>Grey Bottom</t>
  </si>
  <si>
    <t>Red Top</t>
  </si>
  <si>
    <t>Red Bottom</t>
  </si>
  <si>
    <t>Red Top Dark</t>
  </si>
  <si>
    <t>Red Bottom Dark</t>
  </si>
  <si>
    <t>HC</t>
  </si>
  <si>
    <t>CC</t>
  </si>
  <si>
    <t>FT</t>
  </si>
  <si>
    <t>UV</t>
  </si>
  <si>
    <t>UV-FT</t>
  </si>
  <si>
    <t>-</t>
  </si>
  <si>
    <t>H</t>
  </si>
  <si>
    <t>C</t>
  </si>
  <si>
    <t xml:space="preserve">* </t>
  </si>
  <si>
    <t>p &lt; 0.05</t>
  </si>
  <si>
    <t>**</t>
  </si>
  <si>
    <t>p &lt; 0.01</t>
  </si>
  <si>
    <t>*</t>
  </si>
  <si>
    <t>***</t>
  </si>
  <si>
    <t>p &lt; 0.001</t>
  </si>
  <si>
    <t>ns</t>
  </si>
  <si>
    <t xml:space="preserve">t-test summary Mann Whitney U test for antifouling paint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</si>
</sst>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/>
    <xf numFmtId="2" fontId="0" fillId="0" borderId="4" xfId="0" applyNumberFormat="1" applyBorder="1"/>
    <xf numFmtId="2" fontId="0" fillId="0" borderId="1" xfId="0" applyNumberFormat="1" applyBorder="1"/>
    <xf numFmtId="2" fontId="0" fillId="2" borderId="1" xfId="0" applyNumberFormat="1" applyFill="1" applyBorder="1"/>
    <xf numFmtId="2" fontId="0" fillId="2" borderId="4" xfId="0" applyNumberFormat="1" applyFill="1" applyBorder="1"/>
    <xf numFmtId="2" fontId="0" fillId="0" borderId="5" xfId="0" applyNumberFormat="1" applyBorder="1"/>
    <xf numFmtId="0" fontId="2" fillId="0" borderId="1" xfId="0" applyFont="1" applyBorder="1"/>
    <xf numFmtId="2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3" borderId="5" xfId="0" applyFill="1" applyBorder="1"/>
    <xf numFmtId="0" fontId="0" fillId="3" borderId="4" xfId="0" applyFill="1" applyBorder="1"/>
    <xf numFmtId="0" fontId="0" fillId="3" borderId="1" xfId="0" applyFill="1" applyBorder="1"/>
    <xf numFmtId="2" fontId="0" fillId="3" borderId="4" xfId="0" applyNumberFormat="1" applyFill="1" applyBorder="1"/>
    <xf numFmtId="2" fontId="0" fillId="3" borderId="1" xfId="0" applyNumberFormat="1" applyFill="1" applyBorder="1"/>
    <xf numFmtId="2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0" fillId="4" borderId="0" xfId="0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06A8-0574-9343-83CD-C6C498B027FD}">
  <dimension ref="B1:U23"/>
  <sheetViews>
    <sheetView tabSelected="1" zoomScale="150" workbookViewId="0">
      <selection activeCell="J26" sqref="J26"/>
    </sheetView>
  </sheetViews>
  <sheetFormatPr baseColWidth="10" defaultColWidth="11" defaultRowHeight="16" x14ac:dyDescent="0.2"/>
  <cols>
    <col min="2" max="14" width="10.83203125" customWidth="1"/>
  </cols>
  <sheetData>
    <row r="1" spans="2:21" x14ac:dyDescent="0.2">
      <c r="G1" s="17"/>
    </row>
    <row r="2" spans="2:21" x14ac:dyDescent="0.2">
      <c r="B2" s="3" t="s">
        <v>0</v>
      </c>
      <c r="C2" s="21" t="s">
        <v>4</v>
      </c>
      <c r="D2" s="22"/>
      <c r="E2" s="21" t="s">
        <v>5</v>
      </c>
      <c r="F2" s="22"/>
      <c r="G2" s="21" t="s">
        <v>6</v>
      </c>
      <c r="H2" s="22"/>
      <c r="I2" s="21" t="s">
        <v>7</v>
      </c>
      <c r="J2" s="22"/>
      <c r="K2" s="21" t="s">
        <v>8</v>
      </c>
      <c r="L2" s="22"/>
      <c r="M2" s="21" t="s">
        <v>9</v>
      </c>
      <c r="N2" s="22"/>
    </row>
    <row r="3" spans="2:21" x14ac:dyDescent="0.2">
      <c r="B3" s="1"/>
      <c r="C3" s="2" t="s">
        <v>1</v>
      </c>
      <c r="D3" s="2" t="s">
        <v>2</v>
      </c>
      <c r="E3" s="2" t="s">
        <v>1</v>
      </c>
      <c r="F3" s="2" t="s">
        <v>2</v>
      </c>
      <c r="G3" s="2" t="s">
        <v>1</v>
      </c>
      <c r="H3" s="2" t="s">
        <v>2</v>
      </c>
      <c r="I3" s="2" t="s">
        <v>1</v>
      </c>
      <c r="J3" s="2" t="s">
        <v>2</v>
      </c>
      <c r="K3" s="2" t="s">
        <v>1</v>
      </c>
      <c r="L3" s="2" t="s">
        <v>2</v>
      </c>
      <c r="M3" s="2" t="s">
        <v>1</v>
      </c>
      <c r="N3" s="2" t="s">
        <v>2</v>
      </c>
      <c r="Q3" s="18"/>
      <c r="R3" s="17"/>
      <c r="S3" s="17"/>
      <c r="T3" s="17"/>
      <c r="U3" s="17"/>
    </row>
    <row r="4" spans="2:21" x14ac:dyDescent="0.2">
      <c r="B4" s="23" t="s">
        <v>10</v>
      </c>
      <c r="C4" s="8">
        <v>79.95</v>
      </c>
      <c r="D4" s="8">
        <v>2.17</v>
      </c>
      <c r="E4" s="8">
        <v>78.28</v>
      </c>
      <c r="F4" s="8">
        <v>0.57999999999999996</v>
      </c>
      <c r="G4" s="8">
        <v>79.03</v>
      </c>
      <c r="H4" s="8">
        <v>0.45</v>
      </c>
      <c r="I4" s="8">
        <v>71.400000000000006</v>
      </c>
      <c r="J4" s="8">
        <v>2.84</v>
      </c>
      <c r="K4" s="12"/>
      <c r="L4" s="12"/>
      <c r="M4" s="12"/>
      <c r="N4" s="12"/>
      <c r="Q4" s="18"/>
      <c r="R4" s="17"/>
      <c r="S4" s="17"/>
      <c r="T4" s="17"/>
      <c r="U4" s="17"/>
    </row>
    <row r="5" spans="2:21" x14ac:dyDescent="0.2">
      <c r="B5" s="24"/>
      <c r="C5" s="4">
        <v>82.23</v>
      </c>
      <c r="D5" s="4">
        <v>1.56</v>
      </c>
      <c r="E5" s="4">
        <v>79.849999999999994</v>
      </c>
      <c r="F5" s="4">
        <v>2.16</v>
      </c>
      <c r="G5" s="4">
        <v>75.56</v>
      </c>
      <c r="H5" s="4">
        <v>1.0900000000000001</v>
      </c>
      <c r="I5" s="4">
        <v>78.28</v>
      </c>
      <c r="J5" s="4">
        <v>1.23</v>
      </c>
      <c r="K5" s="13"/>
      <c r="L5" s="13"/>
      <c r="M5" s="13"/>
      <c r="N5" s="13"/>
      <c r="Q5" s="18"/>
      <c r="R5" s="17"/>
      <c r="S5" s="17"/>
      <c r="T5" s="17"/>
      <c r="U5" s="17"/>
    </row>
    <row r="6" spans="2:21" x14ac:dyDescent="0.2">
      <c r="B6" s="25"/>
      <c r="C6" s="4">
        <v>81.150000000000006</v>
      </c>
      <c r="D6" s="4">
        <v>0.69</v>
      </c>
      <c r="E6" s="4">
        <v>74.05</v>
      </c>
      <c r="F6" s="4">
        <v>1.97</v>
      </c>
      <c r="G6" s="4">
        <v>71</v>
      </c>
      <c r="H6" s="4">
        <v>1.83</v>
      </c>
      <c r="I6" s="4">
        <v>87.89</v>
      </c>
      <c r="J6" s="4">
        <v>2.4500000000000002</v>
      </c>
      <c r="K6" s="13"/>
      <c r="L6" s="13"/>
      <c r="M6" s="13"/>
      <c r="N6" s="13"/>
      <c r="Q6" s="18"/>
      <c r="R6" s="17"/>
      <c r="S6" s="17"/>
      <c r="T6" s="17"/>
      <c r="U6" s="17"/>
    </row>
    <row r="7" spans="2:21" x14ac:dyDescent="0.2">
      <c r="B7" s="9" t="s">
        <v>3</v>
      </c>
      <c r="C7" s="5">
        <f>AVERAGE(C4:C6)</f>
        <v>81.11</v>
      </c>
      <c r="D7" s="5">
        <v>1.1399999999999999</v>
      </c>
      <c r="E7" s="5">
        <f t="shared" ref="E7:I7" si="0">AVERAGE(E4:E6)</f>
        <v>77.393333333333331</v>
      </c>
      <c r="F7" s="5">
        <v>3</v>
      </c>
      <c r="G7" s="5">
        <f>AVERAGE(G4:G6)</f>
        <v>75.196666666666673</v>
      </c>
      <c r="H7" s="5">
        <v>4.0199999999999996</v>
      </c>
      <c r="I7" s="5">
        <f t="shared" si="0"/>
        <v>79.19</v>
      </c>
      <c r="J7" s="5">
        <v>8.2799999999999994</v>
      </c>
      <c r="K7" s="14"/>
      <c r="L7" s="14"/>
      <c r="M7" s="14"/>
      <c r="N7" s="14"/>
      <c r="Q7" s="18"/>
      <c r="R7" s="17"/>
      <c r="S7" s="17"/>
      <c r="T7" s="17"/>
      <c r="U7" s="17"/>
    </row>
    <row r="8" spans="2:21" x14ac:dyDescent="0.2">
      <c r="B8" s="23" t="s">
        <v>11</v>
      </c>
      <c r="C8" s="4">
        <v>83.7</v>
      </c>
      <c r="D8" s="4">
        <v>1.32</v>
      </c>
      <c r="E8" s="4">
        <v>82.67</v>
      </c>
      <c r="F8" s="4">
        <v>1.64</v>
      </c>
      <c r="G8" s="4">
        <v>87.27</v>
      </c>
      <c r="H8" s="4">
        <v>2.11</v>
      </c>
      <c r="I8" s="4">
        <v>89.21</v>
      </c>
      <c r="J8" s="4">
        <v>2.0699999999999998</v>
      </c>
      <c r="K8" s="13"/>
      <c r="L8" s="13"/>
      <c r="M8" s="13"/>
      <c r="N8" s="13"/>
    </row>
    <row r="9" spans="2:21" x14ac:dyDescent="0.2">
      <c r="B9" s="24"/>
      <c r="C9" s="4">
        <v>83.99</v>
      </c>
      <c r="D9" s="4">
        <v>1.1299999999999999</v>
      </c>
      <c r="E9" s="4">
        <v>75.66</v>
      </c>
      <c r="F9" s="4">
        <v>1.52</v>
      </c>
      <c r="G9" s="4">
        <v>80.28</v>
      </c>
      <c r="H9" s="4">
        <v>3.36</v>
      </c>
      <c r="I9" s="4">
        <v>84.1</v>
      </c>
      <c r="J9" s="4">
        <v>2.78</v>
      </c>
      <c r="K9" s="13"/>
      <c r="L9" s="13"/>
      <c r="M9" s="13"/>
      <c r="N9" s="13"/>
    </row>
    <row r="10" spans="2:21" x14ac:dyDescent="0.2">
      <c r="B10" s="25"/>
      <c r="C10" s="4">
        <v>83.7</v>
      </c>
      <c r="D10" s="4">
        <v>1.0900000000000001</v>
      </c>
      <c r="E10" s="4">
        <v>80.87</v>
      </c>
      <c r="F10" s="4">
        <v>2.2400000000000002</v>
      </c>
      <c r="G10" s="4">
        <v>84.58</v>
      </c>
      <c r="H10" s="4">
        <v>3.52</v>
      </c>
      <c r="I10" s="4">
        <v>79.72</v>
      </c>
      <c r="J10" s="4">
        <v>2.0499999999999998</v>
      </c>
      <c r="K10" s="13"/>
      <c r="L10" s="13"/>
      <c r="M10" s="13"/>
      <c r="N10" s="13"/>
    </row>
    <row r="11" spans="2:21" x14ac:dyDescent="0.2">
      <c r="B11" s="9" t="s">
        <v>3</v>
      </c>
      <c r="C11" s="5">
        <f>AVERAGE(C8:C10)</f>
        <v>83.796666666666667</v>
      </c>
      <c r="D11" s="5">
        <v>0.17</v>
      </c>
      <c r="E11" s="5">
        <f t="shared" ref="E11:I11" si="1">AVERAGE(E8:E10)</f>
        <v>79.733333333333334</v>
      </c>
      <c r="F11" s="5">
        <f t="shared" si="1"/>
        <v>1.8</v>
      </c>
      <c r="G11" s="5">
        <f t="shared" si="1"/>
        <v>84.043333333333337</v>
      </c>
      <c r="H11" s="5">
        <v>3.52</v>
      </c>
      <c r="I11" s="5">
        <f t="shared" si="1"/>
        <v>84.343333333333334</v>
      </c>
      <c r="J11" s="5">
        <v>5.24</v>
      </c>
      <c r="K11" s="14"/>
      <c r="L11" s="14"/>
      <c r="M11" s="14"/>
      <c r="N11" s="14"/>
    </row>
    <row r="12" spans="2:21" x14ac:dyDescent="0.2">
      <c r="B12" s="23" t="s">
        <v>12</v>
      </c>
      <c r="C12" s="8">
        <v>80.97</v>
      </c>
      <c r="D12" s="8">
        <v>1.17</v>
      </c>
      <c r="E12" s="8">
        <v>73.91</v>
      </c>
      <c r="F12" s="8">
        <v>1.72</v>
      </c>
      <c r="G12" s="8">
        <v>91.83</v>
      </c>
      <c r="H12" s="8">
        <v>0.97</v>
      </c>
      <c r="I12" s="8">
        <v>88.22</v>
      </c>
      <c r="J12" s="8">
        <v>1.89</v>
      </c>
      <c r="K12" s="12"/>
      <c r="L12" s="12"/>
      <c r="M12" s="12"/>
      <c r="N12" s="12"/>
    </row>
    <row r="13" spans="2:21" x14ac:dyDescent="0.2">
      <c r="B13" s="24"/>
      <c r="C13" s="4">
        <v>83.15</v>
      </c>
      <c r="D13" s="4">
        <v>1.33</v>
      </c>
      <c r="E13" s="4">
        <v>83.74</v>
      </c>
      <c r="F13" s="4">
        <v>1.17</v>
      </c>
      <c r="G13" s="4">
        <v>87.85</v>
      </c>
      <c r="H13" s="4">
        <v>2.2599999999999998</v>
      </c>
      <c r="I13" s="4">
        <v>89.13</v>
      </c>
      <c r="J13" s="4">
        <v>1.43</v>
      </c>
      <c r="K13" s="13"/>
      <c r="L13" s="13"/>
      <c r="M13" s="13"/>
      <c r="N13" s="13"/>
    </row>
    <row r="14" spans="2:21" x14ac:dyDescent="0.2">
      <c r="B14" s="25"/>
      <c r="C14" s="4">
        <v>85.27</v>
      </c>
      <c r="D14" s="4">
        <v>1.08</v>
      </c>
      <c r="E14" s="4">
        <v>79.930000000000007</v>
      </c>
      <c r="F14" s="4">
        <v>1.44</v>
      </c>
      <c r="G14" s="4">
        <v>86.15</v>
      </c>
      <c r="H14" s="4">
        <v>3.2</v>
      </c>
      <c r="I14" s="4">
        <v>86.31</v>
      </c>
      <c r="J14" s="4">
        <v>1.57</v>
      </c>
      <c r="K14" s="13"/>
      <c r="L14" s="13"/>
      <c r="M14" s="13"/>
      <c r="N14" s="13"/>
    </row>
    <row r="15" spans="2:21" x14ac:dyDescent="0.2">
      <c r="B15" s="9" t="s">
        <v>3</v>
      </c>
      <c r="C15" s="5">
        <f>AVERAGE(C12:C14)</f>
        <v>83.13</v>
      </c>
      <c r="D15" s="5">
        <v>2.15</v>
      </c>
      <c r="E15" s="5">
        <f t="shared" ref="E15:I15" si="2">AVERAGE(E12:E14)</f>
        <v>79.193333333333328</v>
      </c>
      <c r="F15" s="5">
        <v>4.96</v>
      </c>
      <c r="G15" s="5">
        <f t="shared" si="2"/>
        <v>88.610000000000014</v>
      </c>
      <c r="H15" s="5">
        <v>2.92</v>
      </c>
      <c r="I15" s="5">
        <f t="shared" si="2"/>
        <v>87.886666666666656</v>
      </c>
      <c r="J15" s="5">
        <v>1.44</v>
      </c>
      <c r="K15" s="14"/>
      <c r="L15" s="14"/>
      <c r="M15" s="14"/>
      <c r="N15" s="14"/>
    </row>
    <row r="16" spans="2:21" x14ac:dyDescent="0.2">
      <c r="B16" s="23" t="s">
        <v>13</v>
      </c>
      <c r="C16" s="4">
        <v>65.930000000000007</v>
      </c>
      <c r="D16" s="4">
        <v>0.65</v>
      </c>
      <c r="E16" s="4">
        <v>68.98</v>
      </c>
      <c r="F16" s="4">
        <v>2.57</v>
      </c>
      <c r="G16" s="4">
        <v>119.13</v>
      </c>
      <c r="H16" s="10" t="s">
        <v>15</v>
      </c>
      <c r="I16" s="4">
        <v>102.04</v>
      </c>
      <c r="J16" s="10" t="s">
        <v>15</v>
      </c>
      <c r="K16" s="15"/>
      <c r="L16" s="15"/>
      <c r="M16" s="15"/>
      <c r="N16" s="15"/>
    </row>
    <row r="17" spans="2:14" x14ac:dyDescent="0.2">
      <c r="B17" s="24"/>
      <c r="C17" s="4">
        <v>60.05</v>
      </c>
      <c r="D17" s="4">
        <v>0.93</v>
      </c>
      <c r="E17" s="4">
        <v>70.39</v>
      </c>
      <c r="F17" s="4">
        <v>2.33</v>
      </c>
      <c r="G17" s="4">
        <v>124.28</v>
      </c>
      <c r="H17" s="11" t="s">
        <v>15</v>
      </c>
      <c r="I17" s="4">
        <v>109.55</v>
      </c>
      <c r="J17" s="11" t="s">
        <v>15</v>
      </c>
      <c r="K17" s="15"/>
      <c r="L17" s="15"/>
      <c r="M17" s="15"/>
      <c r="N17" s="15"/>
    </row>
    <row r="18" spans="2:14" x14ac:dyDescent="0.2">
      <c r="B18" s="25"/>
      <c r="C18" s="4">
        <v>57.84</v>
      </c>
      <c r="D18" s="4">
        <v>0.94</v>
      </c>
      <c r="E18" s="4">
        <v>69.88</v>
      </c>
      <c r="F18" s="4">
        <v>1.27</v>
      </c>
      <c r="G18" s="4">
        <v>126.23</v>
      </c>
      <c r="H18" s="11" t="s">
        <v>15</v>
      </c>
      <c r="I18" s="4">
        <v>101.75</v>
      </c>
      <c r="J18" s="11" t="s">
        <v>15</v>
      </c>
      <c r="K18" s="15"/>
      <c r="L18" s="15"/>
      <c r="M18" s="15"/>
      <c r="N18" s="15"/>
    </row>
    <row r="19" spans="2:14" x14ac:dyDescent="0.2">
      <c r="B19" s="9" t="s">
        <v>3</v>
      </c>
      <c r="C19" s="5">
        <f>AVERAGE(C16:C18)</f>
        <v>61.273333333333333</v>
      </c>
      <c r="D19" s="5">
        <v>4.18</v>
      </c>
      <c r="E19" s="5">
        <f t="shared" ref="E19:I19" si="3">AVERAGE(E16:E18)</f>
        <v>69.75</v>
      </c>
      <c r="F19" s="5">
        <v>0.71</v>
      </c>
      <c r="G19" s="5">
        <f t="shared" si="3"/>
        <v>123.21333333333332</v>
      </c>
      <c r="H19" s="5">
        <f>STDEV(G16:G18)</f>
        <v>3.6682193682130522</v>
      </c>
      <c r="I19" s="5">
        <f t="shared" si="3"/>
        <v>104.44666666666667</v>
      </c>
      <c r="J19" s="5">
        <f>STDEV(I16:I18)</f>
        <v>4.4219942710651834</v>
      </c>
      <c r="K19" s="16"/>
      <c r="L19" s="16"/>
      <c r="M19" s="16"/>
      <c r="N19" s="16"/>
    </row>
    <row r="20" spans="2:14" x14ac:dyDescent="0.2">
      <c r="B20" s="23" t="s">
        <v>14</v>
      </c>
      <c r="C20" s="8">
        <v>86.56</v>
      </c>
      <c r="D20" s="8">
        <v>0.88</v>
      </c>
      <c r="E20" s="8">
        <v>74.63</v>
      </c>
      <c r="F20" s="8">
        <v>2.02</v>
      </c>
      <c r="G20" s="8">
        <v>76.95</v>
      </c>
      <c r="H20" s="8">
        <v>1.33</v>
      </c>
      <c r="I20" s="8">
        <v>92.02</v>
      </c>
      <c r="J20" s="8">
        <v>0.63</v>
      </c>
      <c r="K20" s="8">
        <v>123.71</v>
      </c>
      <c r="L20" s="10" t="s">
        <v>15</v>
      </c>
      <c r="M20" s="8">
        <v>139.46</v>
      </c>
      <c r="N20" s="10" t="s">
        <v>15</v>
      </c>
    </row>
    <row r="21" spans="2:14" x14ac:dyDescent="0.2">
      <c r="B21" s="24"/>
      <c r="C21" s="4">
        <v>74.39</v>
      </c>
      <c r="D21" s="4">
        <v>1.76</v>
      </c>
      <c r="E21" s="4">
        <v>76.75</v>
      </c>
      <c r="F21" s="4">
        <v>1.29</v>
      </c>
      <c r="G21" s="4">
        <v>90.14</v>
      </c>
      <c r="H21" s="4">
        <v>0.65</v>
      </c>
      <c r="I21" s="4">
        <v>104.23</v>
      </c>
      <c r="J21" s="7"/>
      <c r="K21" s="4">
        <v>139.13999999999999</v>
      </c>
      <c r="L21" s="11" t="s">
        <v>15</v>
      </c>
      <c r="M21" s="4">
        <v>124.21</v>
      </c>
      <c r="N21" s="11" t="s">
        <v>15</v>
      </c>
    </row>
    <row r="22" spans="2:14" x14ac:dyDescent="0.2">
      <c r="B22" s="25"/>
      <c r="C22" s="4">
        <v>79.599999999999994</v>
      </c>
      <c r="D22" s="4">
        <v>1.45</v>
      </c>
      <c r="E22" s="4">
        <v>78.86</v>
      </c>
      <c r="F22" s="4">
        <v>0.93</v>
      </c>
      <c r="G22" s="4">
        <v>91.47</v>
      </c>
      <c r="H22" s="4">
        <v>2.9</v>
      </c>
      <c r="I22" s="4">
        <v>110.14</v>
      </c>
      <c r="J22" s="7"/>
      <c r="K22" s="4">
        <v>121.53</v>
      </c>
      <c r="L22" s="11" t="s">
        <v>15</v>
      </c>
      <c r="M22" s="4">
        <v>123.91</v>
      </c>
      <c r="N22" s="11" t="s">
        <v>15</v>
      </c>
    </row>
    <row r="23" spans="2:14" x14ac:dyDescent="0.2">
      <c r="B23" s="9" t="s">
        <v>3</v>
      </c>
      <c r="C23" s="5">
        <f>AVERAGE(C20:C22)</f>
        <v>80.183333333333323</v>
      </c>
      <c r="D23" s="5">
        <v>6.1</v>
      </c>
      <c r="E23" s="5">
        <f t="shared" ref="E23:M23" si="4">AVERAGE(E20:E22)</f>
        <v>76.74666666666667</v>
      </c>
      <c r="F23" s="5">
        <v>2.12</v>
      </c>
      <c r="G23" s="5">
        <f t="shared" si="4"/>
        <v>86.186666666666667</v>
      </c>
      <c r="H23" s="5">
        <v>8.0299999999999994</v>
      </c>
      <c r="I23" s="5">
        <f t="shared" si="4"/>
        <v>102.13</v>
      </c>
      <c r="J23" s="6">
        <v>9</v>
      </c>
      <c r="K23" s="5">
        <f t="shared" si="4"/>
        <v>128.12666666666667</v>
      </c>
      <c r="L23" s="5">
        <f>STDEV(K20:K22)</f>
        <v>9.5999079856701339</v>
      </c>
      <c r="M23" s="5">
        <f t="shared" si="4"/>
        <v>129.19333333333336</v>
      </c>
      <c r="N23" s="5">
        <f>STDEV(M20:M22)</f>
        <v>8.8924593523576743</v>
      </c>
    </row>
  </sheetData>
  <mergeCells count="11">
    <mergeCell ref="B20:B22"/>
    <mergeCell ref="C2:D2"/>
    <mergeCell ref="E2:F2"/>
    <mergeCell ref="G2:H2"/>
    <mergeCell ref="I2:J2"/>
    <mergeCell ref="M2:N2"/>
    <mergeCell ref="K2:L2"/>
    <mergeCell ref="B4:B6"/>
    <mergeCell ref="B16:B18"/>
    <mergeCell ref="B8:B10"/>
    <mergeCell ref="B12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7E1E-8AE7-1849-A0C2-AF2142A99005}">
  <dimension ref="A1:F11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t="s">
        <v>26</v>
      </c>
    </row>
    <row r="2" spans="1:6" x14ac:dyDescent="0.2">
      <c r="B2" s="19" t="s">
        <v>16</v>
      </c>
      <c r="C2" s="19" t="s">
        <v>12</v>
      </c>
      <c r="D2" s="19" t="s">
        <v>14</v>
      </c>
      <c r="E2" s="19" t="s">
        <v>17</v>
      </c>
      <c r="F2" s="19" t="s">
        <v>13</v>
      </c>
    </row>
    <row r="3" spans="1:6" x14ac:dyDescent="0.2">
      <c r="A3" t="s">
        <v>16</v>
      </c>
      <c r="B3" s="20"/>
      <c r="C3" t="s">
        <v>22</v>
      </c>
      <c r="D3" t="s">
        <v>22</v>
      </c>
      <c r="E3" t="s">
        <v>22</v>
      </c>
      <c r="F3" t="s">
        <v>20</v>
      </c>
    </row>
    <row r="4" spans="1:6" x14ac:dyDescent="0.2">
      <c r="A4" t="s">
        <v>12</v>
      </c>
      <c r="B4" t="s">
        <v>22</v>
      </c>
      <c r="C4" s="20"/>
      <c r="D4" t="s">
        <v>25</v>
      </c>
      <c r="E4" t="s">
        <v>25</v>
      </c>
      <c r="F4" t="s">
        <v>20</v>
      </c>
    </row>
    <row r="5" spans="1:6" x14ac:dyDescent="0.2">
      <c r="A5" t="s">
        <v>14</v>
      </c>
      <c r="B5" t="s">
        <v>22</v>
      </c>
      <c r="C5" t="s">
        <v>25</v>
      </c>
      <c r="D5" s="20"/>
      <c r="E5" t="s">
        <v>25</v>
      </c>
      <c r="F5" t="s">
        <v>22</v>
      </c>
    </row>
    <row r="6" spans="1:6" x14ac:dyDescent="0.2">
      <c r="A6" t="s">
        <v>17</v>
      </c>
      <c r="B6" t="s">
        <v>22</v>
      </c>
      <c r="C6" t="s">
        <v>25</v>
      </c>
      <c r="D6" t="s">
        <v>25</v>
      </c>
      <c r="E6" s="20"/>
      <c r="F6" t="s">
        <v>20</v>
      </c>
    </row>
    <row r="7" spans="1:6" x14ac:dyDescent="0.2">
      <c r="A7" t="s">
        <v>13</v>
      </c>
      <c r="B7" t="s">
        <v>20</v>
      </c>
      <c r="C7" t="s">
        <v>20</v>
      </c>
      <c r="D7" t="s">
        <v>22</v>
      </c>
      <c r="E7" t="s">
        <v>20</v>
      </c>
      <c r="F7" s="20"/>
    </row>
    <row r="9" spans="1:6" x14ac:dyDescent="0.2">
      <c r="A9" t="s">
        <v>18</v>
      </c>
      <c r="B9" t="s">
        <v>19</v>
      </c>
    </row>
    <row r="10" spans="1:6" x14ac:dyDescent="0.2">
      <c r="A10" t="s">
        <v>20</v>
      </c>
      <c r="B10" t="s">
        <v>21</v>
      </c>
    </row>
    <row r="11" spans="1:6" x14ac:dyDescent="0.2">
      <c r="A11" t="s">
        <v>23</v>
      </c>
      <c r="B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Guadalupe</vt:lpstr>
      <vt:lpstr>Mann Whitney U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Baxter</dc:creator>
  <cp:keywords/>
  <dc:description/>
  <cp:lastModifiedBy>Guadalupe Santos</cp:lastModifiedBy>
  <cp:revision/>
  <dcterms:created xsi:type="dcterms:W3CDTF">2025-04-08T20:22:07Z</dcterms:created>
  <dcterms:modified xsi:type="dcterms:W3CDTF">2025-08-16T23:58:33Z</dcterms:modified>
  <cp:category/>
  <cp:contentStatus/>
</cp:coreProperties>
</file>