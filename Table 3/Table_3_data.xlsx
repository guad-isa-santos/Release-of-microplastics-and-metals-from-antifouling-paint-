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isantos/Documents/Tufenkji/Raw data for SI/_manuscript tables/Table 3/"/>
    </mc:Choice>
  </mc:AlternateContent>
  <xr:revisionPtr revIDLastSave="0" documentId="8_{D44DF106-B3DE-DB46-A5ED-8F056FE963F3}" xr6:coauthVersionLast="47" xr6:coauthVersionMax="47" xr10:uidLastSave="{00000000-0000-0000-0000-000000000000}"/>
  <bookViews>
    <workbookView xWindow="5580" yWindow="2300" windowWidth="27640" windowHeight="16940" activeTab="3" xr2:uid="{ED3F09AE-6908-9B4A-8FDC-5DC5131BB0CE}"/>
  </bookViews>
  <sheets>
    <sheet name="Sheet1" sheetId="1" r:id="rId1"/>
    <sheet name="Cu" sheetId="2" r:id="rId2"/>
    <sheet name="Cu % " sheetId="3" r:id="rId3"/>
    <sheet name="Weight differenc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F2" i="4"/>
  <c r="E3" i="4"/>
  <c r="F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2" i="3"/>
  <c r="N2" i="3"/>
  <c r="K2" i="3" s="1"/>
  <c r="AA2" i="3"/>
  <c r="AB2" i="3"/>
  <c r="E3" i="3"/>
  <c r="F2" i="3" s="1"/>
  <c r="S2" i="3" s="1"/>
  <c r="N3" i="3"/>
  <c r="K3" i="3" s="1"/>
  <c r="AA3" i="3"/>
  <c r="E4" i="3"/>
  <c r="N4" i="3"/>
  <c r="K4" i="3" s="1"/>
  <c r="AA4" i="3"/>
  <c r="E5" i="3"/>
  <c r="F5" i="3" s="1"/>
  <c r="S5" i="3" s="1"/>
  <c r="K5" i="3"/>
  <c r="L5" i="3"/>
  <c r="M5" i="3"/>
  <c r="N5" i="3"/>
  <c r="O5" i="3"/>
  <c r="P5" i="3" s="1"/>
  <c r="Q5" i="3"/>
  <c r="R5" i="3"/>
  <c r="U5" i="3" s="1"/>
  <c r="AA5" i="3"/>
  <c r="E6" i="3"/>
  <c r="K6" i="3"/>
  <c r="L6" i="3"/>
  <c r="M6" i="3"/>
  <c r="N6" i="3"/>
  <c r="AA6" i="3"/>
  <c r="AB5" i="3" s="1"/>
  <c r="AC5" i="3" s="1"/>
  <c r="E7" i="3"/>
  <c r="K7" i="3"/>
  <c r="L7" i="3"/>
  <c r="M7" i="3"/>
  <c r="N7" i="3"/>
  <c r="AA7" i="3"/>
  <c r="E8" i="3"/>
  <c r="N8" i="3"/>
  <c r="O8" i="3" s="1"/>
  <c r="AA8" i="3"/>
  <c r="E9" i="3"/>
  <c r="F8" i="3" s="1"/>
  <c r="S8" i="3" s="1"/>
  <c r="N9" i="3"/>
  <c r="K9" i="3" s="1"/>
  <c r="AA9" i="3"/>
  <c r="E10" i="3"/>
  <c r="N10" i="3"/>
  <c r="K10" i="3" s="1"/>
  <c r="AA10" i="3"/>
  <c r="AB8" i="3" s="1"/>
  <c r="E11" i="3"/>
  <c r="F11" i="3" s="1"/>
  <c r="S11" i="3" s="1"/>
  <c r="N11" i="3"/>
  <c r="K11" i="3" s="1"/>
  <c r="O11" i="3"/>
  <c r="R11" i="3" s="1"/>
  <c r="U11" i="3" s="1"/>
  <c r="P11" i="3"/>
  <c r="Q11" i="3"/>
  <c r="AA11" i="3"/>
  <c r="AB11" i="3"/>
  <c r="AC11" i="3"/>
  <c r="E12" i="3"/>
  <c r="N12" i="3"/>
  <c r="K12" i="3" s="1"/>
  <c r="AA12" i="3"/>
  <c r="E13" i="3"/>
  <c r="K13" i="3"/>
  <c r="L13" i="3"/>
  <c r="M13" i="3"/>
  <c r="N13" i="3"/>
  <c r="AA13" i="3"/>
  <c r="E14" i="3"/>
  <c r="F14" i="3"/>
  <c r="K14" i="3"/>
  <c r="L14" i="3"/>
  <c r="N14" i="3"/>
  <c r="M14" i="3" s="1"/>
  <c r="S14" i="3"/>
  <c r="AA14" i="3"/>
  <c r="AB14" i="3"/>
  <c r="E15" i="3"/>
  <c r="K15" i="3"/>
  <c r="L15" i="3"/>
  <c r="N15" i="3"/>
  <c r="M15" i="3" s="1"/>
  <c r="AA15" i="3"/>
  <c r="E16" i="3"/>
  <c r="N16" i="3"/>
  <c r="K16" i="3" s="1"/>
  <c r="AA16" i="3"/>
  <c r="T23" i="3"/>
  <c r="V23" i="3"/>
  <c r="X23" i="3"/>
  <c r="Z23" i="3"/>
  <c r="H28" i="3"/>
  <c r="N28" i="3" s="1"/>
  <c r="I28" i="3"/>
  <c r="J28" i="3"/>
  <c r="H29" i="3"/>
  <c r="I29" i="3"/>
  <c r="J29" i="3"/>
  <c r="N29" i="3" s="1"/>
  <c r="H30" i="3"/>
  <c r="N30" i="3" s="1"/>
  <c r="I30" i="3"/>
  <c r="J30" i="3"/>
  <c r="H31" i="3"/>
  <c r="I31" i="3"/>
  <c r="J31" i="3"/>
  <c r="N31" i="3"/>
  <c r="H32" i="3"/>
  <c r="N32" i="3" s="1"/>
  <c r="I32" i="3"/>
  <c r="J32" i="3"/>
  <c r="H33" i="3"/>
  <c r="I33" i="3"/>
  <c r="J33" i="3"/>
  <c r="N33" i="3"/>
  <c r="H34" i="3"/>
  <c r="N34" i="3" s="1"/>
  <c r="I34" i="3"/>
  <c r="J34" i="3"/>
  <c r="H35" i="3"/>
  <c r="I35" i="3"/>
  <c r="J35" i="3"/>
  <c r="N35" i="3"/>
  <c r="H36" i="3"/>
  <c r="N36" i="3" s="1"/>
  <c r="I36" i="3"/>
  <c r="J36" i="3"/>
  <c r="H37" i="3"/>
  <c r="I37" i="3"/>
  <c r="J37" i="3"/>
  <c r="N37" i="3"/>
  <c r="H38" i="3"/>
  <c r="N38" i="3" s="1"/>
  <c r="I38" i="3"/>
  <c r="J38" i="3"/>
  <c r="H39" i="3"/>
  <c r="I39" i="3"/>
  <c r="J39" i="3"/>
  <c r="N39" i="3"/>
  <c r="H40" i="3"/>
  <c r="N40" i="3" s="1"/>
  <c r="I40" i="3"/>
  <c r="J40" i="3"/>
  <c r="H41" i="3"/>
  <c r="I41" i="3"/>
  <c r="J41" i="3"/>
  <c r="N41" i="3"/>
  <c r="H42" i="3"/>
  <c r="N42" i="3" s="1"/>
  <c r="I42" i="3"/>
  <c r="J42" i="3"/>
  <c r="E2" i="2"/>
  <c r="K2" i="2"/>
  <c r="M2" i="2"/>
  <c r="N2" i="2"/>
  <c r="O2" i="2"/>
  <c r="P2" i="2"/>
  <c r="Q2" i="2"/>
  <c r="R2" i="2"/>
  <c r="S2" i="2"/>
  <c r="AD2" i="2"/>
  <c r="AE2" i="2" s="1"/>
  <c r="AH2" i="2"/>
  <c r="AI2" i="2"/>
  <c r="AJ2" i="2"/>
  <c r="AN2" i="2" s="1"/>
  <c r="AK2" i="2"/>
  <c r="AL2" i="2" s="1"/>
  <c r="E3" i="2"/>
  <c r="F2" i="2" s="1"/>
  <c r="V2" i="2" s="1"/>
  <c r="K3" i="2"/>
  <c r="AD3" i="2"/>
  <c r="AH3" i="2"/>
  <c r="AI3" i="2"/>
  <c r="AJ3" i="2"/>
  <c r="E4" i="2"/>
  <c r="K4" i="2"/>
  <c r="L2" i="2" s="1"/>
  <c r="AD4" i="2"/>
  <c r="AH4" i="2"/>
  <c r="AK4" i="2" s="1"/>
  <c r="AN4" i="2" s="1"/>
  <c r="AI4" i="2"/>
  <c r="AJ4" i="2"/>
  <c r="E5" i="2"/>
  <c r="K5" i="2"/>
  <c r="M5" i="2"/>
  <c r="N5" i="2"/>
  <c r="O5" i="2"/>
  <c r="P5" i="2"/>
  <c r="Q5" i="2"/>
  <c r="R5" i="2"/>
  <c r="S5" i="2"/>
  <c r="AD5" i="2"/>
  <c r="AE5" i="2" s="1"/>
  <c r="AH5" i="2"/>
  <c r="AI5" i="2"/>
  <c r="AJ5" i="2"/>
  <c r="AN5" i="2" s="1"/>
  <c r="AK5" i="2"/>
  <c r="AL5" i="2" s="1"/>
  <c r="E6" i="2"/>
  <c r="F5" i="2" s="1"/>
  <c r="V5" i="2" s="1"/>
  <c r="K6" i="2"/>
  <c r="AD6" i="2"/>
  <c r="AH6" i="2"/>
  <c r="AI6" i="2"/>
  <c r="AJ6" i="2"/>
  <c r="E7" i="2"/>
  <c r="K7" i="2"/>
  <c r="L5" i="2" s="1"/>
  <c r="AD7" i="2"/>
  <c r="AH7" i="2"/>
  <c r="AK7" i="2" s="1"/>
  <c r="AN7" i="2" s="1"/>
  <c r="AI7" i="2"/>
  <c r="AM7" i="2" s="1"/>
  <c r="AJ7" i="2"/>
  <c r="E8" i="2"/>
  <c r="K8" i="2"/>
  <c r="M8" i="2"/>
  <c r="N8" i="2"/>
  <c r="O8" i="2"/>
  <c r="P8" i="2"/>
  <c r="Q8" i="2"/>
  <c r="R8" i="2"/>
  <c r="S8" i="2"/>
  <c r="AD8" i="2"/>
  <c r="AE8" i="2" s="1"/>
  <c r="AH8" i="2"/>
  <c r="AI8" i="2"/>
  <c r="AJ8" i="2"/>
  <c r="AN8" i="2" s="1"/>
  <c r="AK8" i="2"/>
  <c r="AL8" i="2" s="1"/>
  <c r="E9" i="2"/>
  <c r="F8" i="2" s="1"/>
  <c r="V8" i="2" s="1"/>
  <c r="K9" i="2"/>
  <c r="AD9" i="2"/>
  <c r="AH9" i="2"/>
  <c r="AI9" i="2"/>
  <c r="AJ9" i="2"/>
  <c r="E10" i="2"/>
  <c r="K10" i="2"/>
  <c r="L8" i="2" s="1"/>
  <c r="AD10" i="2"/>
  <c r="AH10" i="2"/>
  <c r="AK10" i="2" s="1"/>
  <c r="AN10" i="2" s="1"/>
  <c r="AI10" i="2"/>
  <c r="AM10" i="2" s="1"/>
  <c r="AJ10" i="2"/>
  <c r="E11" i="2"/>
  <c r="K11" i="2"/>
  <c r="M11" i="2"/>
  <c r="N11" i="2"/>
  <c r="O11" i="2"/>
  <c r="P11" i="2"/>
  <c r="Q11" i="2"/>
  <c r="R11" i="2"/>
  <c r="S11" i="2"/>
  <c r="AD11" i="2"/>
  <c r="AE11" i="2" s="1"/>
  <c r="AH11" i="2"/>
  <c r="AI11" i="2"/>
  <c r="AJ11" i="2"/>
  <c r="AN11" i="2" s="1"/>
  <c r="AK11" i="2"/>
  <c r="AL11" i="2" s="1"/>
  <c r="E12" i="2"/>
  <c r="F11" i="2" s="1"/>
  <c r="V11" i="2" s="1"/>
  <c r="K12" i="2"/>
  <c r="AD12" i="2"/>
  <c r="AH12" i="2"/>
  <c r="AI12" i="2"/>
  <c r="AJ12" i="2"/>
  <c r="E13" i="2"/>
  <c r="K13" i="2"/>
  <c r="L11" i="2" s="1"/>
  <c r="AD13" i="2"/>
  <c r="AH13" i="2"/>
  <c r="AK13" i="2" s="1"/>
  <c r="AN13" i="2" s="1"/>
  <c r="AI13" i="2"/>
  <c r="AM13" i="2" s="1"/>
  <c r="AJ13" i="2"/>
  <c r="E14" i="2"/>
  <c r="K14" i="2"/>
  <c r="M14" i="2"/>
  <c r="N14" i="2"/>
  <c r="O14" i="2"/>
  <c r="P14" i="2"/>
  <c r="Q14" i="2"/>
  <c r="R14" i="2"/>
  <c r="S14" i="2"/>
  <c r="AD14" i="2"/>
  <c r="AE14" i="2" s="1"/>
  <c r="AH14" i="2"/>
  <c r="AI14" i="2"/>
  <c r="AJ14" i="2"/>
  <c r="AN14" i="2" s="1"/>
  <c r="AK14" i="2"/>
  <c r="AL14" i="2" s="1"/>
  <c r="E15" i="2"/>
  <c r="F14" i="2" s="1"/>
  <c r="V14" i="2" s="1"/>
  <c r="K15" i="2"/>
  <c r="AD15" i="2"/>
  <c r="AH15" i="2"/>
  <c r="AI15" i="2"/>
  <c r="AJ15" i="2"/>
  <c r="E16" i="2"/>
  <c r="K16" i="2"/>
  <c r="L14" i="2" s="1"/>
  <c r="AD16" i="2"/>
  <c r="AH16" i="2"/>
  <c r="AK16" i="2" s="1"/>
  <c r="AN16" i="2" s="1"/>
  <c r="AI16" i="2"/>
  <c r="AJ16" i="2"/>
  <c r="W23" i="2"/>
  <c r="Y23" i="2"/>
  <c r="AA23" i="2"/>
  <c r="AC23" i="2"/>
  <c r="H28" i="2"/>
  <c r="I28" i="2"/>
  <c r="K28" i="2" s="1"/>
  <c r="J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V2" i="3" l="1"/>
  <c r="V8" i="3"/>
  <c r="V5" i="3"/>
  <c r="W5" i="3"/>
  <c r="V11" i="3"/>
  <c r="W11" i="3"/>
  <c r="P8" i="3"/>
  <c r="Q8" i="3"/>
  <c r="AC8" i="3"/>
  <c r="R8" i="3"/>
  <c r="U8" i="3" s="1"/>
  <c r="M16" i="3"/>
  <c r="M9" i="3"/>
  <c r="M8" i="3"/>
  <c r="O2" i="3"/>
  <c r="L16" i="3"/>
  <c r="L9" i="3"/>
  <c r="L8" i="3"/>
  <c r="M10" i="3"/>
  <c r="K8" i="3"/>
  <c r="M3" i="3"/>
  <c r="M2" i="3"/>
  <c r="M12" i="3"/>
  <c r="M11" i="3"/>
  <c r="L10" i="3"/>
  <c r="L3" i="3"/>
  <c r="L2" i="3"/>
  <c r="O14" i="3"/>
  <c r="L12" i="3"/>
  <c r="L11" i="3"/>
  <c r="M4" i="3"/>
  <c r="L4" i="3"/>
  <c r="AF5" i="2"/>
  <c r="X5" i="2"/>
  <c r="Y14" i="2"/>
  <c r="Z14" i="2"/>
  <c r="Y2" i="2"/>
  <c r="Z2" i="2"/>
  <c r="AF2" i="2"/>
  <c r="X2" i="2"/>
  <c r="AM9" i="2"/>
  <c r="X14" i="2"/>
  <c r="AF14" i="2"/>
  <c r="Y11" i="2"/>
  <c r="Z11" i="2"/>
  <c r="AM6" i="2"/>
  <c r="AF11" i="2"/>
  <c r="X11" i="2"/>
  <c r="AQ13" i="2"/>
  <c r="Y8" i="2"/>
  <c r="Z8" i="2"/>
  <c r="AN12" i="2"/>
  <c r="AF8" i="2"/>
  <c r="X8" i="2"/>
  <c r="AM16" i="2"/>
  <c r="AM12" i="2"/>
  <c r="Y5" i="2"/>
  <c r="Z5" i="2"/>
  <c r="AM4" i="2"/>
  <c r="AK15" i="2"/>
  <c r="AN15" i="2" s="1"/>
  <c r="AQ16" i="2" s="1"/>
  <c r="AM14" i="2"/>
  <c r="AK12" i="2"/>
  <c r="AL12" i="2" s="1"/>
  <c r="AO13" i="2" s="1"/>
  <c r="AM11" i="2"/>
  <c r="AK9" i="2"/>
  <c r="AN9" i="2" s="1"/>
  <c r="AQ10" i="2" s="1"/>
  <c r="AM8" i="2"/>
  <c r="AK6" i="2"/>
  <c r="AN6" i="2" s="1"/>
  <c r="AQ7" i="2" s="1"/>
  <c r="AM5" i="2"/>
  <c r="AK3" i="2"/>
  <c r="AL3" i="2" s="1"/>
  <c r="AO4" i="2" s="1"/>
  <c r="AM2" i="2"/>
  <c r="AL16" i="2"/>
  <c r="AL13" i="2"/>
  <c r="AL10" i="2"/>
  <c r="AL7" i="2"/>
  <c r="AL4" i="2"/>
  <c r="P14" i="3" l="1"/>
  <c r="Q14" i="3"/>
  <c r="AC14" i="3"/>
  <c r="R14" i="3"/>
  <c r="W8" i="3"/>
  <c r="Q2" i="3"/>
  <c r="AC2" i="3"/>
  <c r="R2" i="3"/>
  <c r="P2" i="3"/>
  <c r="V14" i="3"/>
  <c r="AN3" i="2"/>
  <c r="AQ4" i="2" s="1"/>
  <c r="AP10" i="2"/>
  <c r="AL6" i="2"/>
  <c r="AO7" i="2" s="1"/>
  <c r="AP7" i="2"/>
  <c r="AM15" i="2"/>
  <c r="AP16" i="2" s="1"/>
  <c r="AL15" i="2"/>
  <c r="AO16" i="2" s="1"/>
  <c r="AP13" i="2"/>
  <c r="AM3" i="2"/>
  <c r="AP4" i="2" s="1"/>
  <c r="AL9" i="2"/>
  <c r="AO10" i="2" s="1"/>
  <c r="U2" i="3" l="1"/>
  <c r="W2" i="3"/>
  <c r="U14" i="3"/>
  <c r="W14" i="3"/>
</calcChain>
</file>

<file path=xl/sharedStrings.xml><?xml version="1.0" encoding="utf-8"?>
<sst xmlns="http://schemas.openxmlformats.org/spreadsheetml/2006/main" count="134" uniqueCount="65">
  <si>
    <t>Total (F1+F2+F3) average</t>
  </si>
  <si>
    <t>F3 (ug)</t>
  </si>
  <si>
    <t>F2 (ug)</t>
  </si>
  <si>
    <t>F1 (ug)</t>
  </si>
  <si>
    <t>Lower limit</t>
  </si>
  <si>
    <t>Upper limit</t>
  </si>
  <si>
    <t>UV</t>
  </si>
  <si>
    <t>C</t>
  </si>
  <si>
    <t>F</t>
  </si>
  <si>
    <t>UVFT</t>
  </si>
  <si>
    <t>UV1-3</t>
  </si>
  <si>
    <t>UV1-2</t>
  </si>
  <si>
    <t>UV1-1</t>
  </si>
  <si>
    <t>C1-3</t>
  </si>
  <si>
    <t>C1-2</t>
  </si>
  <si>
    <t>C1-1</t>
  </si>
  <si>
    <t>UV-FT1-3</t>
  </si>
  <si>
    <t>UV-FT1-2</t>
  </si>
  <si>
    <t>UV-FT1-1</t>
  </si>
  <si>
    <t>FT1-3</t>
  </si>
  <si>
    <t>FT1-2</t>
  </si>
  <si>
    <t>FT1-1</t>
  </si>
  <si>
    <t>H1-3</t>
  </si>
  <si>
    <t>H1-2</t>
  </si>
  <si>
    <t>H1-1</t>
  </si>
  <si>
    <t>F3 (ug/g) %</t>
  </si>
  <si>
    <t>F2 (ug/g) %</t>
  </si>
  <si>
    <t>F1 (ug/g) %</t>
  </si>
  <si>
    <t>F1+F2+F3 (ug/g)</t>
  </si>
  <si>
    <t>F3 (ug/g)</t>
  </si>
  <si>
    <t>F2 (ug/g)</t>
  </si>
  <si>
    <t>F1 (ug/g)</t>
  </si>
  <si>
    <t>(F1+F2+F3)/initial (%)</t>
  </si>
  <si>
    <t>Average weight</t>
  </si>
  <si>
    <t>Weight of Cu (ug)</t>
  </si>
  <si>
    <t>Weight of Cu in paint (ug/g)</t>
  </si>
  <si>
    <t>Weight of initial paint (g)</t>
  </si>
  <si>
    <t>Paint difference/F0</t>
  </si>
  <si>
    <t>Paint difference/(F1+F2+F3)</t>
  </si>
  <si>
    <t>F0/(F1+F2+F3)</t>
  </si>
  <si>
    <t>Paint lost average(ug)</t>
  </si>
  <si>
    <t>F0 average</t>
  </si>
  <si>
    <t>F3 (ug) SD</t>
  </si>
  <si>
    <t>F2 (ug) SD</t>
  </si>
  <si>
    <t>F1 (ug) SD</t>
  </si>
  <si>
    <t>F3 average</t>
  </si>
  <si>
    <t>F2 average</t>
  </si>
  <si>
    <t>F1 average</t>
  </si>
  <si>
    <t>SD</t>
  </si>
  <si>
    <t>Total (F1+F2+F3)</t>
  </si>
  <si>
    <t>Paint (ug)</t>
  </si>
  <si>
    <t>Paint (ug/g) (average)</t>
  </si>
  <si>
    <t>Diff. weight coupons (g)</t>
  </si>
  <si>
    <t>Cu</t>
  </si>
  <si>
    <t>Metals</t>
  </si>
  <si>
    <t>F3/(F1+F2+F3)</t>
  </si>
  <si>
    <t>F2/(F1+F2+F3)</t>
  </si>
  <si>
    <t>F1/(F1+F2+F3)</t>
  </si>
  <si>
    <t>F3 (ug) %</t>
  </si>
  <si>
    <t>F2 (ug) %</t>
  </si>
  <si>
    <t>F1 (ug) %</t>
  </si>
  <si>
    <t>Percentage difference</t>
  </si>
  <si>
    <t>Diff weight minus F1</t>
  </si>
  <si>
    <t>F1 (g)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</si>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</sst>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F737-C9F5-E241-A09E-F7BB56CAEEE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48EA-1F3D-5247-9EE0-018FA86722DC}">
  <dimension ref="A1:AQ42"/>
  <sheetViews>
    <sheetView zoomScale="159" zoomScaleNormal="159" workbookViewId="0">
      <pane xSplit="2" topLeftCell="C1" activePane="topRight" state="frozen"/>
      <selection pane="topRight" sqref="A1:XFD1048576"/>
    </sheetView>
  </sheetViews>
  <sheetFormatPr baseColWidth="10" defaultRowHeight="16" x14ac:dyDescent="0.2"/>
  <cols>
    <col min="3" max="3" width="26.83203125" customWidth="1"/>
    <col min="4" max="4" width="13" customWidth="1"/>
    <col min="8" max="8" width="12" bestFit="1" customWidth="1"/>
    <col min="9" max="10" width="11" bestFit="1" customWidth="1"/>
    <col min="12" max="12" width="11" bestFit="1" customWidth="1"/>
    <col min="13" max="17" width="11" customWidth="1"/>
    <col min="21" max="21" width="12" bestFit="1" customWidth="1"/>
    <col min="25" max="25" width="26.33203125" customWidth="1"/>
    <col min="26" max="26" width="13" customWidth="1"/>
    <col min="41" max="41" width="13.6640625" bestFit="1" customWidth="1"/>
    <col min="42" max="42" width="12.5" bestFit="1" customWidth="1"/>
    <col min="43" max="43" width="13.6640625" bestFit="1" customWidth="1"/>
  </cols>
  <sheetData>
    <row r="1" spans="1:43" s="2" customFormat="1" ht="51" x14ac:dyDescent="0.2">
      <c r="A1" s="2" t="s">
        <v>54</v>
      </c>
      <c r="B1" s="2" t="s">
        <v>53</v>
      </c>
      <c r="C1" s="2" t="s">
        <v>52</v>
      </c>
      <c r="D1" s="2" t="s">
        <v>51</v>
      </c>
      <c r="E1" s="2" t="s">
        <v>50</v>
      </c>
      <c r="F1" s="2" t="s">
        <v>40</v>
      </c>
      <c r="H1" s="2" t="s">
        <v>3</v>
      </c>
      <c r="I1" s="2" t="s">
        <v>2</v>
      </c>
      <c r="J1" s="2" t="s">
        <v>1</v>
      </c>
      <c r="K1" s="2" t="s">
        <v>49</v>
      </c>
      <c r="L1" s="2" t="s">
        <v>0</v>
      </c>
      <c r="M1" s="2" t="s">
        <v>48</v>
      </c>
      <c r="N1" s="2" t="s">
        <v>47</v>
      </c>
      <c r="O1" s="2" t="s">
        <v>46</v>
      </c>
      <c r="P1" s="2" t="s">
        <v>45</v>
      </c>
      <c r="Q1" s="2" t="s">
        <v>44</v>
      </c>
      <c r="R1" s="2" t="s">
        <v>43</v>
      </c>
      <c r="S1" s="2" t="s">
        <v>42</v>
      </c>
      <c r="U1" s="2" t="s">
        <v>41</v>
      </c>
      <c r="V1" s="2" t="s">
        <v>40</v>
      </c>
      <c r="X1" s="10" t="s">
        <v>39</v>
      </c>
      <c r="Y1" s="11" t="s">
        <v>38</v>
      </c>
      <c r="Z1" s="10" t="s">
        <v>37</v>
      </c>
      <c r="AB1" s="10" t="s">
        <v>36</v>
      </c>
      <c r="AC1" s="10" t="s">
        <v>35</v>
      </c>
      <c r="AD1" s="10" t="s">
        <v>34</v>
      </c>
      <c r="AE1" s="10" t="s">
        <v>33</v>
      </c>
      <c r="AF1" s="10" t="s">
        <v>32</v>
      </c>
      <c r="AH1" s="2" t="s">
        <v>31</v>
      </c>
      <c r="AI1" s="2" t="s">
        <v>30</v>
      </c>
      <c r="AJ1" s="2" t="s">
        <v>29</v>
      </c>
      <c r="AK1" s="2" t="s">
        <v>28</v>
      </c>
      <c r="AL1" s="2" t="s">
        <v>27</v>
      </c>
      <c r="AM1" s="2" t="s">
        <v>26</v>
      </c>
      <c r="AN1" s="2" t="s">
        <v>25</v>
      </c>
      <c r="AO1" s="2" t="s">
        <v>27</v>
      </c>
      <c r="AP1" s="2" t="s">
        <v>26</v>
      </c>
      <c r="AQ1" s="2" t="s">
        <v>25</v>
      </c>
    </row>
    <row r="2" spans="1:43" x14ac:dyDescent="0.2">
      <c r="B2" t="s">
        <v>24</v>
      </c>
      <c r="C2">
        <v>0.13219999999999743</v>
      </c>
      <c r="D2" s="3">
        <v>399510</v>
      </c>
      <c r="E2" s="1">
        <f>C2*D2</f>
        <v>52815.221999998976</v>
      </c>
      <c r="F2" s="1">
        <f>AVERAGE(E2:E4)</f>
        <v>54253.458000000355</v>
      </c>
      <c r="H2" s="1">
        <v>133.18336814815001</v>
      </c>
      <c r="I2" s="5">
        <v>0.39464879978661621</v>
      </c>
      <c r="J2" s="1">
        <v>61.436349321786963</v>
      </c>
      <c r="K2" s="8">
        <f>SUM(H2:J2)</f>
        <v>195.01436626972358</v>
      </c>
      <c r="L2" s="1">
        <f>AVERAGE(K2:K4)</f>
        <v>213.03413034625305</v>
      </c>
      <c r="M2" s="1">
        <f>SQRT(((Q2^2)+(R2^2)+(S2^2))/3)</f>
        <v>23.54980865920815</v>
      </c>
      <c r="N2" s="7">
        <f>AVERAGE(H2:H4)</f>
        <v>162.35320879072671</v>
      </c>
      <c r="O2" s="7">
        <f>AVERAGE(I2:I4)</f>
        <v>0.27526227577439139</v>
      </c>
      <c r="P2" s="7">
        <f>AVERAGE(J2:J4)</f>
        <v>50.405659279751966</v>
      </c>
      <c r="Q2" s="7">
        <f>STDEV(H2:H4)</f>
        <v>39.313457770089585</v>
      </c>
      <c r="R2" s="7">
        <f>STDEV(I2:I4)</f>
        <v>0.10516852333076987</v>
      </c>
      <c r="S2" s="7">
        <f>STDEV(J2:J4)</f>
        <v>10.872968380209182</v>
      </c>
      <c r="T2" s="1"/>
      <c r="U2" s="1"/>
      <c r="V2" s="1">
        <f>F2</f>
        <v>54253.458000000355</v>
      </c>
      <c r="X2" s="7">
        <f>U2/L2</f>
        <v>0</v>
      </c>
      <c r="Y2" s="7">
        <f>V2/L2</f>
        <v>254.67026298471518</v>
      </c>
      <c r="Z2" s="7" t="e">
        <f>V2/U2</f>
        <v>#DIV/0!</v>
      </c>
      <c r="AB2" s="5">
        <v>4.1509999999999962</v>
      </c>
      <c r="AC2">
        <v>152062.0237195662</v>
      </c>
      <c r="AD2" s="5">
        <f>AC2*AB2</f>
        <v>631209.46045991872</v>
      </c>
      <c r="AE2" s="5">
        <f>AVERAGE(AD2:AD4)</f>
        <v>654018.76401785424</v>
      </c>
      <c r="AF2" s="5">
        <f>(L2/AE2)*100</f>
        <v>3.2573091487087265E-2</v>
      </c>
      <c r="AH2" s="6">
        <f>H2/$AB2</f>
        <v>32.084646626873074</v>
      </c>
      <c r="AI2" s="6">
        <f>I2/$AB2</f>
        <v>9.5073187132405826E-2</v>
      </c>
      <c r="AJ2" s="6">
        <f>J2/$AB2</f>
        <v>14.800373240613592</v>
      </c>
      <c r="AK2" s="6">
        <f>SUM(AH2:AJ2)</f>
        <v>46.980093054619076</v>
      </c>
      <c r="AL2">
        <f>(AH2/$AK2)*100</f>
        <v>68.294131707171061</v>
      </c>
      <c r="AM2">
        <f>(AI2/$AK2)*100</f>
        <v>0.20236909071651624</v>
      </c>
      <c r="AN2">
        <f>(AJ2/$AK2)*100</f>
        <v>31.503499202112415</v>
      </c>
    </row>
    <row r="3" spans="1:43" x14ac:dyDescent="0.2">
      <c r="B3" t="s">
        <v>23</v>
      </c>
      <c r="C3">
        <v>0.13330000000000553</v>
      </c>
      <c r="D3" s="3">
        <v>399510</v>
      </c>
      <c r="E3" s="1">
        <f>C3*D3</f>
        <v>53254.683000002209</v>
      </c>
      <c r="H3" s="1">
        <v>207.06101508772514</v>
      </c>
      <c r="I3" s="5">
        <v>0.19631903421547078</v>
      </c>
      <c r="J3" s="1">
        <v>50.08303505754899</v>
      </c>
      <c r="K3" s="8">
        <f>SUM(H3:J3)</f>
        <v>257.34036917948958</v>
      </c>
      <c r="L3" s="1"/>
      <c r="M3" s="1"/>
      <c r="N3" s="1"/>
      <c r="O3" s="1"/>
      <c r="P3" s="1"/>
      <c r="Q3" s="7"/>
      <c r="R3" s="7"/>
      <c r="S3" s="7"/>
      <c r="T3" s="1"/>
      <c r="U3" s="1"/>
      <c r="X3" s="7"/>
      <c r="Y3" s="7"/>
      <c r="Z3" s="7"/>
      <c r="AB3" s="5">
        <v>4.2742000000000004</v>
      </c>
      <c r="AC3">
        <v>152062.0237195662</v>
      </c>
      <c r="AD3" s="5">
        <f>AC3*AB3</f>
        <v>649943.50178216991</v>
      </c>
      <c r="AE3" s="5"/>
      <c r="AF3" s="5"/>
      <c r="AH3" s="6">
        <f>H3/$AB3</f>
        <v>48.444390783708087</v>
      </c>
      <c r="AI3" s="6">
        <f>I3/$AB3</f>
        <v>4.5931176410900464E-2</v>
      </c>
      <c r="AJ3" s="6">
        <f>J3/$AB3</f>
        <v>11.717522590788683</v>
      </c>
      <c r="AK3" s="6">
        <f>SUM(AH3:AJ3)</f>
        <v>60.207844550907673</v>
      </c>
      <c r="AL3">
        <f>(AH3/$AK3)*100</f>
        <v>80.46192509473876</v>
      </c>
      <c r="AM3">
        <f>(AI3/$AK3)*100</f>
        <v>7.6287694325386735E-2</v>
      </c>
      <c r="AN3">
        <f>(AJ3/$AK3)*100</f>
        <v>19.461787210935842</v>
      </c>
    </row>
    <row r="4" spans="1:43" x14ac:dyDescent="0.2">
      <c r="B4" t="s">
        <v>22</v>
      </c>
      <c r="C4">
        <v>0.14189999999999969</v>
      </c>
      <c r="D4" s="3">
        <v>399510</v>
      </c>
      <c r="E4" s="1">
        <f>C4*D4</f>
        <v>56690.468999999881</v>
      </c>
      <c r="H4" s="1">
        <v>146.81524313630493</v>
      </c>
      <c r="I4" s="5">
        <v>0.23481899332108722</v>
      </c>
      <c r="J4" s="1">
        <v>39.697593459919929</v>
      </c>
      <c r="K4" s="8">
        <f>SUM(H4:J4)</f>
        <v>186.74765558954596</v>
      </c>
      <c r="L4" s="1"/>
      <c r="M4" s="1"/>
      <c r="N4" s="1"/>
      <c r="O4" s="1"/>
      <c r="P4" s="1"/>
      <c r="Q4" s="7"/>
      <c r="R4" s="7"/>
      <c r="S4" s="7"/>
      <c r="T4" s="1"/>
      <c r="U4" s="1"/>
      <c r="X4" s="7"/>
      <c r="Y4" s="7"/>
      <c r="Z4" s="7"/>
      <c r="AB4" s="5">
        <v>4.477800000000002</v>
      </c>
      <c r="AC4">
        <v>152062.0237195662</v>
      </c>
      <c r="AD4" s="5">
        <f>AC4*AB4</f>
        <v>680903.32981147384</v>
      </c>
      <c r="AE4" s="5"/>
      <c r="AF4" s="5"/>
      <c r="AH4" s="6">
        <f>H4/$AB4</f>
        <v>32.787360564631037</v>
      </c>
      <c r="AI4" s="6">
        <f>I4/$AB4</f>
        <v>5.2440705998724177E-2</v>
      </c>
      <c r="AJ4" s="6">
        <f>J4/$AB4</f>
        <v>8.8654235249273992</v>
      </c>
      <c r="AK4" s="6">
        <f>SUM(AH4:AJ4)</f>
        <v>41.705224795557164</v>
      </c>
      <c r="AL4">
        <f>(AH4/$AK4)*100</f>
        <v>78.616913648967696</v>
      </c>
      <c r="AM4">
        <f>(AI4/$AK4)*100</f>
        <v>0.1257413339834357</v>
      </c>
      <c r="AN4">
        <f>(AJ4/$AK4)*100</f>
        <v>21.257345017048866</v>
      </c>
      <c r="AO4">
        <f>AVERAGE(AL2:AL4)</f>
        <v>75.790990150292501</v>
      </c>
      <c r="AP4">
        <f>AVERAGE(AM2:AM4)</f>
        <v>0.13479937300844622</v>
      </c>
      <c r="AQ4">
        <f>AVERAGE(AN2:AN4)</f>
        <v>24.07421047669904</v>
      </c>
    </row>
    <row r="5" spans="1:43" x14ac:dyDescent="0.2">
      <c r="B5" t="s">
        <v>21</v>
      </c>
      <c r="C5">
        <v>5.1800000000000068E-2</v>
      </c>
      <c r="D5" s="3">
        <v>399510</v>
      </c>
      <c r="E5" s="1">
        <f>C5*D5</f>
        <v>20694.618000000028</v>
      </c>
      <c r="F5" s="1">
        <f>AVERAGE(E5:E7)</f>
        <v>25901.564999999722</v>
      </c>
      <c r="H5" s="1">
        <v>15096.606355195056</v>
      </c>
      <c r="I5" s="5">
        <v>0.77220235864283415</v>
      </c>
      <c r="J5" s="1">
        <v>41.507057093425736</v>
      </c>
      <c r="K5" s="8">
        <f>SUM(H5:J5)</f>
        <v>15138.885614647124</v>
      </c>
      <c r="L5" s="1">
        <f>AVERAGE(K5:K7)</f>
        <v>19343.212245731906</v>
      </c>
      <c r="M5" s="1">
        <f>SQRT(((Q5^2)+(R5^2)+(S5^2))/3)</f>
        <v>6812.7890196558665</v>
      </c>
      <c r="N5" s="7">
        <f>AVERAGE(H5:H7)</f>
        <v>19284.911299326239</v>
      </c>
      <c r="O5" s="7">
        <f>AVERAGE(I5:I7)</f>
        <v>1.5717107835061672</v>
      </c>
      <c r="P5" s="7">
        <f>AVERAGE(J5:J7)</f>
        <v>56.729235622161241</v>
      </c>
      <c r="Q5" s="7">
        <f>STDEV(H5:H7)</f>
        <v>11800.085874766351</v>
      </c>
      <c r="R5" s="7">
        <f>STDEV(I5:I7)</f>
        <v>1.2689859691370866</v>
      </c>
      <c r="S5" s="7">
        <f>STDEV(J5:J7)</f>
        <v>15.950449675909002</v>
      </c>
      <c r="T5" s="1"/>
      <c r="U5" s="4">
        <v>9175.8601726914221</v>
      </c>
      <c r="V5" s="1">
        <f>F5</f>
        <v>25901.564999999722</v>
      </c>
      <c r="X5" s="7">
        <f>U5/L5</f>
        <v>0.47437106392275064</v>
      </c>
      <c r="Y5" s="7">
        <f>V5/L5</f>
        <v>1.3390518943261309</v>
      </c>
      <c r="Z5" s="7">
        <f>V5/U5</f>
        <v>2.8227942135698862</v>
      </c>
      <c r="AB5" s="5">
        <v>4.5326000000000022</v>
      </c>
      <c r="AC5">
        <v>152062.0237195662</v>
      </c>
      <c r="AD5" s="5">
        <f>AC5*AB5</f>
        <v>689236.32871130609</v>
      </c>
      <c r="AE5" s="5">
        <f>AVERAGE(AD5:AD7)</f>
        <v>694193.55068456358</v>
      </c>
      <c r="AF5" s="5">
        <f>(L5/AE5)*100</f>
        <v>2.7864292640945778</v>
      </c>
      <c r="AH5" s="6">
        <f>H5/$AB5</f>
        <v>3330.6725400862747</v>
      </c>
      <c r="AI5" s="6">
        <f>I5/$AB5</f>
        <v>0.17036631483979037</v>
      </c>
      <c r="AJ5" s="6">
        <f>J5/$AB5</f>
        <v>9.157449828669133</v>
      </c>
      <c r="AK5" s="6">
        <f>SUM(AH5:AJ5)</f>
        <v>3340.0003562297834</v>
      </c>
      <c r="AL5">
        <f>(AH5/$AK5)*100</f>
        <v>99.720724097345965</v>
      </c>
      <c r="AM5">
        <f>(AI5/$AK5)*100</f>
        <v>5.1007873254271478E-3</v>
      </c>
      <c r="AN5">
        <f>(AJ5/$AK5)*100</f>
        <v>0.27417511532861416</v>
      </c>
    </row>
    <row r="6" spans="1:43" x14ac:dyDescent="0.2">
      <c r="B6" t="s">
        <v>20</v>
      </c>
      <c r="C6">
        <v>3.6899999999995714E-2</v>
      </c>
      <c r="D6" s="3">
        <v>399510</v>
      </c>
      <c r="E6" s="1">
        <f>C6*D6</f>
        <v>14741.918999998288</v>
      </c>
      <c r="H6" s="1">
        <v>10150.279201230864</v>
      </c>
      <c r="I6" s="5">
        <v>0.90802007550414943</v>
      </c>
      <c r="J6" s="1">
        <v>55.360859117721596</v>
      </c>
      <c r="K6" s="8">
        <f>SUM(H6:J6)</f>
        <v>10206.548080424089</v>
      </c>
      <c r="L6" s="1"/>
      <c r="M6" s="1"/>
      <c r="N6" s="1"/>
      <c r="O6" s="1"/>
      <c r="P6" s="1"/>
      <c r="Q6" s="7"/>
      <c r="R6" s="7"/>
      <c r="S6" s="7"/>
      <c r="T6" s="1"/>
      <c r="X6" s="7"/>
      <c r="Y6" s="7"/>
      <c r="Z6" s="7"/>
      <c r="AB6" s="5">
        <v>4.6811999999999969</v>
      </c>
      <c r="AC6">
        <v>152062.0237195662</v>
      </c>
      <c r="AD6" s="5">
        <f>AC6*AB6</f>
        <v>711832.74543603288</v>
      </c>
      <c r="AE6" s="5"/>
      <c r="AF6" s="5"/>
      <c r="AH6" s="6">
        <f>H6/$AB6</f>
        <v>2168.3071010063381</v>
      </c>
      <c r="AI6" s="6">
        <f>I6/$AB6</f>
        <v>0.19397164733490344</v>
      </c>
      <c r="AJ6" s="6">
        <f>J6/$AB6</f>
        <v>11.826211039417592</v>
      </c>
      <c r="AK6" s="6">
        <f>SUM(AH6:AJ6)</f>
        <v>2180.3272836930905</v>
      </c>
      <c r="AL6">
        <f>(AH6/$AK6)*100</f>
        <v>99.448698240092099</v>
      </c>
      <c r="AM6">
        <f>(AI6/$AK6)*100</f>
        <v>8.8964463631510237E-3</v>
      </c>
      <c r="AN6">
        <f>(AJ6/$AK6)*100</f>
        <v>0.54240531354476618</v>
      </c>
    </row>
    <row r="7" spans="1:43" x14ac:dyDescent="0.2">
      <c r="B7" t="s">
        <v>19</v>
      </c>
      <c r="C7">
        <v>0.10580000000000211</v>
      </c>
      <c r="D7" s="3">
        <v>399510</v>
      </c>
      <c r="E7" s="1">
        <f>C7*D7</f>
        <v>42268.158000000847</v>
      </c>
      <c r="H7" s="1">
        <v>32607.848341552799</v>
      </c>
      <c r="I7" s="5">
        <v>3.0349099163715181</v>
      </c>
      <c r="J7" s="1">
        <v>73.319790655336391</v>
      </c>
      <c r="K7" s="8">
        <f>SUM(H7:J7)</f>
        <v>32684.203042124507</v>
      </c>
      <c r="L7" s="1"/>
      <c r="M7" s="1"/>
      <c r="N7" s="1"/>
      <c r="O7" s="1"/>
      <c r="P7" s="1"/>
      <c r="Q7" s="7"/>
      <c r="R7" s="7"/>
      <c r="S7" s="7"/>
      <c r="T7" s="1"/>
      <c r="X7" s="7"/>
      <c r="Y7" s="7"/>
      <c r="Z7" s="7"/>
      <c r="AB7" s="5">
        <v>4.4817999999999998</v>
      </c>
      <c r="AC7">
        <v>152062.0237195662</v>
      </c>
      <c r="AD7" s="5">
        <f>AC7*AB7</f>
        <v>681511.57790635177</v>
      </c>
      <c r="AE7" s="5"/>
      <c r="AF7" s="5"/>
      <c r="AH7" s="6">
        <f>H7/$AB7</f>
        <v>7275.6143383356684</v>
      </c>
      <c r="AI7" s="6">
        <f>I7/$AB7</f>
        <v>0.67716317470023613</v>
      </c>
      <c r="AJ7" s="6">
        <f>J7/$AB7</f>
        <v>16.359451705862909</v>
      </c>
      <c r="AK7" s="6">
        <f>SUM(AH7:AJ7)</f>
        <v>7292.6509532162318</v>
      </c>
      <c r="AL7">
        <f>(AH7/$AK7)*100</f>
        <v>99.766386530908207</v>
      </c>
      <c r="AM7">
        <f>(AI7/$AK7)*100</f>
        <v>9.2855558156336969E-3</v>
      </c>
      <c r="AN7">
        <f>(AJ7/$AK7)*100</f>
        <v>0.22432791327614554</v>
      </c>
      <c r="AO7" s="9">
        <f>AVERAGE(AL5:AL7)</f>
        <v>99.645269622782095</v>
      </c>
      <c r="AP7" s="9">
        <f>AVERAGE(AM5:AM7)</f>
        <v>7.7609298347372895E-3</v>
      </c>
      <c r="AQ7" s="9">
        <f>AVERAGE(AN5:AN7)</f>
        <v>0.34696944738317531</v>
      </c>
    </row>
    <row r="8" spans="1:43" x14ac:dyDescent="0.2">
      <c r="B8" t="s">
        <v>18</v>
      </c>
      <c r="C8">
        <v>0.42879999999999541</v>
      </c>
      <c r="D8" s="3">
        <v>399510</v>
      </c>
      <c r="E8" s="1">
        <f>C8*D8</f>
        <v>171309.88799999817</v>
      </c>
      <c r="F8" s="1">
        <f>AVERAGE(E8:E10)</f>
        <v>195546.8279999994</v>
      </c>
      <c r="H8" s="1">
        <v>162551.15404634751</v>
      </c>
      <c r="I8" s="5">
        <v>382.0445335399441</v>
      </c>
      <c r="J8" s="1">
        <v>528.9624015138786</v>
      </c>
      <c r="K8" s="8">
        <f>SUM(H8:J8)</f>
        <v>163462.16098140134</v>
      </c>
      <c r="L8" s="1">
        <f>AVERAGE(K8:K10)</f>
        <v>224628.4657823985</v>
      </c>
      <c r="M8" s="1">
        <f>SQRT(((Q8^2)+(R8^2)+(S8^2))/3)</f>
        <v>68044.641114381418</v>
      </c>
      <c r="N8" s="7">
        <f>AVERAGE(H8:H10)</f>
        <v>223065.15189231117</v>
      </c>
      <c r="O8" s="7">
        <f>AVERAGE(I8:I10)</f>
        <v>316.19034481200509</v>
      </c>
      <c r="P8" s="7">
        <f>AVERAGE(J8:J10)</f>
        <v>1247.1235452753265</v>
      </c>
      <c r="Q8" s="7">
        <f>STDEV(H8:H10)</f>
        <v>117850.29973659699</v>
      </c>
      <c r="R8" s="7">
        <f>STDEV(I8:I10)</f>
        <v>58.990162258544956</v>
      </c>
      <c r="S8" s="7">
        <f>STDEV(J8:J10)</f>
        <v>1234.0686001610259</v>
      </c>
      <c r="T8" s="1"/>
      <c r="U8" s="4">
        <v>67773.859488648377</v>
      </c>
      <c r="V8" s="1">
        <f>F8</f>
        <v>195546.8279999994</v>
      </c>
      <c r="X8" s="7">
        <f>U8/L8</f>
        <v>0.30171536475836547</v>
      </c>
      <c r="Y8" s="7">
        <f>V8/L8</f>
        <v>0.87053449489980939</v>
      </c>
      <c r="Z8" s="7">
        <f>V8/U8</f>
        <v>2.8852839350657322</v>
      </c>
      <c r="AB8" s="5">
        <v>3.9573999999999998</v>
      </c>
      <c r="AC8">
        <v>152062.0237195662</v>
      </c>
      <c r="AD8" s="5">
        <f>AC8*AB8</f>
        <v>601770.25266781123</v>
      </c>
      <c r="AE8" s="5">
        <f>AVERAGE(AD8:AD10)</f>
        <v>676017.07011595124</v>
      </c>
      <c r="AF8" s="5">
        <f>(L8/AE8)*100</f>
        <v>33.228223918054312</v>
      </c>
      <c r="AH8" s="6">
        <f>H8/$AB8</f>
        <v>41075.239815623267</v>
      </c>
      <c r="AI8" s="6">
        <f>I8/$AB8</f>
        <v>96.539276681645561</v>
      </c>
      <c r="AJ8" s="6">
        <f>J8/$AB8</f>
        <v>133.66412329152439</v>
      </c>
      <c r="AK8" s="6">
        <f>SUM(AH8:AJ8)</f>
        <v>41305.443215596431</v>
      </c>
      <c r="AL8">
        <f>(AH8/$AK8)*100</f>
        <v>99.442680232792554</v>
      </c>
      <c r="AM8">
        <f>(AI8/$AK8)*100</f>
        <v>0.23372047160407544</v>
      </c>
      <c r="AN8">
        <f>(AJ8/$AK8)*100</f>
        <v>0.32359929560338058</v>
      </c>
    </row>
    <row r="9" spans="1:43" x14ac:dyDescent="0.2">
      <c r="B9" t="s">
        <v>17</v>
      </c>
      <c r="C9">
        <v>0.44700000000000273</v>
      </c>
      <c r="D9" s="3">
        <v>399510</v>
      </c>
      <c r="E9" s="1">
        <f>C9*D9</f>
        <v>178580.97000000108</v>
      </c>
      <c r="H9" s="1">
        <v>147765.36421902632</v>
      </c>
      <c r="I9" s="5">
        <v>268.18815132636342</v>
      </c>
      <c r="J9" s="1">
        <v>540.32009973350216</v>
      </c>
      <c r="K9" s="8">
        <f>SUM(H9:J9)</f>
        <v>148573.87247008618</v>
      </c>
      <c r="L9" s="1"/>
      <c r="M9" s="1"/>
      <c r="N9" s="1"/>
      <c r="O9" s="1"/>
      <c r="P9" s="1"/>
      <c r="Q9" s="7"/>
      <c r="R9" s="7"/>
      <c r="S9" s="7"/>
      <c r="T9" s="1"/>
      <c r="U9" s="4"/>
      <c r="X9" s="7"/>
      <c r="Y9" s="7"/>
      <c r="Z9" s="7"/>
      <c r="AB9" s="5">
        <v>4.3855999999999966</v>
      </c>
      <c r="AC9">
        <v>152062.0237195662</v>
      </c>
      <c r="AD9" s="5">
        <f>AC9*AB9</f>
        <v>666883.21122452908</v>
      </c>
      <c r="AE9" s="5"/>
      <c r="AF9" s="5"/>
      <c r="AH9" s="6">
        <f>H9/$AB9</f>
        <v>33693.30632502427</v>
      </c>
      <c r="AI9" s="6">
        <f>I9/$AB9</f>
        <v>61.151986347675034</v>
      </c>
      <c r="AJ9" s="6">
        <f>J9/$AB9</f>
        <v>123.20323324824484</v>
      </c>
      <c r="AK9" s="6">
        <f>SUM(AH9:AJ9)</f>
        <v>33877.661544620183</v>
      </c>
      <c r="AL9">
        <f>(AH9/$AK9)*100</f>
        <v>99.455820705472547</v>
      </c>
      <c r="AM9">
        <f>(AI9/$AK9)*100</f>
        <v>0.18050828646225153</v>
      </c>
      <c r="AN9">
        <f>(AJ9/$AK9)*100</f>
        <v>0.36367100806522368</v>
      </c>
    </row>
    <row r="10" spans="1:43" x14ac:dyDescent="0.2">
      <c r="B10" t="s">
        <v>16</v>
      </c>
      <c r="C10">
        <v>0.59259999999999735</v>
      </c>
      <c r="D10" s="3">
        <v>399510</v>
      </c>
      <c r="E10" s="1">
        <f>C10*D10</f>
        <v>236749.62599999894</v>
      </c>
      <c r="H10" s="1">
        <v>358878.93741155969</v>
      </c>
      <c r="I10" s="5">
        <v>298.33834956970765</v>
      </c>
      <c r="J10" s="1">
        <v>2672.0881345785983</v>
      </c>
      <c r="K10" s="8">
        <f>SUM(H10:J10)</f>
        <v>361849.363895708</v>
      </c>
      <c r="L10" s="1"/>
      <c r="M10" s="1"/>
      <c r="N10" s="1"/>
      <c r="O10" s="1"/>
      <c r="P10" s="1"/>
      <c r="Q10" s="7"/>
      <c r="R10" s="7"/>
      <c r="S10" s="7"/>
      <c r="T10" s="1"/>
      <c r="U10" s="4"/>
      <c r="X10" s="7"/>
      <c r="Y10" s="7"/>
      <c r="Z10" s="7"/>
      <c r="AB10" s="5">
        <v>4.9939999999999998</v>
      </c>
      <c r="AC10">
        <v>152062.0237195662</v>
      </c>
      <c r="AD10" s="5">
        <f>AC10*AB10</f>
        <v>759397.74645551364</v>
      </c>
      <c r="AE10" s="5"/>
      <c r="AF10" s="5"/>
      <c r="AH10" s="6">
        <f>H10/$AB10</f>
        <v>71862.02190860227</v>
      </c>
      <c r="AI10" s="6">
        <f>I10/$AB10</f>
        <v>59.739357142512546</v>
      </c>
      <c r="AJ10" s="6">
        <f>J10/$AB10</f>
        <v>535.0596985539845</v>
      </c>
      <c r="AK10" s="6">
        <f>SUM(AH10:AJ10)</f>
        <v>72456.820964298764</v>
      </c>
      <c r="AL10">
        <f>(AH10/$AK10)*100</f>
        <v>99.179098602753271</v>
      </c>
      <c r="AM10">
        <f>(AI10/$AK10)*100</f>
        <v>8.2448217224362602E-2</v>
      </c>
      <c r="AN10">
        <f>(AJ10/$AK10)*100</f>
        <v>0.73845318002237692</v>
      </c>
      <c r="AO10" s="5">
        <f>AVERAGE(AL8:AL10)</f>
        <v>99.35919984700611</v>
      </c>
      <c r="AP10" s="5">
        <f>AVERAGE(AM8:AM10)</f>
        <v>0.16555899176356317</v>
      </c>
      <c r="AQ10" s="5">
        <f>AVERAGE(AN8:AN10)</f>
        <v>0.47524116123032706</v>
      </c>
    </row>
    <row r="11" spans="1:43" x14ac:dyDescent="0.2">
      <c r="B11" t="s">
        <v>15</v>
      </c>
      <c r="C11">
        <v>1.4000000000002899E-2</v>
      </c>
      <c r="D11" s="3">
        <v>399510</v>
      </c>
      <c r="E11" s="1">
        <f>C11*D11</f>
        <v>5593.1400000011581</v>
      </c>
      <c r="F11" s="1">
        <f>AVERAGE(E11:E13)</f>
        <v>5806.2120000016075</v>
      </c>
      <c r="H11" s="1">
        <v>22.865181144344238</v>
      </c>
      <c r="I11" s="5">
        <v>0.3000320751294317</v>
      </c>
      <c r="J11" s="1">
        <v>47.286052465532094</v>
      </c>
      <c r="K11" s="8">
        <f>SUM(H11:J11)</f>
        <v>70.451265685005765</v>
      </c>
      <c r="L11" s="1">
        <f>AVERAGE(K11:K13)</f>
        <v>113.94095531514354</v>
      </c>
      <c r="M11" s="1">
        <f>SQRT(((Q11^2)+(R11^2)+(S11^2))/3)</f>
        <v>17.402938272244633</v>
      </c>
      <c r="N11" s="7">
        <f>AVERAGE(H11:H13)</f>
        <v>49.15696631691484</v>
      </c>
      <c r="O11" s="7">
        <f>AVERAGE(I11:I13)</f>
        <v>0.21879800834280747</v>
      </c>
      <c r="P11" s="7">
        <f>AVERAGE(J11:J13)</f>
        <v>64.565190989885892</v>
      </c>
      <c r="Q11" s="7">
        <f>STDEV(H11:H13)</f>
        <v>25.255729522440362</v>
      </c>
      <c r="R11" s="7">
        <f>STDEV(I11:I13)</f>
        <v>7.0547643953566844E-2</v>
      </c>
      <c r="S11" s="7">
        <f>STDEV(J11:J13)</f>
        <v>16.453872821981392</v>
      </c>
      <c r="T11" s="1"/>
      <c r="U11" s="4">
        <v>797.53252922519778</v>
      </c>
      <c r="V11" s="1">
        <f>F11</f>
        <v>5806.2120000016075</v>
      </c>
      <c r="X11" s="7">
        <f>U11/L11</f>
        <v>6.9995246838096348</v>
      </c>
      <c r="Y11" s="7">
        <f>V11/L11</f>
        <v>50.958077224668678</v>
      </c>
      <c r="Z11" s="7">
        <f>V11/U11</f>
        <v>7.2802196615633195</v>
      </c>
      <c r="AB11" s="5">
        <v>4.3892000000000024</v>
      </c>
      <c r="AC11">
        <v>152062.0237195662</v>
      </c>
      <c r="AD11" s="5">
        <f>AC11*AB11</f>
        <v>667430.63450992038</v>
      </c>
      <c r="AE11" s="5">
        <f>AVERAGE(AD11:AD13)</f>
        <v>661976.67659251206</v>
      </c>
      <c r="AF11" s="5">
        <f>(L11/AE11)*100</f>
        <v>1.7212231086697533E-2</v>
      </c>
      <c r="AH11" s="6">
        <f>H11/$AB11</f>
        <v>5.2094188335788356</v>
      </c>
      <c r="AI11" s="6">
        <f>I11/$AB11</f>
        <v>6.8356893085170761E-2</v>
      </c>
      <c r="AJ11" s="6">
        <f>J11/$AB11</f>
        <v>10.773273595537244</v>
      </c>
      <c r="AK11" s="6">
        <f>SUM(AH11:AJ11)</f>
        <v>16.051049322201251</v>
      </c>
      <c r="AL11">
        <f>(AH11/$AK11)*100</f>
        <v>32.45531634105285</v>
      </c>
      <c r="AM11">
        <f>(AI11/$AK11)*100</f>
        <v>0.42587180260309765</v>
      </c>
      <c r="AN11">
        <f>(AJ11/$AK11)*100</f>
        <v>67.118811856344038</v>
      </c>
      <c r="AO11" s="5"/>
      <c r="AP11" s="5"/>
      <c r="AQ11" s="5"/>
    </row>
    <row r="12" spans="1:43" x14ac:dyDescent="0.2">
      <c r="B12" t="s">
        <v>14</v>
      </c>
      <c r="C12">
        <v>1.4500000000005286E-2</v>
      </c>
      <c r="D12" s="3">
        <v>399510</v>
      </c>
      <c r="E12" s="1">
        <f>C12*D12</f>
        <v>5792.8950000021123</v>
      </c>
      <c r="H12" s="1">
        <v>73.230273878399615</v>
      </c>
      <c r="I12" s="5">
        <v>0.17291411038137272</v>
      </c>
      <c r="J12" s="1">
        <v>66.363454840514265</v>
      </c>
      <c r="K12" s="8">
        <f>SUM(H12:J12)</f>
        <v>139.76664282929525</v>
      </c>
      <c r="L12" s="1"/>
      <c r="M12" s="1"/>
      <c r="N12" s="1"/>
      <c r="O12" s="1"/>
      <c r="P12" s="1"/>
      <c r="Q12" s="7"/>
      <c r="R12" s="7"/>
      <c r="S12" s="7"/>
      <c r="T12" s="1"/>
      <c r="U12" s="1"/>
      <c r="X12" s="7"/>
      <c r="Y12" s="7"/>
      <c r="Z12" s="7"/>
      <c r="AB12" s="5">
        <v>4.4682000000000031</v>
      </c>
      <c r="AC12">
        <v>152062.0237195662</v>
      </c>
      <c r="AD12" s="5">
        <f>AC12*AB12</f>
        <v>679443.53438376624</v>
      </c>
      <c r="AE12" s="5"/>
      <c r="AF12" s="5"/>
      <c r="AH12" s="6">
        <f>H12/$AB12</f>
        <v>16.389211288303919</v>
      </c>
      <c r="AI12" s="6">
        <f>I12/$AB12</f>
        <v>3.8698829591641511E-2</v>
      </c>
      <c r="AJ12" s="6">
        <f>J12/$AB12</f>
        <v>14.852391307576703</v>
      </c>
      <c r="AK12" s="6">
        <f>SUM(AH12:AJ12)</f>
        <v>31.280301425472263</v>
      </c>
      <c r="AL12">
        <f>(AH12/$AK12)*100</f>
        <v>52.394671858749454</v>
      </c>
      <c r="AM12">
        <f>(AI12/$AK12)*100</f>
        <v>0.1237162937315181</v>
      </c>
      <c r="AN12">
        <f>(AJ12/$AK12)*100</f>
        <v>47.481611847519034</v>
      </c>
      <c r="AO12" s="5"/>
      <c r="AP12" s="5"/>
      <c r="AQ12" s="5"/>
    </row>
    <row r="13" spans="1:43" x14ac:dyDescent="0.2">
      <c r="B13" t="s">
        <v>13</v>
      </c>
      <c r="C13">
        <v>1.5100000000003888E-2</v>
      </c>
      <c r="D13" s="3">
        <v>399510</v>
      </c>
      <c r="E13" s="1">
        <f>C13*D13</f>
        <v>6032.6010000015531</v>
      </c>
      <c r="H13" s="1">
        <v>51.375443928000671</v>
      </c>
      <c r="I13" s="5">
        <v>0.18344783951761792</v>
      </c>
      <c r="J13" s="1">
        <v>80.046065663611316</v>
      </c>
      <c r="K13" s="8">
        <f>SUM(H13:J13)</f>
        <v>131.60495743112961</v>
      </c>
      <c r="L13" s="1"/>
      <c r="M13" s="1"/>
      <c r="N13" s="1"/>
      <c r="O13" s="1"/>
      <c r="P13" s="1"/>
      <c r="Q13" s="7"/>
      <c r="R13" s="7"/>
      <c r="S13" s="7"/>
      <c r="T13" s="1"/>
      <c r="U13" s="1"/>
      <c r="X13" s="7"/>
      <c r="Y13" s="7"/>
      <c r="Z13" s="7"/>
      <c r="AB13" s="5">
        <v>4.2026000000000039</v>
      </c>
      <c r="AC13">
        <v>152062.0237195662</v>
      </c>
      <c r="AD13" s="5">
        <f>AC13*AB13</f>
        <v>639055.86088384956</v>
      </c>
      <c r="AE13" s="5"/>
      <c r="AF13" s="5"/>
      <c r="AH13" s="6">
        <f>H13/$AB13</f>
        <v>12.224680894684392</v>
      </c>
      <c r="AI13" s="6">
        <f>I13/$AB13</f>
        <v>4.3651034958744055E-2</v>
      </c>
      <c r="AJ13" s="6">
        <f>J13/$AB13</f>
        <v>19.046796188933335</v>
      </c>
      <c r="AK13" s="6">
        <f>SUM(AH13:AJ13)</f>
        <v>31.315128118576471</v>
      </c>
      <c r="AL13">
        <f>(AH13/$AK13)*100</f>
        <v>39.037620565992768</v>
      </c>
      <c r="AM13">
        <f>(AI13/$AK13)*100</f>
        <v>0.1393928033551611</v>
      </c>
      <c r="AN13">
        <f>(AJ13/$AK13)*100</f>
        <v>60.822986630652075</v>
      </c>
      <c r="AO13" s="5">
        <f>AVERAGE(AL11:AL13)</f>
        <v>41.295869588598357</v>
      </c>
      <c r="AP13" s="5">
        <f>AVERAGE(AM11:AM13)</f>
        <v>0.22966029989659231</v>
      </c>
      <c r="AQ13" s="5">
        <f>AVERAGE(AN11:AN13)</f>
        <v>58.474470111505049</v>
      </c>
    </row>
    <row r="14" spans="1:43" x14ac:dyDescent="0.2">
      <c r="B14" t="s">
        <v>12</v>
      </c>
      <c r="C14">
        <v>0.14629999999999654</v>
      </c>
      <c r="D14" s="3">
        <v>399510</v>
      </c>
      <c r="E14" s="1">
        <f>C14*D14</f>
        <v>58448.312999998619</v>
      </c>
      <c r="F14" s="1">
        <f>AVERAGE(E14:E16)</f>
        <v>58767.920999999769</v>
      </c>
      <c r="H14" s="1">
        <v>667.27071891778087</v>
      </c>
      <c r="I14" s="5">
        <v>0.4310036817750757</v>
      </c>
      <c r="J14" s="1">
        <v>257.85525044114536</v>
      </c>
      <c r="K14" s="8">
        <f>SUM(H14:J14)</f>
        <v>925.55697304070134</v>
      </c>
      <c r="L14" s="1">
        <f>AVERAGE(K14:K16)</f>
        <v>749.99801820034099</v>
      </c>
      <c r="M14" s="1">
        <f>SQRT(((Q14^2)+(R14^2)+(S14^2))/3)</f>
        <v>141.18964074219707</v>
      </c>
      <c r="N14" s="7">
        <f>AVERAGE(H14:H16)</f>
        <v>478.67552147909709</v>
      </c>
      <c r="O14" s="7">
        <f>AVERAGE(I14:I16)</f>
        <v>0.39159756381042277</v>
      </c>
      <c r="P14" s="7">
        <f>AVERAGE(J14:J16)</f>
        <v>270.93089915743354</v>
      </c>
      <c r="Q14" s="7">
        <f>STDEV(H14:H16)</f>
        <v>244.25554937894196</v>
      </c>
      <c r="R14" s="7">
        <f>STDEV(I14:I16)</f>
        <v>5.3473702598063826E-2</v>
      </c>
      <c r="S14" s="7">
        <f>STDEV(J14:J16)</f>
        <v>11.94854371404324</v>
      </c>
      <c r="T14" s="1"/>
      <c r="U14" s="4">
        <v>711.20641401792534</v>
      </c>
      <c r="V14" s="1">
        <f>F14</f>
        <v>58767.920999999769</v>
      </c>
      <c r="X14" s="7">
        <f>U14/L14</f>
        <v>0.948277724419195</v>
      </c>
      <c r="Y14" s="7">
        <f>V14/L14</f>
        <v>78.357435051650441</v>
      </c>
      <c r="Z14" s="7">
        <f>V14/U14</f>
        <v>82.631314681195462</v>
      </c>
      <c r="AB14" s="5">
        <v>4.3192000000000021</v>
      </c>
      <c r="AC14">
        <v>152062.0237195662</v>
      </c>
      <c r="AD14" s="5">
        <f>AC14*AB14</f>
        <v>656786.29284955072</v>
      </c>
      <c r="AE14" s="5">
        <f>AVERAGE(AD14:AD16)</f>
        <v>660973.06723596237</v>
      </c>
      <c r="AF14" s="5">
        <f>(L14/AE14)*100</f>
        <v>0.1134687713278032</v>
      </c>
      <c r="AH14" s="6">
        <f>H14/$AB14</f>
        <v>154.4894237168412</v>
      </c>
      <c r="AI14" s="6">
        <f>I14/$AB14</f>
        <v>9.9787850012751311E-2</v>
      </c>
      <c r="AJ14" s="6">
        <f>J14/$AB14</f>
        <v>59.699770893023064</v>
      </c>
      <c r="AK14" s="6">
        <f>SUM(AH14:AJ14)</f>
        <v>214.28898245987702</v>
      </c>
      <c r="AL14">
        <f>(AH14/$AK14)*100</f>
        <v>72.093964861570726</v>
      </c>
      <c r="AM14">
        <f>(AI14/$AK14)*100</f>
        <v>4.6566953124356429E-2</v>
      </c>
      <c r="AN14">
        <f>(AJ14/$AK14)*100</f>
        <v>27.859468185304912</v>
      </c>
      <c r="AO14" s="5"/>
      <c r="AP14" s="5"/>
      <c r="AQ14" s="5"/>
    </row>
    <row r="15" spans="1:43" x14ac:dyDescent="0.2">
      <c r="B15" t="s">
        <v>11</v>
      </c>
      <c r="C15">
        <v>0.14880000000000138</v>
      </c>
      <c r="D15" s="3">
        <v>399510</v>
      </c>
      <c r="E15" s="1">
        <f>C15*D15</f>
        <v>59447.088000000549</v>
      </c>
      <c r="H15" s="1">
        <v>202.7611227942599</v>
      </c>
      <c r="I15" s="5">
        <v>0.33072649212693495</v>
      </c>
      <c r="J15" s="1">
        <v>273.65581716050224</v>
      </c>
      <c r="K15" s="8">
        <f>SUM(H15:J15)</f>
        <v>476.74766644688907</v>
      </c>
      <c r="L15" s="1"/>
      <c r="M15" s="1"/>
      <c r="N15" s="1"/>
      <c r="O15" s="1"/>
      <c r="P15" s="1"/>
      <c r="Q15" s="7"/>
      <c r="R15" s="7"/>
      <c r="S15" s="7"/>
      <c r="T15" s="1"/>
      <c r="U15" s="1"/>
      <c r="X15" s="7"/>
      <c r="Z15" s="7"/>
      <c r="AB15" s="5">
        <v>4.3817999999999984</v>
      </c>
      <c r="AC15">
        <v>152062.0237195662</v>
      </c>
      <c r="AD15" s="5">
        <f>AC15*AB15</f>
        <v>666305.37553439499</v>
      </c>
      <c r="AE15" s="5"/>
      <c r="AF15" s="5"/>
      <c r="AH15" s="6">
        <f>H15/$AB15</f>
        <v>46.27347729112693</v>
      </c>
      <c r="AI15" s="6">
        <f>I15/$AB15</f>
        <v>7.5477313461804529E-2</v>
      </c>
      <c r="AJ15" s="6">
        <f>J15/$AB15</f>
        <v>62.452831521407262</v>
      </c>
      <c r="AK15" s="6">
        <f>SUM(AH15:AJ15)</f>
        <v>108.80178612599599</v>
      </c>
      <c r="AL15">
        <f>(AH15/$AK15)*100</f>
        <v>42.530071369913678</v>
      </c>
      <c r="AM15">
        <f>(AI15/$AK15)*100</f>
        <v>6.9371391912996141E-2</v>
      </c>
      <c r="AN15">
        <f>(AJ15/$AK15)*100</f>
        <v>57.400557238173334</v>
      </c>
      <c r="AO15" s="5"/>
      <c r="AP15" s="5"/>
      <c r="AQ15" s="5"/>
    </row>
    <row r="16" spans="1:43" x14ac:dyDescent="0.2">
      <c r="B16" t="s">
        <v>10</v>
      </c>
      <c r="C16">
        <v>0.14620000000000033</v>
      </c>
      <c r="D16" s="3">
        <v>399510</v>
      </c>
      <c r="E16" s="1">
        <f>C16*D16</f>
        <v>58408.362000000132</v>
      </c>
      <c r="H16" s="1">
        <v>565.99472272525031</v>
      </c>
      <c r="I16" s="5">
        <v>0.41306251752925782</v>
      </c>
      <c r="J16" s="1">
        <v>281.28162987065315</v>
      </c>
      <c r="K16" s="8">
        <f>SUM(H16:J16)</f>
        <v>847.68941511343269</v>
      </c>
      <c r="L16" s="1"/>
      <c r="M16" s="1"/>
      <c r="N16" s="1"/>
      <c r="O16" s="1"/>
      <c r="P16" s="1"/>
      <c r="Q16" s="7"/>
      <c r="R16" s="7"/>
      <c r="S16" s="7"/>
      <c r="T16" s="1"/>
      <c r="U16" s="1"/>
      <c r="X16" s="7"/>
      <c r="Z16" s="7"/>
      <c r="AB16" s="5">
        <v>4.3391999999999982</v>
      </c>
      <c r="AC16">
        <v>152062.0237195662</v>
      </c>
      <c r="AD16" s="5">
        <f>AC16*AB16</f>
        <v>659827.5333239414</v>
      </c>
      <c r="AE16" s="5"/>
      <c r="AF16" s="5"/>
      <c r="AH16" s="6">
        <f>H16/$AB16</f>
        <v>130.43757437436636</v>
      </c>
      <c r="AI16" s="6">
        <f>I16/$AB16</f>
        <v>9.5193242424699939E-2</v>
      </c>
      <c r="AJ16" s="6">
        <f>J16/$AB16</f>
        <v>64.823384465028866</v>
      </c>
      <c r="AK16" s="6">
        <f>SUM(AH16:AJ16)</f>
        <v>195.35615208181991</v>
      </c>
      <c r="AL16">
        <f>(AH16/$AK16)*100</f>
        <v>66.769115271955158</v>
      </c>
      <c r="AM16">
        <f>(AI16/$AK16)*100</f>
        <v>4.8728049467738642E-2</v>
      </c>
      <c r="AN16">
        <f>(AJ16/$AK16)*100</f>
        <v>33.182156678577115</v>
      </c>
      <c r="AO16" s="5">
        <f>AVERAGE(AL14:AL16)</f>
        <v>60.464383834479861</v>
      </c>
      <c r="AP16" s="5">
        <f>AVERAGE(AM14:AM16)</f>
        <v>5.4888798168363735E-2</v>
      </c>
      <c r="AQ16" s="5">
        <f>AVERAGE(AN14:AN16)</f>
        <v>39.48072736735179</v>
      </c>
    </row>
    <row r="17" spans="3:29" x14ac:dyDescent="0.2">
      <c r="V17" t="s">
        <v>9</v>
      </c>
      <c r="X17" t="s">
        <v>8</v>
      </c>
      <c r="Z17" t="s">
        <v>7</v>
      </c>
      <c r="AB17" t="s">
        <v>6</v>
      </c>
    </row>
    <row r="18" spans="3:29" x14ac:dyDescent="0.2">
      <c r="D18" s="3"/>
      <c r="K18" s="4"/>
      <c r="L18" s="4"/>
      <c r="M18" s="4"/>
      <c r="N18" s="4"/>
      <c r="O18" s="4"/>
      <c r="P18" s="4"/>
      <c r="S18" s="4"/>
      <c r="T18" s="4"/>
      <c r="U18" s="4"/>
      <c r="V18" s="4">
        <v>101059.35820495404</v>
      </c>
      <c r="X18">
        <v>10671.087879452805</v>
      </c>
      <c r="Z18">
        <v>584.17824182875859</v>
      </c>
      <c r="AB18">
        <v>663.2871888164259</v>
      </c>
    </row>
    <row r="19" spans="3:29" x14ac:dyDescent="0.2">
      <c r="C19" s="3" t="s">
        <v>5</v>
      </c>
      <c r="D19" s="3">
        <v>532700</v>
      </c>
      <c r="V19">
        <v>49616.731872677847</v>
      </c>
      <c r="X19">
        <v>14560.551602748154</v>
      </c>
      <c r="Z19">
        <v>59.130562274933638</v>
      </c>
      <c r="AB19">
        <v>855.70582914688566</v>
      </c>
    </row>
    <row r="20" spans="3:29" x14ac:dyDescent="0.2">
      <c r="C20" s="3" t="s">
        <v>4</v>
      </c>
      <c r="D20" s="3">
        <v>399510</v>
      </c>
      <c r="V20">
        <v>46824.202333069516</v>
      </c>
      <c r="X20">
        <v>6219.8807715223948</v>
      </c>
      <c r="Z20">
        <v>53.511024237374158</v>
      </c>
      <c r="AB20">
        <v>619.95807110782278</v>
      </c>
    </row>
    <row r="21" spans="3:29" x14ac:dyDescent="0.2">
      <c r="V21">
        <v>60875.110978782992</v>
      </c>
      <c r="X21">
        <v>8861.351229707574</v>
      </c>
      <c r="Z21">
        <v>64.882875130366074</v>
      </c>
      <c r="AB21">
        <v>705.8745670005668</v>
      </c>
    </row>
    <row r="22" spans="3:29" x14ac:dyDescent="0.2">
      <c r="V22">
        <v>77859.273799089162</v>
      </c>
      <c r="X22">
        <v>5566.4293800261785</v>
      </c>
      <c r="Z22">
        <v>3776.9816393442056</v>
      </c>
    </row>
    <row r="23" spans="3:29" x14ac:dyDescent="0.2">
      <c r="V23">
        <v>70408.479743316784</v>
      </c>
      <c r="W23">
        <f>AVERAGE(V18:V23)</f>
        <v>67773.859488648377</v>
      </c>
      <c r="Y23">
        <f>AVERAGE(X18:X23)</f>
        <v>9175.8601726914221</v>
      </c>
      <c r="Z23">
        <v>246.51083253554842</v>
      </c>
      <c r="AA23">
        <f>AVERAGE(Z18:Z23)</f>
        <v>797.53252922519778</v>
      </c>
      <c r="AC23">
        <f>AVERAGE(AB18:AB23)</f>
        <v>711.20641401792534</v>
      </c>
    </row>
    <row r="25" spans="3:29" x14ac:dyDescent="0.2">
      <c r="F25">
        <v>1224650.4822866491</v>
      </c>
      <c r="S25">
        <v>3007.8986891220102</v>
      </c>
    </row>
    <row r="27" spans="3:29" x14ac:dyDescent="0.2">
      <c r="H27" s="2" t="s">
        <v>3</v>
      </c>
      <c r="I27" s="2" t="s">
        <v>2</v>
      </c>
      <c r="J27" s="2" t="s">
        <v>1</v>
      </c>
      <c r="K27" s="2" t="s">
        <v>0</v>
      </c>
      <c r="Q27" s="2"/>
      <c r="U27" s="2"/>
      <c r="V27" s="2"/>
    </row>
    <row r="28" spans="3:29" x14ac:dyDescent="0.2">
      <c r="H28">
        <f>H2/10</f>
        <v>13.318336814815002</v>
      </c>
      <c r="I28">
        <f>J2/10</f>
        <v>6.1436349321786965</v>
      </c>
      <c r="J28" t="e">
        <f>#REF!/10</f>
        <v>#REF!</v>
      </c>
      <c r="K28" s="1" t="e">
        <f>SUM(H28:J28)</f>
        <v>#REF!</v>
      </c>
    </row>
    <row r="29" spans="3:29" x14ac:dyDescent="0.2">
      <c r="H29">
        <f>H3/10</f>
        <v>20.706101508772512</v>
      </c>
      <c r="I29">
        <f>J3/10</f>
        <v>5.008303505754899</v>
      </c>
      <c r="J29" t="e">
        <f>#REF!/10</f>
        <v>#REF!</v>
      </c>
      <c r="K29" s="1" t="e">
        <f>SUM(H29:J29)</f>
        <v>#REF!</v>
      </c>
    </row>
    <row r="30" spans="3:29" x14ac:dyDescent="0.2">
      <c r="H30">
        <f>H4/10</f>
        <v>14.681524313630494</v>
      </c>
      <c r="I30">
        <f>J4/10</f>
        <v>3.9697593459919931</v>
      </c>
      <c r="J30" t="e">
        <f>#REF!/10</f>
        <v>#REF!</v>
      </c>
      <c r="K30" s="1" t="e">
        <f>SUM(H30:J30)</f>
        <v>#REF!</v>
      </c>
    </row>
    <row r="31" spans="3:29" x14ac:dyDescent="0.2">
      <c r="H31">
        <f>H5</f>
        <v>15096.606355195056</v>
      </c>
      <c r="I31">
        <f>J5</f>
        <v>41.507057093425736</v>
      </c>
      <c r="J31" t="e">
        <f>#REF!</f>
        <v>#REF!</v>
      </c>
      <c r="K31" s="1" t="e">
        <f>SUM(H31:J31)</f>
        <v>#REF!</v>
      </c>
    </row>
    <row r="32" spans="3:29" x14ac:dyDescent="0.2">
      <c r="H32">
        <f>H6</f>
        <v>10150.279201230864</v>
      </c>
      <c r="I32">
        <f>J6</f>
        <v>55.360859117721596</v>
      </c>
      <c r="J32" t="e">
        <f>#REF!</f>
        <v>#REF!</v>
      </c>
      <c r="K32" s="1" t="e">
        <f>SUM(H32:J32)</f>
        <v>#REF!</v>
      </c>
    </row>
    <row r="33" spans="8:11" x14ac:dyDescent="0.2">
      <c r="H33">
        <f>H7</f>
        <v>32607.848341552799</v>
      </c>
      <c r="I33">
        <f>J7</f>
        <v>73.319790655336391</v>
      </c>
      <c r="J33" t="e">
        <f>#REF!</f>
        <v>#REF!</v>
      </c>
      <c r="K33" s="1" t="e">
        <f>SUM(H33:J33)</f>
        <v>#REF!</v>
      </c>
    </row>
    <row r="34" spans="8:11" x14ac:dyDescent="0.2">
      <c r="H34">
        <f>H8</f>
        <v>162551.15404634751</v>
      </c>
      <c r="I34">
        <f>J8</f>
        <v>528.9624015138786</v>
      </c>
      <c r="J34" t="e">
        <f>#REF!</f>
        <v>#REF!</v>
      </c>
      <c r="K34" s="1" t="e">
        <f>SUM(H34:J34)</f>
        <v>#REF!</v>
      </c>
    </row>
    <row r="35" spans="8:11" x14ac:dyDescent="0.2">
      <c r="H35">
        <f>H9</f>
        <v>147765.36421902632</v>
      </c>
      <c r="I35">
        <f>J9</f>
        <v>540.32009973350216</v>
      </c>
      <c r="J35" t="e">
        <f>#REF!</f>
        <v>#REF!</v>
      </c>
      <c r="K35" s="1" t="e">
        <f>SUM(H35:J35)</f>
        <v>#REF!</v>
      </c>
    </row>
    <row r="36" spans="8:11" x14ac:dyDescent="0.2">
      <c r="H36">
        <f>H10</f>
        <v>358878.93741155969</v>
      </c>
      <c r="I36">
        <f>J10</f>
        <v>2672.0881345785983</v>
      </c>
      <c r="J36" t="e">
        <f>#REF!</f>
        <v>#REF!</v>
      </c>
      <c r="K36" s="1" t="e">
        <f>SUM(H36:J36)</f>
        <v>#REF!</v>
      </c>
    </row>
    <row r="37" spans="8:11" x14ac:dyDescent="0.2">
      <c r="H37">
        <f>H11/10</f>
        <v>2.2865181144344238</v>
      </c>
      <c r="I37">
        <f>J11/10</f>
        <v>4.7286052465532098</v>
      </c>
      <c r="J37" t="e">
        <f>#REF!/10</f>
        <v>#REF!</v>
      </c>
      <c r="K37" s="1" t="e">
        <f>SUM(H37:J37)</f>
        <v>#REF!</v>
      </c>
    </row>
    <row r="38" spans="8:11" x14ac:dyDescent="0.2">
      <c r="H38">
        <f>H12/10</f>
        <v>7.3230273878399617</v>
      </c>
      <c r="I38">
        <f>J12/10</f>
        <v>6.6363454840514269</v>
      </c>
      <c r="J38" t="e">
        <f>#REF!/10</f>
        <v>#REF!</v>
      </c>
      <c r="K38" s="1" t="e">
        <f>SUM(H38:J38)</f>
        <v>#REF!</v>
      </c>
    </row>
    <row r="39" spans="8:11" x14ac:dyDescent="0.2">
      <c r="H39">
        <f>H13/10</f>
        <v>5.1375443928000672</v>
      </c>
      <c r="I39">
        <f>J13/10</f>
        <v>8.0046065663611312</v>
      </c>
      <c r="J39" t="e">
        <f>#REF!/10</f>
        <v>#REF!</v>
      </c>
      <c r="K39" s="1" t="e">
        <f>SUM(H39:J39)</f>
        <v>#REF!</v>
      </c>
    </row>
    <row r="40" spans="8:11" x14ac:dyDescent="0.2">
      <c r="H40">
        <f>H14/10</f>
        <v>66.727071891778081</v>
      </c>
      <c r="I40">
        <f>J14/10</f>
        <v>25.785525044114536</v>
      </c>
      <c r="J40" t="e">
        <f>#REF!/10</f>
        <v>#REF!</v>
      </c>
      <c r="K40" s="1" t="e">
        <f>SUM(H40:J40)</f>
        <v>#REF!</v>
      </c>
    </row>
    <row r="41" spans="8:11" x14ac:dyDescent="0.2">
      <c r="H41">
        <f>H15/10</f>
        <v>20.276112279425991</v>
      </c>
      <c r="I41">
        <f>J15/10</f>
        <v>27.365581716050222</v>
      </c>
      <c r="J41" t="e">
        <f>#REF!/10</f>
        <v>#REF!</v>
      </c>
      <c r="K41" s="1" t="e">
        <f>SUM(H41:J41)</f>
        <v>#REF!</v>
      </c>
    </row>
    <row r="42" spans="8:11" x14ac:dyDescent="0.2">
      <c r="H42">
        <f>H16/10</f>
        <v>56.599472272525034</v>
      </c>
      <c r="I42">
        <f>J16/10</f>
        <v>28.128162987065316</v>
      </c>
      <c r="J42" t="e">
        <f>#REF!/10</f>
        <v>#REF!</v>
      </c>
      <c r="K42" s="1" t="e">
        <f>SUM(H42:J42)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61F7-87B8-464E-BFC4-3EECABCC9AB3}">
  <dimension ref="A1:AC42"/>
  <sheetViews>
    <sheetView zoomScale="159" zoomScaleNormal="159" workbookViewId="0">
      <pane xSplit="2" topLeftCell="G1" activePane="topRight" state="frozen"/>
      <selection pane="topRight" activeCell="M11" sqref="M11"/>
    </sheetView>
  </sheetViews>
  <sheetFormatPr baseColWidth="10" defaultRowHeight="16" x14ac:dyDescent="0.2"/>
  <cols>
    <col min="3" max="3" width="26.83203125" customWidth="1"/>
    <col min="4" max="4" width="13" customWidth="1"/>
    <col min="8" max="8" width="12" bestFit="1" customWidth="1"/>
    <col min="9" max="10" width="11" bestFit="1" customWidth="1"/>
    <col min="11" max="11" width="11" customWidth="1"/>
    <col min="15" max="15" width="11" bestFit="1" customWidth="1"/>
    <col min="16" max="16" width="11" customWidth="1"/>
    <col min="18" max="18" width="12" bestFit="1" customWidth="1"/>
    <col min="22" max="22" width="26.33203125" customWidth="1"/>
    <col min="23" max="23" width="13" customWidth="1"/>
  </cols>
  <sheetData>
    <row r="1" spans="1:29" s="2" customFormat="1" ht="51" x14ac:dyDescent="0.2">
      <c r="A1" s="2" t="s">
        <v>54</v>
      </c>
      <c r="B1" s="2" t="s">
        <v>53</v>
      </c>
      <c r="C1" s="2" t="s">
        <v>52</v>
      </c>
      <c r="D1" s="2" t="s">
        <v>51</v>
      </c>
      <c r="E1" s="2" t="s">
        <v>50</v>
      </c>
      <c r="F1" s="2" t="s">
        <v>40</v>
      </c>
      <c r="H1" s="2" t="s">
        <v>3</v>
      </c>
      <c r="I1" s="2" t="s">
        <v>2</v>
      </c>
      <c r="J1" s="2" t="s">
        <v>1</v>
      </c>
      <c r="K1" s="2" t="s">
        <v>60</v>
      </c>
      <c r="L1" s="2" t="s">
        <v>59</v>
      </c>
      <c r="M1" s="2" t="s">
        <v>58</v>
      </c>
      <c r="N1" s="2" t="s">
        <v>49</v>
      </c>
      <c r="O1" s="2" t="s">
        <v>0</v>
      </c>
      <c r="P1" s="2" t="s">
        <v>57</v>
      </c>
      <c r="Q1" s="2" t="s">
        <v>56</v>
      </c>
      <c r="R1" s="2" t="s">
        <v>55</v>
      </c>
      <c r="S1" s="2" t="s">
        <v>40</v>
      </c>
      <c r="U1" s="10" t="s">
        <v>39</v>
      </c>
      <c r="V1" s="11" t="s">
        <v>38</v>
      </c>
      <c r="W1" s="10" t="s">
        <v>37</v>
      </c>
      <c r="Y1" s="10" t="s">
        <v>36</v>
      </c>
      <c r="Z1" s="10" t="s">
        <v>35</v>
      </c>
      <c r="AA1" s="10" t="s">
        <v>34</v>
      </c>
      <c r="AB1" s="10" t="s">
        <v>33</v>
      </c>
      <c r="AC1" s="10" t="s">
        <v>32</v>
      </c>
    </row>
    <row r="2" spans="1:29" x14ac:dyDescent="0.2">
      <c r="B2" t="s">
        <v>24</v>
      </c>
      <c r="C2">
        <v>0.13219999999999743</v>
      </c>
      <c r="D2" s="3">
        <v>399510</v>
      </c>
      <c r="E2" s="1">
        <f>C2*D2</f>
        <v>52815.221999998976</v>
      </c>
      <c r="F2" s="1">
        <f>AVERAGE(E2:E4)</f>
        <v>54253.458000000355</v>
      </c>
      <c r="H2" s="1">
        <v>133.18336814814998</v>
      </c>
      <c r="I2" s="7">
        <v>0.39464879978661621</v>
      </c>
      <c r="J2" s="7">
        <v>61.436349321786963</v>
      </c>
      <c r="K2" s="7">
        <f>(H2/$N2)*100</f>
        <v>68.294131707171061</v>
      </c>
      <c r="L2" s="7">
        <f>(I2/$N2)*100</f>
        <v>0.20236909071651632</v>
      </c>
      <c r="M2" s="7">
        <f>(J2/$N2)*100</f>
        <v>31.50349920211243</v>
      </c>
      <c r="N2" s="8">
        <f>SUM(H2:J2)</f>
        <v>195.01436626972355</v>
      </c>
      <c r="O2" s="1">
        <f>AVERAGE(N2:N4)</f>
        <v>213.03413034625305</v>
      </c>
      <c r="P2" s="7">
        <f>(AVERAGE(H2:H4)/$O2)*100</f>
        <v>76.20995214562447</v>
      </c>
      <c r="Q2" s="7">
        <f>(AVERAGE(I2:I4)/$O2)*100</f>
        <v>0.12921041118012236</v>
      </c>
      <c r="R2" s="7">
        <f>(AVERAGE(J2:J4)/$O2)*100</f>
        <v>23.660837443195415</v>
      </c>
      <c r="S2" s="1">
        <f>F2</f>
        <v>54253.458000000355</v>
      </c>
      <c r="U2" s="7">
        <f>R2/O2</f>
        <v>0.11106594706086997</v>
      </c>
      <c r="V2" s="7">
        <f>S2/O2</f>
        <v>254.67026298471518</v>
      </c>
      <c r="W2" s="7">
        <f>S2/R2</f>
        <v>2292.9644028978792</v>
      </c>
      <c r="Y2" s="5">
        <v>4.1509999999999962</v>
      </c>
      <c r="Z2">
        <v>152062.023719566</v>
      </c>
      <c r="AA2" s="5">
        <f>Z2*Y2</f>
        <v>631209.4604599179</v>
      </c>
      <c r="AB2" s="5">
        <f>AVERAGE(AA2:AA4)</f>
        <v>654018.76401785389</v>
      </c>
      <c r="AC2" s="5">
        <f>(O2/AB2)*100</f>
        <v>3.2573091487087286E-2</v>
      </c>
    </row>
    <row r="3" spans="1:29" x14ac:dyDescent="0.2">
      <c r="B3" t="s">
        <v>23</v>
      </c>
      <c r="C3">
        <v>0.13330000000000553</v>
      </c>
      <c r="D3" s="3">
        <v>399510</v>
      </c>
      <c r="E3" s="1">
        <f>C3*D3</f>
        <v>53254.683000002209</v>
      </c>
      <c r="H3" s="1">
        <v>207.06101508772514</v>
      </c>
      <c r="I3" s="7">
        <v>0.19631903421547078</v>
      </c>
      <c r="J3" s="7">
        <v>50.08303505754899</v>
      </c>
      <c r="K3" s="7">
        <f>(H3/$N3)*100</f>
        <v>80.461925094738774</v>
      </c>
      <c r="L3" s="7">
        <f>(I3/$N3)*100</f>
        <v>7.6287694325386748E-2</v>
      </c>
      <c r="M3" s="7">
        <f>(J3/$N3)*100</f>
        <v>19.461787210935842</v>
      </c>
      <c r="N3" s="8">
        <f>SUM(H3:J3)</f>
        <v>257.34036917948958</v>
      </c>
      <c r="O3" s="1"/>
      <c r="P3" s="1"/>
      <c r="Q3" s="1"/>
      <c r="R3" s="1"/>
      <c r="U3" s="7"/>
      <c r="V3" s="7"/>
      <c r="W3" s="7"/>
      <c r="Y3" s="5">
        <v>4.2742000000000004</v>
      </c>
      <c r="Z3">
        <v>152062.0237195662</v>
      </c>
      <c r="AA3" s="5">
        <f>Z3*Y3</f>
        <v>649943.50178216991</v>
      </c>
      <c r="AB3" s="5"/>
      <c r="AC3" s="5"/>
    </row>
    <row r="4" spans="1:29" x14ac:dyDescent="0.2">
      <c r="B4" t="s">
        <v>22</v>
      </c>
      <c r="C4">
        <v>0.14189999999999969</v>
      </c>
      <c r="D4" s="3">
        <v>399510</v>
      </c>
      <c r="E4" s="1">
        <f>C4*D4</f>
        <v>56690.468999999881</v>
      </c>
      <c r="H4" s="1">
        <v>146.81524313630493</v>
      </c>
      <c r="I4" s="7">
        <v>0.23481899332108722</v>
      </c>
      <c r="J4" s="7">
        <v>39.697593459919929</v>
      </c>
      <c r="K4" s="7">
        <f>(H4/$N4)*100</f>
        <v>78.616913648967696</v>
      </c>
      <c r="L4" s="7">
        <f>(I4/$N4)*100</f>
        <v>0.1257413339834357</v>
      </c>
      <c r="M4" s="7">
        <f>(J4/$N4)*100</f>
        <v>21.257345017048866</v>
      </c>
      <c r="N4" s="8">
        <f>SUM(H4:J4)</f>
        <v>186.74765558954596</v>
      </c>
      <c r="O4" s="1"/>
      <c r="P4" s="1"/>
      <c r="Q4" s="1"/>
      <c r="R4" s="1"/>
      <c r="U4" s="7"/>
      <c r="V4" s="7"/>
      <c r="W4" s="7"/>
      <c r="Y4" s="5">
        <v>4.477800000000002</v>
      </c>
      <c r="Z4">
        <v>152062.0237195662</v>
      </c>
      <c r="AA4" s="5">
        <f>Z4*Y4</f>
        <v>680903.32981147384</v>
      </c>
      <c r="AB4" s="5"/>
      <c r="AC4" s="5"/>
    </row>
    <row r="5" spans="1:29" x14ac:dyDescent="0.2">
      <c r="B5" t="s">
        <v>21</v>
      </c>
      <c r="C5">
        <v>5.1800000000000068E-2</v>
      </c>
      <c r="D5" s="3">
        <v>399510</v>
      </c>
      <c r="E5" s="1">
        <f>C5*D5</f>
        <v>20694.618000000028</v>
      </c>
      <c r="F5" s="1">
        <f>AVERAGE(E5:E7)</f>
        <v>25901.564999999722</v>
      </c>
      <c r="H5" s="1">
        <v>15096.606355195056</v>
      </c>
      <c r="I5" s="7">
        <v>0.77220235864283415</v>
      </c>
      <c r="J5" s="7">
        <v>41.507057093425736</v>
      </c>
      <c r="K5" s="7">
        <f>(H5/$N5)*100</f>
        <v>99.720724097345965</v>
      </c>
      <c r="L5" s="7">
        <f>(I5/$N5)*100</f>
        <v>5.1007873254271469E-3</v>
      </c>
      <c r="M5" s="7">
        <f>(J5/$N5)*100</f>
        <v>0.27417511532861416</v>
      </c>
      <c r="N5" s="8">
        <f>SUM(H5:J5)</f>
        <v>15138.885614647124</v>
      </c>
      <c r="O5" s="1">
        <f>AVERAGE(N5:N7)</f>
        <v>19343.212245731906</v>
      </c>
      <c r="P5" s="7">
        <f>(AVERAGE(H5:H7)/$O5)*100</f>
        <v>99.698597390831338</v>
      </c>
      <c r="Q5" s="7">
        <f>(AVERAGE(I5:I7)/$O5)*100</f>
        <v>8.1253866397137126E-3</v>
      </c>
      <c r="R5" s="7">
        <f>(AVERAGE(J5:J7)/$O5)*100</f>
        <v>0.29327722252894473</v>
      </c>
      <c r="S5" s="1">
        <f>F5</f>
        <v>25901.564999999722</v>
      </c>
      <c r="U5" s="7">
        <f>R5/O5</f>
        <v>1.5161764178731822E-5</v>
      </c>
      <c r="V5" s="7">
        <f>S5/O5</f>
        <v>1.3390518943261309</v>
      </c>
      <c r="W5" s="7">
        <f>S5/R5</f>
        <v>88317.68378276765</v>
      </c>
      <c r="Y5" s="5">
        <v>4.5326000000000022</v>
      </c>
      <c r="Z5">
        <v>152062.0237195662</v>
      </c>
      <c r="AA5" s="5">
        <f>Z5*Y5</f>
        <v>689236.32871130609</v>
      </c>
      <c r="AB5" s="5">
        <f>AVERAGE(AA5:AA7)</f>
        <v>694193.55068456358</v>
      </c>
      <c r="AC5" s="5">
        <f>(O5/AB5)*100</f>
        <v>2.7864292640945778</v>
      </c>
    </row>
    <row r="6" spans="1:29" x14ac:dyDescent="0.2">
      <c r="B6" t="s">
        <v>20</v>
      </c>
      <c r="C6">
        <v>3.6899999999995714E-2</v>
      </c>
      <c r="D6" s="3">
        <v>399510</v>
      </c>
      <c r="E6" s="1">
        <f>C6*D6</f>
        <v>14741.918999998288</v>
      </c>
      <c r="H6" s="1">
        <v>10150.279201230864</v>
      </c>
      <c r="I6" s="7">
        <v>0.90802007550414943</v>
      </c>
      <c r="J6" s="7">
        <v>55.360859117721596</v>
      </c>
      <c r="K6" s="7">
        <f>(H6/$N6)*100</f>
        <v>99.448698240092099</v>
      </c>
      <c r="L6" s="7">
        <f>(I6/$N6)*100</f>
        <v>8.8964463631510237E-3</v>
      </c>
      <c r="M6" s="7">
        <f>(J6/$N6)*100</f>
        <v>0.54240531354476629</v>
      </c>
      <c r="N6" s="8">
        <f>SUM(H6:J6)</f>
        <v>10206.548080424089</v>
      </c>
      <c r="O6" s="1"/>
      <c r="P6" s="1"/>
      <c r="Q6" s="1"/>
      <c r="U6" s="7"/>
      <c r="V6" s="7"/>
      <c r="W6" s="7"/>
      <c r="Y6" s="5">
        <v>4.6811999999999969</v>
      </c>
      <c r="Z6">
        <v>152062.0237195662</v>
      </c>
      <c r="AA6" s="5">
        <f>Z6*Y6</f>
        <v>711832.74543603288</v>
      </c>
      <c r="AB6" s="5"/>
      <c r="AC6" s="5"/>
    </row>
    <row r="7" spans="1:29" x14ac:dyDescent="0.2">
      <c r="B7" t="s">
        <v>19</v>
      </c>
      <c r="C7">
        <v>0.10580000000000211</v>
      </c>
      <c r="D7" s="3">
        <v>399510</v>
      </c>
      <c r="E7" s="1">
        <f>C7*D7</f>
        <v>42268.158000000847</v>
      </c>
      <c r="H7" s="1">
        <v>32607.848341552799</v>
      </c>
      <c r="I7" s="7">
        <v>3.0349099163715181</v>
      </c>
      <c r="J7" s="7">
        <v>73.319790655336391</v>
      </c>
      <c r="K7" s="7">
        <f>(H7/$N7)*100</f>
        <v>99.766386530908221</v>
      </c>
      <c r="L7" s="7">
        <f>(I7/$N7)*100</f>
        <v>9.2855558156336969E-3</v>
      </c>
      <c r="M7" s="7">
        <f>(J7/$N7)*100</f>
        <v>0.22432791327614554</v>
      </c>
      <c r="N7" s="8">
        <f>SUM(H7:J7)</f>
        <v>32684.203042124507</v>
      </c>
      <c r="O7" s="1"/>
      <c r="P7" s="1"/>
      <c r="Q7" s="1"/>
      <c r="U7" s="7"/>
      <c r="V7" s="7"/>
      <c r="W7" s="7"/>
      <c r="Y7" s="5">
        <v>4.4817999999999998</v>
      </c>
      <c r="Z7">
        <v>152062.0237195662</v>
      </c>
      <c r="AA7" s="5">
        <f>Z7*Y7</f>
        <v>681511.57790635177</v>
      </c>
      <c r="AB7" s="5"/>
      <c r="AC7" s="5"/>
    </row>
    <row r="8" spans="1:29" x14ac:dyDescent="0.2">
      <c r="B8" t="s">
        <v>18</v>
      </c>
      <c r="C8">
        <v>0.42879999999999541</v>
      </c>
      <c r="D8" s="3">
        <v>399510</v>
      </c>
      <c r="E8" s="1">
        <f>C8*D8</f>
        <v>171309.88799999817</v>
      </c>
      <c r="F8" s="1">
        <f>AVERAGE(E8:E10)</f>
        <v>195546.8279999994</v>
      </c>
      <c r="H8" s="1">
        <v>162551.15404634751</v>
      </c>
      <c r="I8" s="7">
        <v>382.0445335399441</v>
      </c>
      <c r="J8" s="7">
        <v>528.9624015138786</v>
      </c>
      <c r="K8" s="7">
        <f>(H8/$N8)*100</f>
        <v>99.44268023279254</v>
      </c>
      <c r="L8" s="7">
        <f>(I8/$N8)*100</f>
        <v>0.23372047160407539</v>
      </c>
      <c r="M8" s="7">
        <f>(J8/$N8)*100</f>
        <v>0.32359929560338052</v>
      </c>
      <c r="N8" s="8">
        <f>SUM(H8:J8)</f>
        <v>163462.16098140134</v>
      </c>
      <c r="O8" s="1">
        <f>AVERAGE(N8:N10)</f>
        <v>224628.4657823985</v>
      </c>
      <c r="P8" s="7">
        <f>(AVERAGE(H8:H10)/$O8)*100</f>
        <v>99.304044621129307</v>
      </c>
      <c r="Q8" s="7">
        <f>(AVERAGE(I8:I10)/$O8)*100</f>
        <v>0.14076147638309749</v>
      </c>
      <c r="R8" s="7">
        <f>(AVERAGE(J8:J10)/$O8)*100</f>
        <v>0.55519390248760214</v>
      </c>
      <c r="S8" s="1">
        <f>F8</f>
        <v>195546.8279999994</v>
      </c>
      <c r="U8" s="7">
        <f>R8/O8</f>
        <v>2.4716097336720811E-6</v>
      </c>
      <c r="V8" s="7">
        <f>S8/O8</f>
        <v>0.87053449489980939</v>
      </c>
      <c r="W8" s="7">
        <f>S8/R8</f>
        <v>352213.57281452871</v>
      </c>
      <c r="Y8" s="5">
        <v>3.9573999999999998</v>
      </c>
      <c r="Z8">
        <v>152062.0237195662</v>
      </c>
      <c r="AA8" s="5">
        <f>Z8*Y8</f>
        <v>601770.25266781123</v>
      </c>
      <c r="AB8" s="5">
        <f>AVERAGE(AA8:AA10)</f>
        <v>676017.07011595124</v>
      </c>
      <c r="AC8" s="5">
        <f>(O8/AB8)*100</f>
        <v>33.228223918054312</v>
      </c>
    </row>
    <row r="9" spans="1:29" x14ac:dyDescent="0.2">
      <c r="B9" t="s">
        <v>17</v>
      </c>
      <c r="C9">
        <v>0.44700000000000273</v>
      </c>
      <c r="D9" s="3">
        <v>399510</v>
      </c>
      <c r="E9" s="1">
        <f>C9*D9</f>
        <v>178580.97000000108</v>
      </c>
      <c r="H9" s="1">
        <v>147765.36421902632</v>
      </c>
      <c r="I9" s="7">
        <v>268.18815132636342</v>
      </c>
      <c r="J9" s="7">
        <v>540.32009973350216</v>
      </c>
      <c r="K9" s="7">
        <f>(H9/$N9)*100</f>
        <v>99.455820705472533</v>
      </c>
      <c r="L9" s="7">
        <f>(I9/$N9)*100</f>
        <v>0.18050828646225153</v>
      </c>
      <c r="M9" s="7">
        <f>(J9/$N9)*100</f>
        <v>0.36367100806522362</v>
      </c>
      <c r="N9" s="8">
        <f>SUM(H9:J9)</f>
        <v>148573.87247008618</v>
      </c>
      <c r="O9" s="1"/>
      <c r="P9" s="1"/>
      <c r="Q9" s="1"/>
      <c r="U9" s="7"/>
      <c r="V9" s="7"/>
      <c r="W9" s="7"/>
      <c r="Y9" s="5">
        <v>4.3855999999999966</v>
      </c>
      <c r="Z9">
        <v>152062.0237195662</v>
      </c>
      <c r="AA9" s="5">
        <f>Z9*Y9</f>
        <v>666883.21122452908</v>
      </c>
      <c r="AB9" s="5"/>
      <c r="AC9" s="5"/>
    </row>
    <row r="10" spans="1:29" x14ac:dyDescent="0.2">
      <c r="B10" t="s">
        <v>16</v>
      </c>
      <c r="C10">
        <v>0.59259999999999735</v>
      </c>
      <c r="D10" s="3">
        <v>399510</v>
      </c>
      <c r="E10" s="1">
        <f>C10*D10</f>
        <v>236749.62599999894</v>
      </c>
      <c r="H10" s="1">
        <v>358878.93741155969</v>
      </c>
      <c r="I10" s="7">
        <v>298.33834956970765</v>
      </c>
      <c r="J10" s="7">
        <v>2672.0881345785983</v>
      </c>
      <c r="K10" s="7">
        <f>(H10/$N10)*100</f>
        <v>99.179098602753257</v>
      </c>
      <c r="L10" s="7">
        <f>(I10/$N10)*100</f>
        <v>8.2448217224362602E-2</v>
      </c>
      <c r="M10" s="7">
        <f>(J10/$N10)*100</f>
        <v>0.73845318002237692</v>
      </c>
      <c r="N10" s="8">
        <f>SUM(H10:J10)</f>
        <v>361849.363895708</v>
      </c>
      <c r="O10" s="1"/>
      <c r="P10" s="1"/>
      <c r="Q10" s="1"/>
      <c r="U10" s="7"/>
      <c r="V10" s="7"/>
      <c r="W10" s="7"/>
      <c r="Y10" s="5">
        <v>4.9939999999999998</v>
      </c>
      <c r="Z10">
        <v>152062.0237195662</v>
      </c>
      <c r="AA10" s="5">
        <f>Z10*Y10</f>
        <v>759397.74645551364</v>
      </c>
      <c r="AB10" s="5"/>
      <c r="AC10" s="5"/>
    </row>
    <row r="11" spans="1:29" x14ac:dyDescent="0.2">
      <c r="B11" t="s">
        <v>15</v>
      </c>
      <c r="C11">
        <v>1.4000000000002899E-2</v>
      </c>
      <c r="D11" s="3">
        <v>399510</v>
      </c>
      <c r="E11" s="1">
        <f>C11*D11</f>
        <v>5593.1400000011581</v>
      </c>
      <c r="F11" s="1">
        <f>AVERAGE(E11:E13)</f>
        <v>5806.2120000016075</v>
      </c>
      <c r="H11" s="1">
        <v>22.865181144344238</v>
      </c>
      <c r="I11" s="7">
        <v>0.3000320751294317</v>
      </c>
      <c r="J11" s="7">
        <v>47.286052465532094</v>
      </c>
      <c r="K11" s="7">
        <f>(H11/$N11)*100</f>
        <v>32.45531634105285</v>
      </c>
      <c r="L11" s="7">
        <f>(I11/$N11)*100</f>
        <v>0.42587180260309776</v>
      </c>
      <c r="M11" s="7">
        <f>(J11/$N11)*100</f>
        <v>67.118811856344053</v>
      </c>
      <c r="N11" s="8">
        <f>SUM(H11:J11)</f>
        <v>70.451265685005765</v>
      </c>
      <c r="O11" s="1">
        <f>AVERAGE(N11:N13)</f>
        <v>113.94095531514354</v>
      </c>
      <c r="P11" s="7">
        <f>(AVERAGE(H11:H13)/$O11)*100</f>
        <v>43.142490933970201</v>
      </c>
      <c r="Q11" s="7">
        <f>(AVERAGE(I11:I13)/$O11)*100</f>
        <v>0.19202753543503748</v>
      </c>
      <c r="R11" s="7">
        <f>(AVERAGE(J11:J13)/$O11)*100</f>
        <v>56.665481530594761</v>
      </c>
      <c r="S11" s="1">
        <f>F11</f>
        <v>5806.2120000016075</v>
      </c>
      <c r="U11" s="7">
        <f>R11/O11</f>
        <v>0.49732320897140597</v>
      </c>
      <c r="V11" s="7">
        <f>S11/O11</f>
        <v>50.958077224668678</v>
      </c>
      <c r="W11" s="7">
        <f>S11/R11</f>
        <v>102.46470766981349</v>
      </c>
      <c r="Y11" s="5">
        <v>4.3892000000000024</v>
      </c>
      <c r="Z11">
        <v>152062.0237195662</v>
      </c>
      <c r="AA11" s="5">
        <f>Z11*Y11</f>
        <v>667430.63450992038</v>
      </c>
      <c r="AB11" s="5">
        <f>AVERAGE(AA11:AA13)</f>
        <v>661976.67659251206</v>
      </c>
      <c r="AC11" s="5">
        <f>(O11/AB11)*100</f>
        <v>1.7212231086697533E-2</v>
      </c>
    </row>
    <row r="12" spans="1:29" x14ac:dyDescent="0.2">
      <c r="B12" t="s">
        <v>14</v>
      </c>
      <c r="C12">
        <v>1.4500000000005286E-2</v>
      </c>
      <c r="D12" s="3">
        <v>399510</v>
      </c>
      <c r="E12" s="1">
        <f>C12*D12</f>
        <v>5792.8950000021123</v>
      </c>
      <c r="H12" s="1">
        <v>73.230273878399615</v>
      </c>
      <c r="I12" s="7">
        <v>0.17291411038137272</v>
      </c>
      <c r="J12" s="7">
        <v>66.363454840514265</v>
      </c>
      <c r="K12" s="7">
        <f>(H12/$N12)*100</f>
        <v>52.394671858749454</v>
      </c>
      <c r="L12" s="7">
        <f>(I12/$N12)*100</f>
        <v>0.12371629373151811</v>
      </c>
      <c r="M12" s="7">
        <f>(J12/$N12)*100</f>
        <v>47.481611847519034</v>
      </c>
      <c r="N12" s="8">
        <f>SUM(H12:J12)</f>
        <v>139.76664282929525</v>
      </c>
      <c r="O12" s="1"/>
      <c r="P12" s="1"/>
      <c r="Q12" s="1"/>
      <c r="U12" s="7"/>
      <c r="V12" s="7"/>
      <c r="W12" s="7"/>
      <c r="Y12" s="5">
        <v>4.4682000000000031</v>
      </c>
      <c r="Z12">
        <v>152062.0237195662</v>
      </c>
      <c r="AA12" s="5">
        <f>Z12*Y12</f>
        <v>679443.53438376624</v>
      </c>
      <c r="AB12" s="5"/>
      <c r="AC12" s="5"/>
    </row>
    <row r="13" spans="1:29" x14ac:dyDescent="0.2">
      <c r="B13" t="s">
        <v>13</v>
      </c>
      <c r="C13">
        <v>1.5100000000003888E-2</v>
      </c>
      <c r="D13" s="3">
        <v>399510</v>
      </c>
      <c r="E13" s="1">
        <f>C13*D13</f>
        <v>6032.6010000015531</v>
      </c>
      <c r="H13" s="1">
        <v>51.375443928000671</v>
      </c>
      <c r="I13" s="7">
        <v>0.18344783951761792</v>
      </c>
      <c r="J13" s="7">
        <v>80.046065663611316</v>
      </c>
      <c r="K13" s="7">
        <f>(H13/$N13)*100</f>
        <v>39.037620565992768</v>
      </c>
      <c r="L13" s="7">
        <f>(I13/$N13)*100</f>
        <v>0.13939280335516108</v>
      </c>
      <c r="M13" s="7">
        <f>(J13/$N13)*100</f>
        <v>60.822986630652075</v>
      </c>
      <c r="N13" s="8">
        <f>SUM(H13:J13)</f>
        <v>131.60495743112961</v>
      </c>
      <c r="O13" s="1"/>
      <c r="P13" s="1"/>
      <c r="Q13" s="1"/>
      <c r="U13" s="7"/>
      <c r="V13" s="7"/>
      <c r="W13" s="7"/>
      <c r="Y13" s="5">
        <v>4.2026000000000039</v>
      </c>
      <c r="Z13">
        <v>152062.0237195662</v>
      </c>
      <c r="AA13" s="5">
        <f>Z13*Y13</f>
        <v>639055.86088384956</v>
      </c>
      <c r="AB13" s="5"/>
      <c r="AC13" s="5"/>
    </row>
    <row r="14" spans="1:29" x14ac:dyDescent="0.2">
      <c r="B14" t="s">
        <v>12</v>
      </c>
      <c r="C14">
        <v>0.14629999999999654</v>
      </c>
      <c r="D14" s="3">
        <v>399510</v>
      </c>
      <c r="E14" s="1">
        <f>C14*D14</f>
        <v>58448.312999998619</v>
      </c>
      <c r="F14" s="1">
        <f>AVERAGE(E14:E16)</f>
        <v>58767.920999999769</v>
      </c>
      <c r="H14" s="1">
        <v>667.27071891778087</v>
      </c>
      <c r="I14" s="7">
        <v>0.4310036817750757</v>
      </c>
      <c r="J14" s="7">
        <v>257.85525044114536</v>
      </c>
      <c r="K14" s="7">
        <f>(H14/$N14)*100</f>
        <v>72.093964861570726</v>
      </c>
      <c r="L14" s="7">
        <f>(I14/$N14)*100</f>
        <v>4.6566953124356429E-2</v>
      </c>
      <c r="M14" s="7">
        <f>(J14/$N14)*100</f>
        <v>27.859468185304912</v>
      </c>
      <c r="N14" s="8">
        <f>SUM(H14:J14)</f>
        <v>925.55697304070134</v>
      </c>
      <c r="O14" s="1">
        <f>AVERAGE(N14:N16)</f>
        <v>749.99801820034099</v>
      </c>
      <c r="P14" s="7">
        <f>(AVERAGE(H14:H16)/$O14)*100</f>
        <v>63.823571511255949</v>
      </c>
      <c r="Q14" s="7">
        <f>(AVERAGE(I14:I16)/$O14)*100</f>
        <v>5.2213146476050874E-2</v>
      </c>
      <c r="R14" s="7">
        <f>(AVERAGE(J14:J16)/$O14)*100</f>
        <v>36.124215342268002</v>
      </c>
      <c r="S14" s="1">
        <f>F14</f>
        <v>58767.920999999769</v>
      </c>
      <c r="U14" s="7">
        <f>R14/O14</f>
        <v>4.8165747729507234E-2</v>
      </c>
      <c r="V14" s="7">
        <f>S14/O14</f>
        <v>78.357435051650441</v>
      </c>
      <c r="W14" s="7">
        <f>S14/R14</f>
        <v>1626.8289966491523</v>
      </c>
      <c r="Y14" s="5">
        <v>4.3192000000000021</v>
      </c>
      <c r="Z14">
        <v>152062.0237195662</v>
      </c>
      <c r="AA14" s="5">
        <f>Z14*Y14</f>
        <v>656786.29284955072</v>
      </c>
      <c r="AB14" s="5">
        <f>AVERAGE(AA14:AA16)</f>
        <v>660973.06723596237</v>
      </c>
      <c r="AC14" s="5">
        <f>(O14/AB14)*100</f>
        <v>0.1134687713278032</v>
      </c>
    </row>
    <row r="15" spans="1:29" x14ac:dyDescent="0.2">
      <c r="B15" t="s">
        <v>11</v>
      </c>
      <c r="C15">
        <v>0.14880000000000138</v>
      </c>
      <c r="D15" s="3">
        <v>399510</v>
      </c>
      <c r="E15" s="1">
        <f>C15*D15</f>
        <v>59447.088000000549</v>
      </c>
      <c r="H15" s="1">
        <v>202.7611227942599</v>
      </c>
      <c r="I15" s="7">
        <v>0.33072649212693495</v>
      </c>
      <c r="J15" s="7">
        <v>273.65581716050224</v>
      </c>
      <c r="K15" s="7">
        <f>(H15/$N15)*100</f>
        <v>42.530071369913678</v>
      </c>
      <c r="L15" s="7">
        <f>(I15/$N15)*100</f>
        <v>6.9371391912996128E-2</v>
      </c>
      <c r="M15" s="7">
        <f>(J15/$N15)*100</f>
        <v>57.400557238173334</v>
      </c>
      <c r="N15" s="8">
        <f>SUM(H15:J15)</f>
        <v>476.74766644688907</v>
      </c>
      <c r="O15" s="1"/>
      <c r="P15" s="1"/>
      <c r="Q15" s="1"/>
      <c r="U15" s="7"/>
      <c r="W15" s="7"/>
      <c r="Y15" s="5">
        <v>4.3817999999999984</v>
      </c>
      <c r="Z15">
        <v>152062.0237195662</v>
      </c>
      <c r="AA15" s="5">
        <f>Z15*Y15</f>
        <v>666305.37553439499</v>
      </c>
      <c r="AB15" s="5"/>
      <c r="AC15" s="5"/>
    </row>
    <row r="16" spans="1:29" x14ac:dyDescent="0.2">
      <c r="B16" t="s">
        <v>10</v>
      </c>
      <c r="C16">
        <v>0.14620000000000033</v>
      </c>
      <c r="D16" s="3">
        <v>399510</v>
      </c>
      <c r="E16" s="1">
        <f>C16*D16</f>
        <v>58408.362000000132</v>
      </c>
      <c r="H16" s="1">
        <v>565.99472272525031</v>
      </c>
      <c r="I16" s="7">
        <v>0.41306251752925782</v>
      </c>
      <c r="J16" s="7">
        <v>281.28162987065315</v>
      </c>
      <c r="K16" s="7">
        <f>(H16/$N16)*100</f>
        <v>66.769115271955158</v>
      </c>
      <c r="L16" s="7">
        <f>(I16/$N16)*100</f>
        <v>4.8728049467738635E-2</v>
      </c>
      <c r="M16" s="7">
        <f>(J16/$N16)*100</f>
        <v>33.182156678577115</v>
      </c>
      <c r="N16" s="8">
        <f>SUM(H16:J16)</f>
        <v>847.68941511343269</v>
      </c>
      <c r="O16" s="1"/>
      <c r="P16" s="1"/>
      <c r="Q16" s="1"/>
      <c r="U16" s="7"/>
      <c r="W16" s="7"/>
      <c r="Y16" s="5">
        <v>4.3391999999999982</v>
      </c>
      <c r="Z16">
        <v>152062.0237195662</v>
      </c>
      <c r="AA16" s="5">
        <f>Z16*Y16</f>
        <v>659827.5333239414</v>
      </c>
      <c r="AB16" s="5"/>
      <c r="AC16" s="5"/>
    </row>
    <row r="17" spans="3:26" x14ac:dyDescent="0.2">
      <c r="S17" t="s">
        <v>9</v>
      </c>
      <c r="U17" t="s">
        <v>8</v>
      </c>
      <c r="W17" t="s">
        <v>7</v>
      </c>
      <c r="Y17" t="s">
        <v>6</v>
      </c>
    </row>
    <row r="18" spans="3:26" x14ac:dyDescent="0.2">
      <c r="D18" s="3"/>
      <c r="M18" s="4"/>
      <c r="N18" s="4"/>
      <c r="O18" s="4"/>
      <c r="P18" s="4"/>
      <c r="Q18" s="4"/>
      <c r="R18" s="4"/>
      <c r="S18" s="4">
        <v>101059.35820495404</v>
      </c>
      <c r="U18">
        <v>10671.087879452805</v>
      </c>
      <c r="W18">
        <v>584.17824182875859</v>
      </c>
      <c r="Y18">
        <v>663.2871888164259</v>
      </c>
    </row>
    <row r="19" spans="3:26" x14ac:dyDescent="0.2">
      <c r="C19" s="3" t="s">
        <v>5</v>
      </c>
      <c r="D19" s="3">
        <v>532700</v>
      </c>
      <c r="S19">
        <v>49616.731872677847</v>
      </c>
      <c r="U19">
        <v>14560.551602748154</v>
      </c>
      <c r="W19">
        <v>59.130562274933638</v>
      </c>
      <c r="Y19">
        <v>855.70582914688566</v>
      </c>
    </row>
    <row r="20" spans="3:26" x14ac:dyDescent="0.2">
      <c r="C20" s="3" t="s">
        <v>4</v>
      </c>
      <c r="D20" s="3">
        <v>399510</v>
      </c>
      <c r="S20">
        <v>46824.202333069516</v>
      </c>
      <c r="U20">
        <v>6219.8807715223948</v>
      </c>
      <c r="W20">
        <v>53.511024237374158</v>
      </c>
      <c r="Y20">
        <v>619.95807110782278</v>
      </c>
    </row>
    <row r="21" spans="3:26" x14ac:dyDescent="0.2">
      <c r="S21">
        <v>60875.110978782992</v>
      </c>
      <c r="U21">
        <v>8861.351229707574</v>
      </c>
      <c r="W21">
        <v>64.882875130366074</v>
      </c>
      <c r="Y21">
        <v>705.8745670005668</v>
      </c>
    </row>
    <row r="22" spans="3:26" x14ac:dyDescent="0.2">
      <c r="S22">
        <v>77859.273799089162</v>
      </c>
      <c r="U22">
        <v>5566.4293800261785</v>
      </c>
      <c r="W22">
        <v>3776.9816393442056</v>
      </c>
    </row>
    <row r="23" spans="3:26" x14ac:dyDescent="0.2">
      <c r="S23">
        <v>70408.479743316784</v>
      </c>
      <c r="T23">
        <f>AVERAGE(S18:S23)</f>
        <v>67773.859488648377</v>
      </c>
      <c r="V23">
        <f>AVERAGE(U18:U23)</f>
        <v>9175.8601726914221</v>
      </c>
      <c r="W23">
        <v>246.51083253554842</v>
      </c>
      <c r="X23">
        <f>AVERAGE(W18:W23)</f>
        <v>797.53252922519778</v>
      </c>
      <c r="Z23">
        <f>AVERAGE(Y18:Y23)</f>
        <v>711.20641401792534</v>
      </c>
    </row>
    <row r="25" spans="3:26" x14ac:dyDescent="0.2">
      <c r="F25">
        <v>1224650.4822866491</v>
      </c>
      <c r="M25">
        <v>3007.8986891220102</v>
      </c>
    </row>
    <row r="27" spans="3:26" x14ac:dyDescent="0.2">
      <c r="H27" s="2" t="s">
        <v>3</v>
      </c>
      <c r="I27" s="2" t="s">
        <v>2</v>
      </c>
      <c r="J27" s="2" t="s">
        <v>1</v>
      </c>
      <c r="K27" s="2"/>
      <c r="N27" s="2" t="s">
        <v>0</v>
      </c>
      <c r="R27" s="2"/>
      <c r="S27" s="2"/>
    </row>
    <row r="28" spans="3:26" x14ac:dyDescent="0.2">
      <c r="H28">
        <f>H2/10</f>
        <v>13.318336814814998</v>
      </c>
      <c r="I28">
        <f>J2/10</f>
        <v>6.1436349321786965</v>
      </c>
      <c r="J28" t="e">
        <f>#REF!/10</f>
        <v>#REF!</v>
      </c>
      <c r="N28" s="1" t="e">
        <f>SUM(H28:J28)</f>
        <v>#REF!</v>
      </c>
    </row>
    <row r="29" spans="3:26" x14ac:dyDescent="0.2">
      <c r="H29">
        <f>H3/10</f>
        <v>20.706101508772512</v>
      </c>
      <c r="I29">
        <f>J3/10</f>
        <v>5.008303505754899</v>
      </c>
      <c r="J29" t="e">
        <f>#REF!/10</f>
        <v>#REF!</v>
      </c>
      <c r="N29" s="1" t="e">
        <f>SUM(H29:J29)</f>
        <v>#REF!</v>
      </c>
    </row>
    <row r="30" spans="3:26" x14ac:dyDescent="0.2">
      <c r="H30">
        <f>H4/10</f>
        <v>14.681524313630494</v>
      </c>
      <c r="I30">
        <f>J4/10</f>
        <v>3.9697593459919931</v>
      </c>
      <c r="J30" t="e">
        <f>#REF!/10</f>
        <v>#REF!</v>
      </c>
      <c r="N30" s="1" t="e">
        <f>SUM(H30:J30)</f>
        <v>#REF!</v>
      </c>
    </row>
    <row r="31" spans="3:26" x14ac:dyDescent="0.2">
      <c r="H31">
        <f>H5</f>
        <v>15096.606355195056</v>
      </c>
      <c r="I31">
        <f>J5</f>
        <v>41.507057093425736</v>
      </c>
      <c r="J31" t="e">
        <f>#REF!</f>
        <v>#REF!</v>
      </c>
      <c r="N31" s="1" t="e">
        <f>SUM(H31:J31)</f>
        <v>#REF!</v>
      </c>
    </row>
    <row r="32" spans="3:26" x14ac:dyDescent="0.2">
      <c r="H32">
        <f>H6</f>
        <v>10150.279201230864</v>
      </c>
      <c r="I32">
        <f>J6</f>
        <v>55.360859117721596</v>
      </c>
      <c r="J32" t="e">
        <f>#REF!</f>
        <v>#REF!</v>
      </c>
      <c r="N32" s="1" t="e">
        <f>SUM(H32:J32)</f>
        <v>#REF!</v>
      </c>
    </row>
    <row r="33" spans="8:14" x14ac:dyDescent="0.2">
      <c r="H33">
        <f>H7</f>
        <v>32607.848341552799</v>
      </c>
      <c r="I33">
        <f>J7</f>
        <v>73.319790655336391</v>
      </c>
      <c r="J33" t="e">
        <f>#REF!</f>
        <v>#REF!</v>
      </c>
      <c r="N33" s="1" t="e">
        <f>SUM(H33:J33)</f>
        <v>#REF!</v>
      </c>
    </row>
    <row r="34" spans="8:14" x14ac:dyDescent="0.2">
      <c r="H34">
        <f>H8</f>
        <v>162551.15404634751</v>
      </c>
      <c r="I34">
        <f>J8</f>
        <v>528.9624015138786</v>
      </c>
      <c r="J34" t="e">
        <f>#REF!</f>
        <v>#REF!</v>
      </c>
      <c r="N34" s="1" t="e">
        <f>SUM(H34:J34)</f>
        <v>#REF!</v>
      </c>
    </row>
    <row r="35" spans="8:14" x14ac:dyDescent="0.2">
      <c r="H35">
        <f>H9</f>
        <v>147765.36421902632</v>
      </c>
      <c r="I35">
        <f>J9</f>
        <v>540.32009973350216</v>
      </c>
      <c r="J35" t="e">
        <f>#REF!</f>
        <v>#REF!</v>
      </c>
      <c r="N35" s="1" t="e">
        <f>SUM(H35:J35)</f>
        <v>#REF!</v>
      </c>
    </row>
    <row r="36" spans="8:14" x14ac:dyDescent="0.2">
      <c r="H36">
        <f>H10</f>
        <v>358878.93741155969</v>
      </c>
      <c r="I36">
        <f>J10</f>
        <v>2672.0881345785983</v>
      </c>
      <c r="J36" t="e">
        <f>#REF!</f>
        <v>#REF!</v>
      </c>
      <c r="N36" s="1" t="e">
        <f>SUM(H36:J36)</f>
        <v>#REF!</v>
      </c>
    </row>
    <row r="37" spans="8:14" x14ac:dyDescent="0.2">
      <c r="H37">
        <f>H11/10</f>
        <v>2.2865181144344238</v>
      </c>
      <c r="I37">
        <f>J11/10</f>
        <v>4.7286052465532098</v>
      </c>
      <c r="J37" t="e">
        <f>#REF!/10</f>
        <v>#REF!</v>
      </c>
      <c r="N37" s="1" t="e">
        <f>SUM(H37:J37)</f>
        <v>#REF!</v>
      </c>
    </row>
    <row r="38" spans="8:14" x14ac:dyDescent="0.2">
      <c r="H38">
        <f>H12/10</f>
        <v>7.3230273878399617</v>
      </c>
      <c r="I38">
        <f>J12/10</f>
        <v>6.6363454840514269</v>
      </c>
      <c r="J38" t="e">
        <f>#REF!/10</f>
        <v>#REF!</v>
      </c>
      <c r="N38" s="1" t="e">
        <f>SUM(H38:J38)</f>
        <v>#REF!</v>
      </c>
    </row>
    <row r="39" spans="8:14" x14ac:dyDescent="0.2">
      <c r="H39">
        <f>H13/10</f>
        <v>5.1375443928000672</v>
      </c>
      <c r="I39">
        <f>J13/10</f>
        <v>8.0046065663611312</v>
      </c>
      <c r="J39" t="e">
        <f>#REF!/10</f>
        <v>#REF!</v>
      </c>
      <c r="N39" s="1" t="e">
        <f>SUM(H39:J39)</f>
        <v>#REF!</v>
      </c>
    </row>
    <row r="40" spans="8:14" x14ac:dyDescent="0.2">
      <c r="H40">
        <f>H14/10</f>
        <v>66.727071891778081</v>
      </c>
      <c r="I40">
        <f>J14/10</f>
        <v>25.785525044114536</v>
      </c>
      <c r="J40" t="e">
        <f>#REF!/10</f>
        <v>#REF!</v>
      </c>
      <c r="N40" s="1" t="e">
        <f>SUM(H40:J40)</f>
        <v>#REF!</v>
      </c>
    </row>
    <row r="41" spans="8:14" x14ac:dyDescent="0.2">
      <c r="H41">
        <f>H15/10</f>
        <v>20.276112279425991</v>
      </c>
      <c r="I41">
        <f>J15/10</f>
        <v>27.365581716050222</v>
      </c>
      <c r="J41" t="e">
        <f>#REF!/10</f>
        <v>#REF!</v>
      </c>
      <c r="N41" s="1" t="e">
        <f>SUM(H41:J41)</f>
        <v>#REF!</v>
      </c>
    </row>
    <row r="42" spans="8:14" x14ac:dyDescent="0.2">
      <c r="H42">
        <f>H16/10</f>
        <v>56.599472272525034</v>
      </c>
      <c r="I42">
        <f>J16/10</f>
        <v>28.128162987065316</v>
      </c>
      <c r="J42" t="e">
        <f>#REF!/10</f>
        <v>#REF!</v>
      </c>
      <c r="N42" s="1" t="e">
        <f>SUM(H42:J42)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3D16-0A5C-9B44-8488-3D4F0DF3905D}">
  <dimension ref="A1:F16"/>
  <sheetViews>
    <sheetView tabSelected="1" zoomScale="172" workbookViewId="0">
      <selection activeCell="F3" sqref="F3"/>
    </sheetView>
  </sheetViews>
  <sheetFormatPr baseColWidth="10" defaultRowHeight="16" x14ac:dyDescent="0.2"/>
  <sheetData>
    <row r="1" spans="1:6" x14ac:dyDescent="0.2">
      <c r="A1" t="s">
        <v>64</v>
      </c>
      <c r="B1" t="s">
        <v>52</v>
      </c>
      <c r="D1" t="s">
        <v>63</v>
      </c>
      <c r="E1" t="s">
        <v>62</v>
      </c>
      <c r="F1" t="s">
        <v>61</v>
      </c>
    </row>
    <row r="2" spans="1:6" x14ac:dyDescent="0.2">
      <c r="A2" t="s">
        <v>24</v>
      </c>
      <c r="B2" s="6">
        <v>0.13219999999999743</v>
      </c>
      <c r="C2" s="6"/>
      <c r="D2" s="6">
        <v>1.63999999999902E-2</v>
      </c>
      <c r="E2" s="6">
        <f>B2-D2</f>
        <v>0.11580000000000723</v>
      </c>
      <c r="F2" s="6">
        <f>((B2-D2)/B2)*100</f>
        <v>87.594553706512471</v>
      </c>
    </row>
    <row r="3" spans="1:6" x14ac:dyDescent="0.2">
      <c r="A3" t="s">
        <v>23</v>
      </c>
      <c r="B3" s="6">
        <v>0.13330000000000553</v>
      </c>
      <c r="C3" s="6"/>
      <c r="D3" s="6">
        <v>1.1999999999972033E-3</v>
      </c>
      <c r="E3" s="6">
        <f>B3-D3</f>
        <v>0.13210000000000832</v>
      </c>
      <c r="F3" s="6">
        <f>((B3-D3)/B3)*100</f>
        <v>99.099774943738069</v>
      </c>
    </row>
    <row r="4" spans="1:6" x14ac:dyDescent="0.2">
      <c r="A4" t="s">
        <v>22</v>
      </c>
      <c r="B4" s="6">
        <v>0.14189999999999969</v>
      </c>
      <c r="C4" s="6"/>
      <c r="D4" s="6">
        <v>1.90000000000623E-3</v>
      </c>
      <c r="E4" s="6">
        <f>B4-D4</f>
        <v>0.13999999999999346</v>
      </c>
      <c r="F4" s="6">
        <f>((B4-D4)/B4)*100</f>
        <v>98.661028893582639</v>
      </c>
    </row>
    <row r="5" spans="1:6" x14ac:dyDescent="0.2">
      <c r="A5" t="s">
        <v>21</v>
      </c>
      <c r="B5" s="6">
        <v>5.1800000000000068E-2</v>
      </c>
      <c r="C5" s="6"/>
      <c r="D5" s="6">
        <v>3.4199999999998454E-2</v>
      </c>
      <c r="E5" s="6">
        <f>B5-D5</f>
        <v>1.7600000000001614E-2</v>
      </c>
      <c r="F5" s="6">
        <f>((B5-D5)/B5)*100</f>
        <v>33.97683397683705</v>
      </c>
    </row>
    <row r="6" spans="1:6" x14ac:dyDescent="0.2">
      <c r="A6" t="s">
        <v>20</v>
      </c>
      <c r="B6" s="6">
        <v>3.6899999999995714E-2</v>
      </c>
      <c r="C6" s="6"/>
      <c r="D6" s="6">
        <v>2.2399999999990428E-2</v>
      </c>
      <c r="E6" s="6">
        <f>B6-D6</f>
        <v>1.4500000000005286E-2</v>
      </c>
      <c r="F6" s="6">
        <f>((B6-D6)/B6)*100</f>
        <v>39.295392953948429</v>
      </c>
    </row>
    <row r="7" spans="1:6" x14ac:dyDescent="0.2">
      <c r="A7" t="s">
        <v>19</v>
      </c>
      <c r="B7" s="6">
        <v>0.10580000000000211</v>
      </c>
      <c r="C7" s="6"/>
      <c r="D7" s="6">
        <v>6.799999999999784E-2</v>
      </c>
      <c r="E7" s="6">
        <f>B7-D7</f>
        <v>3.7800000000004275E-2</v>
      </c>
      <c r="F7" s="6">
        <f>((B7-D7)/B7)*100</f>
        <v>35.727788279776483</v>
      </c>
    </row>
    <row r="8" spans="1:6" x14ac:dyDescent="0.2">
      <c r="A8" t="s">
        <v>18</v>
      </c>
      <c r="B8" s="6">
        <v>0.42879999999999541</v>
      </c>
      <c r="C8" s="6"/>
      <c r="D8" s="6">
        <v>0.26219999999999288</v>
      </c>
      <c r="E8" s="6">
        <f>B8-D8</f>
        <v>0.16660000000000252</v>
      </c>
      <c r="F8" s="6">
        <f>((B8-D8)/B8)*100</f>
        <v>38.852611940299511</v>
      </c>
    </row>
    <row r="9" spans="1:6" x14ac:dyDescent="0.2">
      <c r="A9" t="s">
        <v>17</v>
      </c>
      <c r="B9" s="6">
        <v>0.44700000000000273</v>
      </c>
      <c r="C9" s="6"/>
      <c r="D9" s="6">
        <v>0.2844999999999942</v>
      </c>
      <c r="E9" s="6">
        <f>B9-D9</f>
        <v>0.16250000000000853</v>
      </c>
      <c r="F9" s="6">
        <f>((B9-D9)/B9)*100</f>
        <v>36.35346756152294</v>
      </c>
    </row>
    <row r="10" spans="1:6" x14ac:dyDescent="0.2">
      <c r="A10" t="s">
        <v>16</v>
      </c>
      <c r="B10" s="6">
        <v>0.59259999999999735</v>
      </c>
      <c r="C10" s="6"/>
      <c r="D10" s="6">
        <v>0.56439999999999202</v>
      </c>
      <c r="E10" s="6">
        <f>B10-D10</f>
        <v>2.8200000000005332E-2</v>
      </c>
      <c r="F10" s="6">
        <f>((B10-D10)/B10)*100</f>
        <v>4.7586905163694659</v>
      </c>
    </row>
    <row r="11" spans="1:6" x14ac:dyDescent="0.2">
      <c r="A11" t="s">
        <v>15</v>
      </c>
      <c r="B11" s="6">
        <v>1.4000000000002899E-2</v>
      </c>
      <c r="C11" s="6"/>
      <c r="D11" s="6">
        <v>1.0000000000047748E-3</v>
      </c>
      <c r="E11" s="6">
        <f>B11-D11</f>
        <v>1.2999999999998124E-2</v>
      </c>
      <c r="F11" s="6">
        <f>((B11-D11)/B11)*100</f>
        <v>92.857142857110233</v>
      </c>
    </row>
    <row r="12" spans="1:6" x14ac:dyDescent="0.2">
      <c r="A12" t="s">
        <v>14</v>
      </c>
      <c r="B12" s="6">
        <v>1.4500000000005286E-2</v>
      </c>
      <c r="C12" s="6"/>
      <c r="D12" s="6">
        <v>7.0000000000902673E-4</v>
      </c>
      <c r="E12" s="6">
        <f>B12-D12</f>
        <v>1.379999999999626E-2</v>
      </c>
      <c r="F12" s="6">
        <f>((B12-D12)/B12)*100</f>
        <v>95.172413793042949</v>
      </c>
    </row>
    <row r="13" spans="1:6" x14ac:dyDescent="0.2">
      <c r="A13" t="s">
        <v>13</v>
      </c>
      <c r="B13" s="6">
        <v>1.5100000000003888E-2</v>
      </c>
      <c r="C13" s="6"/>
      <c r="D13" s="6">
        <v>1.5000000000071623E-3</v>
      </c>
      <c r="E13" s="6">
        <f>B13-D13</f>
        <v>1.3599999999996726E-2</v>
      </c>
      <c r="F13" s="6">
        <f>((B13-D13)/B13)*100</f>
        <v>90.066225165518048</v>
      </c>
    </row>
    <row r="14" spans="1:6" x14ac:dyDescent="0.2">
      <c r="A14" t="s">
        <v>12</v>
      </c>
      <c r="B14" s="6">
        <v>0.14629999999999654</v>
      </c>
      <c r="C14" s="6"/>
      <c r="D14" s="6">
        <v>5.0000000000238742E-4</v>
      </c>
      <c r="E14" s="6">
        <f>B14-D14</f>
        <v>0.14579999999999416</v>
      </c>
      <c r="F14" s="6">
        <f>((B14-D14)/B14)*100</f>
        <v>99.658236500340124</v>
      </c>
    </row>
    <row r="15" spans="1:6" x14ac:dyDescent="0.2">
      <c r="A15" t="s">
        <v>11</v>
      </c>
      <c r="B15" s="6">
        <v>0.14880000000000138</v>
      </c>
      <c r="C15" s="6"/>
      <c r="D15" s="6">
        <v>1.6999999999995907E-3</v>
      </c>
      <c r="E15" s="6">
        <f>B15-D15</f>
        <v>0.14710000000000178</v>
      </c>
      <c r="F15" s="6">
        <f>((B15-D15)/B15)*100</f>
        <v>98.857526881720716</v>
      </c>
    </row>
    <row r="16" spans="1:6" x14ac:dyDescent="0.2">
      <c r="A16" t="s">
        <v>10</v>
      </c>
      <c r="B16" s="6">
        <v>0.14620000000000033</v>
      </c>
      <c r="C16" s="6"/>
      <c r="D16" s="6">
        <v>7.9999999999813597E-4</v>
      </c>
      <c r="E16" s="6">
        <f>B16-D16</f>
        <v>0.14540000000000219</v>
      </c>
      <c r="F16" s="6">
        <f>((B16-D16)/B16)*100</f>
        <v>99.452804377566252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Cu</vt:lpstr>
      <vt:lpstr>Cu % </vt:lpstr>
      <vt:lpstr>Weight 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Santos</dc:creator>
  <cp:lastModifiedBy>Guadalupe Santos</cp:lastModifiedBy>
  <dcterms:created xsi:type="dcterms:W3CDTF">2025-10-30T00:36:55Z</dcterms:created>
  <dcterms:modified xsi:type="dcterms:W3CDTF">2025-10-30T00:38:12Z</dcterms:modified>
</cp:coreProperties>
</file>