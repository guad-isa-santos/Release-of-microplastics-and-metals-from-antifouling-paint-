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rmalized all" sheetId="1" r:id="rId5"/>
    <sheet name="Normalized all (ug only)" sheetId="2" r:id="rId6"/>
    <sheet name="Normalized all (ug m2)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<sst xmlns="http://schemas.openxmlformats.org/spreadsheetml/2006/main" uniqueCount="245">
  <si>
    <t>original signal</t>
  </si>
  <si>
    <t>Final voume after prep (multiplied by L)</t>
  </si>
  <si>
    <t>divided by filter weight with paint</t>
  </si>
  <si>
    <t>subtract  procedural blank and blanks (ug/g paint)</t>
  </si>
  <si>
    <t>minus blanks (ug/g)</t>
  </si>
  <si>
    <t>Sample</t>
  </si>
  <si>
    <t>Sample abbrev.</t>
  </si>
  <si>
    <t>Fe 56/72
Oxygen DRC
(ug)</t>
  </si>
  <si>
    <t>Cu 63/63
Oxygen DRC
(ug)</t>
  </si>
  <si>
    <t>Zn 66/66
Oxygen DRC
(ug)</t>
  </si>
  <si>
    <t>Ba 138/138
(ug)</t>
  </si>
  <si>
    <t>Volume acid digest (mL)</t>
  </si>
  <si>
    <t>Volume acid digest (L)</t>
  </si>
  <si>
    <t>Weight of filter with paint</t>
  </si>
  <si>
    <t>Blank 1</t>
  </si>
  <si>
    <t>blank_1</t>
  </si>
  <si>
    <t>Blank 2</t>
  </si>
  <si>
    <t>blank_2</t>
  </si>
  <si>
    <t>Blank 3</t>
  </si>
  <si>
    <t>blank_3</t>
  </si>
  <si>
    <t>H1-1</t>
  </si>
  <si>
    <t>0-1</t>
  </si>
  <si>
    <t>H1-2</t>
  </si>
  <si>
    <t>0-2</t>
  </si>
  <si>
    <t>H1-3</t>
  </si>
  <si>
    <t>0-3</t>
  </si>
  <si>
    <t>H2-1</t>
  </si>
  <si>
    <t>0-4</t>
  </si>
  <si>
    <t>H2-2</t>
  </si>
  <si>
    <t>0-5</t>
  </si>
  <si>
    <t>H2-3</t>
  </si>
  <si>
    <t>0-6</t>
  </si>
  <si>
    <t>H3-1</t>
  </si>
  <si>
    <t>0-7</t>
  </si>
  <si>
    <t>H3-2</t>
  </si>
  <si>
    <t>0-8</t>
  </si>
  <si>
    <t>H3-3</t>
  </si>
  <si>
    <t>0-9</t>
  </si>
  <si>
    <t>FT1-1</t>
  </si>
  <si>
    <t>0-10</t>
  </si>
  <si>
    <t>FT1-2</t>
  </si>
  <si>
    <t>0-11</t>
  </si>
  <si>
    <t>FT1-3</t>
  </si>
  <si>
    <t>0-12</t>
  </si>
  <si>
    <t>FT2-1</t>
  </si>
  <si>
    <t>0-13</t>
  </si>
  <si>
    <t>FT2-2</t>
  </si>
  <si>
    <t>0-14</t>
  </si>
  <si>
    <t>FT2-3</t>
  </si>
  <si>
    <t>0-15</t>
  </si>
  <si>
    <t>FT3-1</t>
  </si>
  <si>
    <t>0-16</t>
  </si>
  <si>
    <t>FT3-2</t>
  </si>
  <si>
    <t>0-17</t>
  </si>
  <si>
    <t>FT3-3</t>
  </si>
  <si>
    <t>0-18</t>
  </si>
  <si>
    <t>UVFT1-1</t>
  </si>
  <si>
    <t>0-19</t>
  </si>
  <si>
    <t>UVFT1-2</t>
  </si>
  <si>
    <t>0-20</t>
  </si>
  <si>
    <t>UVFT1-3</t>
  </si>
  <si>
    <t>0-21</t>
  </si>
  <si>
    <t>UVFT2-1</t>
  </si>
  <si>
    <t>0-22</t>
  </si>
  <si>
    <t>UVFT2-2</t>
  </si>
  <si>
    <t>0-23</t>
  </si>
  <si>
    <t>UVFT2-3</t>
  </si>
  <si>
    <t>0-24</t>
  </si>
  <si>
    <t>UVFT3-1</t>
  </si>
  <si>
    <t>0-25</t>
  </si>
  <si>
    <t>UVFT3-2</t>
  </si>
  <si>
    <t>0-26</t>
  </si>
  <si>
    <t>UVFT3-3</t>
  </si>
  <si>
    <t>0-27</t>
  </si>
  <si>
    <t>C1-1</t>
  </si>
  <si>
    <t>0-28</t>
  </si>
  <si>
    <t>C1-2</t>
  </si>
  <si>
    <t>0-29</t>
  </si>
  <si>
    <t>C1-3</t>
  </si>
  <si>
    <t>0-30</t>
  </si>
  <si>
    <t>C2-1</t>
  </si>
  <si>
    <t>0-31</t>
  </si>
  <si>
    <t>C2-2</t>
  </si>
  <si>
    <t>0-32</t>
  </si>
  <si>
    <t>C2-3</t>
  </si>
  <si>
    <t>0-33</t>
  </si>
  <si>
    <t>C3-1</t>
  </si>
  <si>
    <t>0-34</t>
  </si>
  <si>
    <t>C3-2</t>
  </si>
  <si>
    <t>0-35</t>
  </si>
  <si>
    <t>C3-3</t>
  </si>
  <si>
    <t>0-36</t>
  </si>
  <si>
    <t>UV1-1</t>
  </si>
  <si>
    <t>0-37</t>
  </si>
  <si>
    <t>UV1-2</t>
  </si>
  <si>
    <t>0-38</t>
  </si>
  <si>
    <t>UV1-3</t>
  </si>
  <si>
    <t>0-39</t>
  </si>
  <si>
    <t>UV2-1</t>
  </si>
  <si>
    <t>0-40</t>
  </si>
  <si>
    <t>UV2-2</t>
  </si>
  <si>
    <t>0-41</t>
  </si>
  <si>
    <t>UV2-3</t>
  </si>
  <si>
    <t>0-42</t>
  </si>
  <si>
    <t>UV3-1</t>
  </si>
  <si>
    <t>0-43</t>
  </si>
  <si>
    <t>UV3-2</t>
  </si>
  <si>
    <t>0-44</t>
  </si>
  <si>
    <t>UV3-3</t>
  </si>
  <si>
    <t>0-45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</si>
  <si>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</si>
  <si>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</si>
  <si>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</si>
  <si>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</si>
  <si>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</si>
  <si>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</si>
  <si>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</si>
  <si>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</si>
  <si>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</si>
  <si>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</si>
  <si>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</si>
  <si>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</si>
  <si>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</si>
  <si>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</si>
  <si>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</si>
  <si>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</si>
  <si>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</si>
  <si>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</si>
  <si>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</si>
  <si>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</si>
  <si>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</si>
  <si>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</si>
  <si>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</si>
  <si>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</si>
  <si>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</si>
  <si>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</si>
  <si>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</si>
  <si>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</si>
  <si>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</si>
  <si>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</si>
  <si>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</si>
  <si>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</si>
  <si>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</si>
  <si>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</si>
  <si>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</si>
  <si>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</si>
  <si>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</si>
  <si>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</si>
  <si>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</si>
  <si>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</si>
  <si>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</si>
  <si>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</si>
  <si>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</si>
  <si>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</si>
  <si>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</si>
  <si>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</si>
  <si>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</si>
  <si>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</si>
  <si>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</si>
  <si>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</si>
  <si>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</si>
  <si>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</si>
  <si>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</si>
  <si>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</si>
  <si>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</si>
  <si>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</si>
  <si>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</si>
  <si>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</si>
  <si>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</si>
  <si>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</si>
  <si>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</si>
  <si>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</si>
  <si>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</si>
  <si>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</si>
  <si>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</si>
  <si>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</si>
  <si>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</si>
  <si>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</si>
  <si>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</si>
  <si>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</si>
  <si>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</si>
  <si>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</si>
  <si>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</si>
  <si>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</si>
  <si>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</si>
  <si>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</si>
  <si>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</si>
  <si>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</si>
  <si>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</si>
  <si>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</si>
  <si>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</si>
  <si>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</si>
  <si>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</si>
  <si>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</si>
  <si>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</si>
  <si>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</si>
  <si>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</si>
  <si>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</si>
  <si>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</si>
  <si>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</si>
  <si>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</si>
  <si>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</si>
  <si>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</si>
  <si>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</si>
  <si>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</si>
  <si>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</si>
  <si>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</si>
  <si>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</si>
  <si>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</si>
  <si>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</si>
  <si>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</si>
  <si>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</si>
  <si>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</si>
  <si>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</si>
  <si>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</si>
  <si>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</si>
  <si>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</si>
  <si>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</si>
  <si>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</si>
  <si>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</si>
  <si>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</si>
  <si>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</si>
  <si>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</si>
  <si>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</si>
  <si>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</si>
  <si>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</si>
  <si>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</si>
  <si>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</si>
  <si>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</si>
  <si>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</si>
  <si>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</si>
  <si>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</si>
  <si>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</si>
  <si>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</si>
  <si>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</si>
  <si>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</si>
  <si>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6-37</t>
  </si>
  <si>
    <t>6-38</t>
  </si>
  <si>
    <t>6-39</t>
  </si>
  <si>
    <t>6-40</t>
  </si>
  <si>
    <t>6-41</t>
  </si>
  <si>
    <t>6-42</t>
  </si>
  <si>
    <t>6-43</t>
  </si>
  <si>
    <t>6-44</t>
  </si>
  <si>
    <t>6-45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</si>
</sst>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"/>
    <numFmt numFmtId="60" formatCode="0.0000"/>
  </numFmts>
  <fonts count="7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ptos Narrow"/>
    </font>
    <font>
      <b val="1"/>
      <sz val="8"/>
      <color indexed="12"/>
      <name val="Tahoma"/>
    </font>
    <font>
      <sz val="8"/>
      <color indexed="8"/>
      <name val="Tahoma"/>
    </font>
    <font>
      <sz val="12"/>
      <color indexed="15"/>
      <name val="Aptos Narrow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3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11"/>
      </right>
      <top style="thin">
        <color indexed="8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8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 wrapText="1"/>
    </xf>
    <xf numFmtId="49" fontId="4" fillId="3" borderId="7" applyNumberFormat="1" applyFont="1" applyFill="1" applyBorder="1" applyAlignment="1" applyProtection="0">
      <alignment horizontal="center" vertical="center" wrapText="1"/>
    </xf>
    <xf numFmtId="49" fontId="4" fillId="4" borderId="8" applyNumberFormat="1" applyFont="1" applyFill="1" applyBorder="1" applyAlignment="1" applyProtection="0">
      <alignment horizontal="center" vertical="center" wrapText="1"/>
    </xf>
    <xf numFmtId="49" fontId="4" fillId="4" borderId="9" applyNumberFormat="1" applyFont="1" applyFill="1" applyBorder="1" applyAlignment="1" applyProtection="0">
      <alignment horizontal="center" vertical="center" wrapText="1"/>
    </xf>
    <xf numFmtId="0" fontId="0" borderId="10" applyNumberFormat="0" applyFont="1" applyFill="0" applyBorder="1" applyAlignment="1" applyProtection="0">
      <alignment vertical="bottom"/>
    </xf>
    <xf numFmtId="49" fontId="4" fillId="3" borderId="11" applyNumberFormat="1" applyFont="1" applyFill="1" applyBorder="1" applyAlignment="1" applyProtection="0">
      <alignment horizontal="center" vertical="center" wrapText="1"/>
    </xf>
    <xf numFmtId="49" fontId="4" fillId="3" borderId="12" applyNumberFormat="1" applyFont="1" applyFill="1" applyBorder="1" applyAlignment="1" applyProtection="0">
      <alignment horizontal="center" vertical="center" wrapText="1"/>
    </xf>
    <xf numFmtId="0" fontId="4" fillId="4" borderId="7" applyNumberFormat="0" applyFont="1" applyFill="1" applyBorder="1" applyAlignment="1" applyProtection="0">
      <alignment horizontal="center" vertical="center" wrapText="1"/>
    </xf>
    <xf numFmtId="0" fontId="0" borderId="13" applyNumberFormat="0" applyFont="1" applyFill="0" applyBorder="1" applyAlignment="1" applyProtection="0">
      <alignment vertical="bottom"/>
    </xf>
    <xf numFmtId="49" fontId="4" fillId="4" borderId="14" applyNumberFormat="1" applyFont="1" applyFill="1" applyBorder="1" applyAlignment="1" applyProtection="0">
      <alignment horizontal="center" vertical="center" wrapText="1"/>
    </xf>
    <xf numFmtId="49" fontId="0" borderId="15" applyNumberFormat="1" applyFont="1" applyFill="0" applyBorder="1" applyAlignment="1" applyProtection="0">
      <alignment vertical="bottom"/>
    </xf>
    <xf numFmtId="49" fontId="5" fillId="4" borderId="16" applyNumberFormat="1" applyFont="1" applyFill="1" applyBorder="1" applyAlignment="1" applyProtection="0">
      <alignment horizontal="left" vertical="center"/>
    </xf>
    <xf numFmtId="0" fontId="0" borderId="17" applyNumberFormat="0" applyFont="1" applyFill="0" applyBorder="1" applyAlignment="1" applyProtection="0">
      <alignment vertical="bottom"/>
    </xf>
    <xf numFmtId="0" fontId="0" borderId="17" applyNumberFormat="1" applyFont="1" applyFill="0" applyBorder="1" applyAlignment="1" applyProtection="0">
      <alignment vertical="bottom"/>
    </xf>
    <xf numFmtId="0" fontId="6" borderId="17" applyNumberFormat="0" applyFont="1" applyFill="0" applyBorder="1" applyAlignment="1" applyProtection="0">
      <alignment vertical="bottom"/>
    </xf>
    <xf numFmtId="49" fontId="0" borderId="18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0" fontId="0" borderId="18" applyNumberFormat="1" applyFont="1" applyFill="0" applyBorder="1" applyAlignment="1" applyProtection="0">
      <alignment vertical="bottom"/>
    </xf>
    <xf numFmtId="59" fontId="5" fillId="4" borderId="20" applyNumberFormat="1" applyFont="1" applyFill="1" applyBorder="1" applyAlignment="1" applyProtection="0">
      <alignment horizontal="left" vertical="center"/>
    </xf>
    <xf numFmtId="59" fontId="5" fillId="4" borderId="21" applyNumberFormat="1" applyFont="1" applyFill="1" applyBorder="1" applyAlignment="1" applyProtection="0">
      <alignment horizontal="left" vertical="center"/>
    </xf>
    <xf numFmtId="0" fontId="0" borderId="22" applyNumberFormat="1" applyFont="1" applyFill="0" applyBorder="1" applyAlignment="1" applyProtection="0">
      <alignment vertical="bottom"/>
    </xf>
    <xf numFmtId="0" fontId="6" borderId="1" applyNumberFormat="1" applyFont="1" applyFill="0" applyBorder="1" applyAlignment="1" applyProtection="0">
      <alignment vertical="bottom"/>
    </xf>
    <xf numFmtId="59" fontId="5" fillId="4" borderId="16" applyNumberFormat="1" applyFont="1" applyFill="1" applyBorder="1" applyAlignment="1" applyProtection="0">
      <alignment horizontal="left" vertical="center"/>
    </xf>
    <xf numFmtId="0" fontId="0" borderId="23" applyNumberFormat="1" applyFont="1" applyFill="0" applyBorder="1" applyAlignment="1" applyProtection="0">
      <alignment vertical="bottom"/>
    </xf>
    <xf numFmtId="59" fontId="5" fillId="4" borderId="24" applyNumberFormat="1" applyFont="1" applyFill="1" applyBorder="1" applyAlignment="1" applyProtection="0">
      <alignment horizontal="left" vertical="center"/>
    </xf>
    <xf numFmtId="49" fontId="0" borderId="25" applyNumberFormat="1" applyFont="1" applyFill="0" applyBorder="1" applyAlignment="1" applyProtection="0">
      <alignment vertical="bottom"/>
    </xf>
    <xf numFmtId="0" fontId="0" borderId="26" applyNumberFormat="1" applyFont="1" applyFill="0" applyBorder="1" applyAlignment="1" applyProtection="0">
      <alignment vertical="bottom"/>
    </xf>
    <xf numFmtId="49" fontId="5" fillId="4" borderId="24" applyNumberFormat="1" applyFont="1" applyFill="1" applyBorder="1" applyAlignment="1" applyProtection="0">
      <alignment horizontal="left" vertical="center"/>
    </xf>
    <xf numFmtId="49" fontId="5" fillId="4" borderId="26" applyNumberFormat="1" applyFont="1" applyFill="1" applyBorder="1" applyAlignment="1" applyProtection="0">
      <alignment horizontal="left" vertical="center"/>
    </xf>
    <xf numFmtId="0" fontId="0" borderId="27" applyNumberFormat="1" applyFont="1" applyFill="0" applyBorder="1" applyAlignment="1" applyProtection="0">
      <alignment vertical="bottom"/>
    </xf>
    <xf numFmtId="59" fontId="5" fillId="4" borderId="28" applyNumberFormat="1" applyFont="1" applyFill="1" applyBorder="1" applyAlignment="1" applyProtection="0">
      <alignment horizontal="left" vertical="center"/>
    </xf>
    <xf numFmtId="0" fontId="0" borderId="4" applyNumberFormat="1" applyFont="1" applyFill="0" applyBorder="1" applyAlignment="1" applyProtection="0">
      <alignment vertical="bottom"/>
    </xf>
    <xf numFmtId="60" fontId="0" fillId="5" borderId="29" applyNumberFormat="1" applyFont="1" applyFill="1" applyBorder="1" applyAlignment="1" applyProtection="0">
      <alignment horizontal="left" vertical="bottom"/>
    </xf>
    <xf numFmtId="59" fontId="5" fillId="5" borderId="21" applyNumberFormat="1" applyFont="1" applyFill="1" applyBorder="1" applyAlignment="1" applyProtection="0">
      <alignment horizontal="left" vertical="center"/>
    </xf>
    <xf numFmtId="59" fontId="5" fillId="5" borderId="20" applyNumberFormat="1" applyFont="1" applyFill="1" applyBorder="1" applyAlignment="1" applyProtection="0">
      <alignment horizontal="left" vertical="center"/>
    </xf>
    <xf numFmtId="0" fontId="0" borderId="1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6c6ac"/>
      <rgbColor rgb="ffa9a9a9"/>
      <rgbColor rgb="ffff0000"/>
      <rgbColor rgb="ffffffe0"/>
      <rgbColor rgb="ffffffff"/>
      <rgbColor rgb="ff4a5d70"/>
      <rgbColor rgb="ffceeb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F193"/>
  <sheetViews>
    <sheetView workbookViewId="0" showGridLines="0" defaultGridColor="1"/>
  </sheetViews>
  <sheetFormatPr defaultColWidth="10.8333" defaultRowHeight="16" customHeight="1" outlineLevelRow="0" outlineLevelCol="0"/>
  <cols>
    <col min="1" max="10" width="10.8516" style="1" customWidth="1"/>
    <col min="11" max="11" width="2.85156" style="1" customWidth="1"/>
    <col min="12" max="17" width="10.8516" style="1" customWidth="1"/>
    <col min="18" max="18" width="2.67188" style="1" customWidth="1"/>
    <col min="19" max="32" width="10.8516" style="1" customWidth="1"/>
    <col min="33" max="16384" width="10.8516" style="1" customWidth="1"/>
  </cols>
  <sheetData>
    <row r="1" ht="17" customHeight="1">
      <c r="A1" s="2"/>
      <c r="B1" s="3"/>
      <c r="C1" s="3"/>
      <c r="D1" t="s" s="4">
        <v>0</v>
      </c>
      <c r="E1" s="5"/>
      <c r="F1" s="5"/>
      <c r="G1" s="5"/>
      <c r="H1" s="2"/>
      <c r="I1" s="3"/>
      <c r="J1" s="3"/>
      <c r="K1" s="5"/>
      <c r="L1" t="s" s="4">
        <v>1</v>
      </c>
      <c r="M1" s="5"/>
      <c r="N1" s="5"/>
      <c r="O1" s="5"/>
      <c r="P1" s="2"/>
      <c r="Q1" t="s" s="6">
        <v>2</v>
      </c>
      <c r="R1" s="2"/>
      <c r="S1" s="5"/>
      <c r="T1" s="5"/>
      <c r="U1" s="5"/>
      <c r="V1" s="5"/>
      <c r="W1" s="2"/>
      <c r="X1" t="s" s="4">
        <v>3</v>
      </c>
      <c r="Y1" s="5"/>
      <c r="Z1" s="5"/>
      <c r="AA1" s="5"/>
      <c r="AB1" s="2"/>
      <c r="AC1" t="s" s="4">
        <v>4</v>
      </c>
      <c r="AD1" s="5"/>
      <c r="AE1" s="5"/>
      <c r="AF1" s="5"/>
    </row>
    <row r="2" ht="36" customHeight="1">
      <c r="A2" s="7"/>
      <c r="B2" t="s" s="8">
        <v>5</v>
      </c>
      <c r="C2" t="s" s="9">
        <v>6</v>
      </c>
      <c r="D2" t="s" s="10">
        <v>7</v>
      </c>
      <c r="E2" t="s" s="11">
        <v>8</v>
      </c>
      <c r="F2" t="s" s="10">
        <v>9</v>
      </c>
      <c r="G2" t="s" s="12">
        <v>10</v>
      </c>
      <c r="H2" s="13"/>
      <c r="I2" t="s" s="14">
        <v>11</v>
      </c>
      <c r="J2" t="s" s="15">
        <v>12</v>
      </c>
      <c r="K2" s="16"/>
      <c r="L2" t="s" s="10">
        <v>7</v>
      </c>
      <c r="M2" t="s" s="10">
        <v>8</v>
      </c>
      <c r="N2" t="s" s="10">
        <v>9</v>
      </c>
      <c r="O2" t="s" s="12">
        <v>10</v>
      </c>
      <c r="P2" s="13"/>
      <c r="Q2" t="s" s="14">
        <v>13</v>
      </c>
      <c r="R2" s="17"/>
      <c r="S2" t="s" s="10">
        <v>7</v>
      </c>
      <c r="T2" t="s" s="10">
        <v>8</v>
      </c>
      <c r="U2" t="s" s="10">
        <v>9</v>
      </c>
      <c r="V2" t="s" s="12">
        <v>10</v>
      </c>
      <c r="W2" s="17"/>
      <c r="X2" t="s" s="10">
        <v>7</v>
      </c>
      <c r="Y2" t="s" s="10">
        <v>8</v>
      </c>
      <c r="Z2" t="s" s="10">
        <v>9</v>
      </c>
      <c r="AA2" t="s" s="12">
        <v>10</v>
      </c>
      <c r="AB2" s="17"/>
      <c r="AC2" t="s" s="10">
        <v>7</v>
      </c>
      <c r="AD2" t="s" s="10">
        <v>8</v>
      </c>
      <c r="AE2" t="s" s="10">
        <v>9</v>
      </c>
      <c r="AF2" t="s" s="18">
        <v>10</v>
      </c>
    </row>
    <row r="3" ht="17" customHeight="1">
      <c r="A3" s="2"/>
      <c r="B3" t="s" s="19">
        <v>14</v>
      </c>
      <c r="C3" t="s" s="20">
        <v>15</v>
      </c>
      <c r="D3" s="21"/>
      <c r="E3" s="2"/>
      <c r="F3" s="21"/>
      <c r="G3" s="21"/>
      <c r="H3" s="2"/>
      <c r="I3" s="22">
        <v>4.7195</v>
      </c>
      <c r="J3" s="22" cm="1">
        <f t="array" ref="J3">I3/1000</f>
        <v>0.0047195</v>
      </c>
      <c r="K3" s="21"/>
      <c r="L3" s="22" cm="1">
        <f t="array" ref="L3">D3*$J3</f>
        <v>0</v>
      </c>
      <c r="M3" s="22" cm="1">
        <f t="array" ref="M3">E3*$J3</f>
        <v>0</v>
      </c>
      <c r="N3" s="22" cm="1">
        <f t="array" ref="N3">F3*$J3</f>
        <v>0</v>
      </c>
      <c r="O3" s="22" cm="1">
        <f t="array" ref="O3">G3*$J3</f>
        <v>0</v>
      </c>
      <c r="P3" s="2"/>
      <c r="Q3" s="22">
        <v>0.0195000000000007</v>
      </c>
      <c r="R3" s="2"/>
      <c r="S3" s="22" cm="1">
        <f t="array" ref="S3">L3/$Q3</f>
        <v>0</v>
      </c>
      <c r="T3" s="22" cm="1">
        <f t="array" ref="T3">M3/$Q3</f>
        <v>0</v>
      </c>
      <c r="U3" s="22" cm="1">
        <f t="array" ref="U3">N3/$Q3</f>
        <v>0</v>
      </c>
      <c r="V3" s="22" cm="1">
        <f t="array" ref="V3">O3/$Q3</f>
        <v>0</v>
      </c>
      <c r="W3" s="2"/>
      <c r="X3" s="22" cm="1">
        <f t="array" ref="X3">AVERAGE(S3:S5)</f>
        <v>0</v>
      </c>
      <c r="Y3" s="22">
        <v>0</v>
      </c>
      <c r="Z3" s="22">
        <v>0</v>
      </c>
      <c r="AA3" s="22" cm="1">
        <f t="array" ref="AA3">AVERAGE(V3:V5)</f>
        <v>0</v>
      </c>
      <c r="AB3" s="2"/>
      <c r="AC3" s="23"/>
      <c r="AD3" s="23"/>
      <c r="AE3" s="23"/>
      <c r="AF3" s="23"/>
    </row>
    <row r="4" ht="17" customHeight="1">
      <c r="A4" s="2"/>
      <c r="B4" t="s" s="24">
        <v>16</v>
      </c>
      <c r="C4" t="s" s="20">
        <v>17</v>
      </c>
      <c r="D4" s="2"/>
      <c r="E4" s="2"/>
      <c r="F4" s="2"/>
      <c r="G4" s="2"/>
      <c r="H4" s="2"/>
      <c r="I4" s="25">
        <v>4.7083</v>
      </c>
      <c r="J4" s="25" cm="1">
        <f t="array" ref="J4">I4/1000</f>
        <v>0.0047083</v>
      </c>
      <c r="K4" s="2"/>
      <c r="L4" s="25" cm="1">
        <f t="array" ref="L4">D4*$J4</f>
        <v>0</v>
      </c>
      <c r="M4" s="25" cm="1">
        <f t="array" ref="M4">E4*$J4</f>
        <v>0</v>
      </c>
      <c r="N4" s="25" cm="1">
        <f t="array" ref="N4">F4*$J4</f>
        <v>0</v>
      </c>
      <c r="O4" s="25" cm="1">
        <f t="array" ref="O4">G4*$J4</f>
        <v>0</v>
      </c>
      <c r="P4" s="2"/>
      <c r="Q4" s="25">
        <v>0.0182</v>
      </c>
      <c r="R4" s="2"/>
      <c r="S4" s="25" cm="1">
        <f t="array" ref="S4">L4/$Q4</f>
        <v>0</v>
      </c>
      <c r="T4" s="25" cm="1">
        <f t="array" ref="T4">M4/$Q4</f>
        <v>0</v>
      </c>
      <c r="U4" s="25" cm="1">
        <f t="array" ref="U4">N4/$Q4</f>
        <v>0</v>
      </c>
      <c r="V4" s="25" cm="1">
        <f t="array" ref="V4">O4/$Q4</f>
        <v>0</v>
      </c>
      <c r="W4" s="2"/>
      <c r="X4" s="2"/>
      <c r="Y4" s="2"/>
      <c r="Z4" s="2"/>
      <c r="AA4" s="2"/>
      <c r="AB4" s="2"/>
      <c r="AC4" s="26"/>
      <c r="AD4" s="26"/>
      <c r="AE4" s="26"/>
      <c r="AF4" s="26"/>
    </row>
    <row r="5" ht="17" customHeight="1">
      <c r="A5" s="2"/>
      <c r="B5" t="s" s="24">
        <v>18</v>
      </c>
      <c r="C5" t="s" s="20">
        <v>19</v>
      </c>
      <c r="D5" s="2"/>
      <c r="E5" s="27"/>
      <c r="F5" s="27"/>
      <c r="G5" s="2"/>
      <c r="H5" s="2"/>
      <c r="I5" s="25">
        <v>4.6946</v>
      </c>
      <c r="J5" s="25" cm="1">
        <f t="array" ref="J5">I5/1000</f>
        <v>0.0046946</v>
      </c>
      <c r="K5" s="2"/>
      <c r="L5" s="25" cm="1">
        <f t="array" ref="L5">D5*$J5</f>
        <v>0</v>
      </c>
      <c r="M5" s="25" cm="1">
        <f t="array" ref="M5">E5*$J5</f>
        <v>0</v>
      </c>
      <c r="N5" s="25" cm="1">
        <f t="array" ref="N5">F5*$J5</f>
        <v>0</v>
      </c>
      <c r="O5" s="25" cm="1">
        <f t="array" ref="O5">G5*$J5</f>
        <v>0</v>
      </c>
      <c r="P5" s="2"/>
      <c r="Q5" s="25">
        <v>0.0182</v>
      </c>
      <c r="R5" s="2"/>
      <c r="S5" s="25" cm="1">
        <f t="array" ref="S5">L5/$Q5</f>
        <v>0</v>
      </c>
      <c r="T5" s="25" cm="1">
        <f t="array" ref="T5">M5/$Q5</f>
        <v>0</v>
      </c>
      <c r="U5" s="25" cm="1">
        <f t="array" ref="U5">N5/$Q5</f>
        <v>0</v>
      </c>
      <c r="V5" s="25" cm="1">
        <f t="array" ref="V5">O5/AVERAGE(Q3:Q5)</f>
        <v>0</v>
      </c>
      <c r="W5" s="2"/>
      <c r="X5" s="2"/>
      <c r="Y5" s="2"/>
      <c r="Z5" s="2"/>
      <c r="AA5" s="2"/>
      <c r="AB5" s="2"/>
      <c r="AC5" s="26"/>
      <c r="AD5" s="26"/>
      <c r="AE5" s="26"/>
      <c r="AF5" s="26"/>
    </row>
    <row r="6" ht="17" customHeight="1">
      <c r="A6" s="2"/>
      <c r="B6" t="s" s="24">
        <v>20</v>
      </c>
      <c r="C6" t="s" s="20">
        <v>21</v>
      </c>
      <c r="D6" s="28">
        <v>17.4384932346801</v>
      </c>
      <c r="E6" s="29">
        <v>7.90719897927628</v>
      </c>
      <c r="F6" s="30">
        <v>12.076593667496</v>
      </c>
      <c r="G6" s="31">
        <v>-8.87610199892787</v>
      </c>
      <c r="H6" s="2"/>
      <c r="I6" s="25">
        <v>4.712</v>
      </c>
      <c r="J6" s="25" cm="1">
        <f t="array" ref="J6">I6/1000</f>
        <v>0.004712</v>
      </c>
      <c r="K6" s="2"/>
      <c r="L6" s="25" cm="1">
        <f t="array" ref="L6">D6*$J6</f>
        <v>0.0821701801218126</v>
      </c>
      <c r="M6" s="25" cm="1">
        <f t="array" ref="M6">E6*$J6</f>
        <v>0.0372587215903498</v>
      </c>
      <c r="N6" s="25" cm="1">
        <f t="array" ref="N6">F6*$J6</f>
        <v>0.0569049093612412</v>
      </c>
      <c r="O6" s="25" cm="1">
        <f t="array" ref="O6">G6*AVERAGE($J6:$J8)</f>
        <v>-0.041750520972357</v>
      </c>
      <c r="P6" s="2"/>
      <c r="Q6" s="25">
        <v>0.0180000000000007</v>
      </c>
      <c r="R6" s="25">
        <v>1</v>
      </c>
      <c r="S6" s="25" cm="1">
        <f t="array" ref="S6">L6/$Q6</f>
        <v>4.56501000676719</v>
      </c>
      <c r="T6" s="25" cm="1">
        <f t="array" ref="T6">M6/$Q6</f>
        <v>2.06992897724158</v>
      </c>
      <c r="U6" s="25" cm="1">
        <f t="array" ref="U6">N6/$Q6</f>
        <v>3.16138385340217</v>
      </c>
      <c r="V6" s="25" cm="1">
        <f t="array" ref="V6">O6/$Q6</f>
        <v>-2.31947338735308</v>
      </c>
      <c r="W6" s="2"/>
      <c r="X6" s="25" cm="1">
        <f t="array" ref="X6">S6-X$3-X$13</f>
        <v>-0.97147675928606</v>
      </c>
      <c r="Y6" s="25" cm="1">
        <f t="array" ref="Y6">T6-Y$3-Y$13</f>
        <v>-1.04379247753189</v>
      </c>
      <c r="Z6" s="25" cm="1">
        <f t="array" ref="Z6">U6-Z$3-Z$13</f>
        <v>-3.25261643674651</v>
      </c>
      <c r="AA6" s="25" cm="1">
        <f t="array" ref="AA6">V6-AA$3-AA$13</f>
        <v>0.10916419211199</v>
      </c>
      <c r="AB6" s="2"/>
      <c r="AC6" s="32" cm="1">
        <f t="array" ref="AC6">X6</f>
        <v>-0.97147675928606</v>
      </c>
      <c r="AD6" s="32" cm="1">
        <f t="array" ref="AD6">Y6</f>
        <v>-1.04379247753189</v>
      </c>
      <c r="AE6" s="32" cm="1">
        <f t="array" ref="AE6">Z6</f>
        <v>-3.25261643674651</v>
      </c>
      <c r="AF6" s="32" cm="1">
        <f t="array" ref="AF6">AA6</f>
        <v>0.10916419211199</v>
      </c>
    </row>
    <row r="7" ht="17" customHeight="1">
      <c r="A7" s="2"/>
      <c r="B7" t="s" s="24">
        <v>22</v>
      </c>
      <c r="C7" t="s" s="20">
        <v>23</v>
      </c>
      <c r="D7" s="28">
        <v>16.7092715711902</v>
      </c>
      <c r="E7" s="29">
        <v>5.81003962147908</v>
      </c>
      <c r="F7" s="33">
        <v>20.5383796031702</v>
      </c>
      <c r="G7" s="25">
        <v>-9.20317585034512</v>
      </c>
      <c r="H7" s="2"/>
      <c r="I7" s="25">
        <v>4.7041</v>
      </c>
      <c r="J7" s="25" cm="1">
        <f t="array" ref="J7">I7/1000</f>
        <v>0.0047041</v>
      </c>
      <c r="K7" s="2"/>
      <c r="L7" s="25" cm="1">
        <f t="array" ref="L7">D7*$J7</f>
        <v>0.0786020843980358</v>
      </c>
      <c r="M7" s="25" cm="1">
        <f t="array" ref="M7">E7*$J7</f>
        <v>0.0273310073833997</v>
      </c>
      <c r="N7" s="25" cm="1">
        <f t="array" ref="N7">F7*$J7</f>
        <v>0.0966145914912729</v>
      </c>
      <c r="O7" s="25" cm="1">
        <f t="array" ref="O7">G7*$J7</f>
        <v>-0.0432926595176085</v>
      </c>
      <c r="P7" s="2"/>
      <c r="Q7" s="25">
        <v>0.0181999999999984</v>
      </c>
      <c r="R7" s="25">
        <v>1</v>
      </c>
      <c r="S7" s="25" cm="1">
        <f t="array" ref="S7">L7/$Q7</f>
        <v>4.3187958460463</v>
      </c>
      <c r="T7" s="25" cm="1">
        <f t="array" ref="T7">M7/$Q7</f>
        <v>1.50170370238473</v>
      </c>
      <c r="U7" s="25" cm="1">
        <f t="array" ref="U7">N7/$Q7</f>
        <v>5.30849403798249</v>
      </c>
      <c r="V7" s="25" cm="1">
        <f t="array" ref="V7">O7/$Q7</f>
        <v>-2.37871755591276</v>
      </c>
      <c r="W7" s="2"/>
      <c r="X7" s="25" cm="1">
        <f t="array" ref="X7">S7-X$3-X$13</f>
        <v>-1.21769092000695</v>
      </c>
      <c r="Y7" s="25" cm="1">
        <f t="array" ref="Y7">T7-Y$3-Y$13</f>
        <v>-1.61201775238874</v>
      </c>
      <c r="Z7" s="25" cm="1">
        <f t="array" ref="Z7">U7-Z$3-Z$13</f>
        <v>-1.10550625216619</v>
      </c>
      <c r="AA7" s="25" cm="1">
        <f t="array" ref="AA7">V7-AA$3-AA$13</f>
        <v>0.04992002355231</v>
      </c>
      <c r="AB7" s="2"/>
      <c r="AC7" s="32" cm="1">
        <f t="array" ref="AC7">X7</f>
        <v>-1.21769092000695</v>
      </c>
      <c r="AD7" s="32" cm="1">
        <f t="array" ref="AD7">Y7</f>
        <v>-1.61201775238874</v>
      </c>
      <c r="AE7" s="32" cm="1">
        <f t="array" ref="AE7">Z7</f>
        <v>-1.10550625216619</v>
      </c>
      <c r="AF7" s="32" cm="1">
        <f t="array" ref="AF7">AA7</f>
        <v>0.04992002355231</v>
      </c>
    </row>
    <row r="8" ht="17" customHeight="1">
      <c r="A8" s="2"/>
      <c r="B8" t="s" s="24">
        <v>24</v>
      </c>
      <c r="C8" t="s" s="20">
        <v>25</v>
      </c>
      <c r="D8" s="28">
        <v>14.5174553389005</v>
      </c>
      <c r="E8" s="29">
        <v>5.92322249523099</v>
      </c>
      <c r="F8" s="30">
        <v>15.9632972554776</v>
      </c>
      <c r="G8" s="31">
        <v>-9.31546830687504</v>
      </c>
      <c r="H8" s="27"/>
      <c r="I8" s="25">
        <v>4.695</v>
      </c>
      <c r="J8" s="25" cm="1">
        <f t="array" ref="J8">I8/1000</f>
        <v>0.004695</v>
      </c>
      <c r="K8" s="2"/>
      <c r="L8" s="25" cm="1">
        <f t="array" ref="L8">D8*$J8</f>
        <v>0.06815945281613781</v>
      </c>
      <c r="M8" s="25" cm="1">
        <f t="array" ref="M8">E8*$J8</f>
        <v>0.0278095296151095</v>
      </c>
      <c r="N8" s="25" cm="1">
        <f t="array" ref="N8">F8*$J8</f>
        <v>0.0749476806144673</v>
      </c>
      <c r="O8" s="25" cm="1">
        <f t="array" ref="O8">G8*$J8</f>
        <v>-0.0437361237007783</v>
      </c>
      <c r="P8" s="2"/>
      <c r="Q8" s="25">
        <v>0.0180000000000007</v>
      </c>
      <c r="R8" s="25">
        <v>1</v>
      </c>
      <c r="S8" s="25" cm="1">
        <f t="array" ref="S8">L8/$Q8</f>
        <v>3.78663626756306</v>
      </c>
      <c r="T8" s="25" cm="1">
        <f t="array" ref="T8">M8/$Q8</f>
        <v>1.54497386750602</v>
      </c>
      <c r="U8" s="25" cm="1">
        <f t="array" ref="U8">N8/$Q8</f>
        <v>4.16376003413691</v>
      </c>
      <c r="V8" s="25" cm="1">
        <f t="array" ref="V8">O8/$Q8</f>
        <v>-2.42978465004314</v>
      </c>
      <c r="W8" s="2"/>
      <c r="X8" s="25" cm="1">
        <f t="array" ref="X8">S8-X$3-X$13</f>
        <v>-1.74985049849019</v>
      </c>
      <c r="Y8" s="25" cm="1">
        <f t="array" ref="Y8">T8-Y$3-Y$13</f>
        <v>-1.56874758726745</v>
      </c>
      <c r="Z8" s="25" cm="1">
        <f t="array" ref="Z8">U8-Z$3-Z$13</f>
        <v>-2.25024025601177</v>
      </c>
      <c r="AA8" s="25" cm="1">
        <f t="array" ref="AA8">V8-AA$3-AA$13</f>
        <v>-0.00114707057807</v>
      </c>
      <c r="AB8" s="2"/>
      <c r="AC8" s="32" cm="1">
        <f t="array" ref="AC8">X8</f>
        <v>-1.74985049849019</v>
      </c>
      <c r="AD8" s="32" cm="1">
        <f t="array" ref="AD8">Y8</f>
        <v>-1.56874758726745</v>
      </c>
      <c r="AE8" s="32" cm="1">
        <f t="array" ref="AE8">Z8</f>
        <v>-2.25024025601177</v>
      </c>
      <c r="AF8" s="32" cm="1">
        <f t="array" ref="AF8">AA8</f>
        <v>-0.00114707057807</v>
      </c>
    </row>
    <row r="9" ht="17" customHeight="1">
      <c r="A9" s="2"/>
      <c r="B9" t="s" s="24">
        <v>26</v>
      </c>
      <c r="C9" t="s" s="20">
        <v>27</v>
      </c>
      <c r="D9" s="28">
        <v>3.04705238908849</v>
      </c>
      <c r="E9" s="29">
        <v>176.9363824881</v>
      </c>
      <c r="F9" s="30">
        <v>19.0499014542993</v>
      </c>
      <c r="G9" s="34">
        <v>-9.848412914443459</v>
      </c>
      <c r="H9" s="35">
        <v>0.0202390366957953</v>
      </c>
      <c r="I9" s="25">
        <v>4.6861</v>
      </c>
      <c r="J9" s="25" cm="1">
        <f t="array" ref="J9">I9/1000</f>
        <v>0.0046861</v>
      </c>
      <c r="K9" s="2"/>
      <c r="L9" s="25" cm="1">
        <f t="array" ref="L9">D9*$J9</f>
        <v>0.0142787922005076</v>
      </c>
      <c r="M9" s="25" cm="1">
        <f t="array" ref="M9">E9*$J9</f>
        <v>0.829141581977485</v>
      </c>
      <c r="N9" s="25" cm="1">
        <f t="array" ref="N9">H9*$J9</f>
        <v>9.48421498601664e-05</v>
      </c>
      <c r="O9" s="25" cm="1">
        <f t="array" ref="O9">G9*$J9</f>
        <v>-0.0461506477583735</v>
      </c>
      <c r="P9" s="2"/>
      <c r="Q9" s="25">
        <v>0.0181000000000004</v>
      </c>
      <c r="R9" s="25">
        <v>1</v>
      </c>
      <c r="S9" s="25" cm="1">
        <f t="array" ref="S9">L9/$Q9</f>
        <v>0.788883546989353</v>
      </c>
      <c r="T9" s="25" cm="1">
        <f t="array" ref="T9">M9/$Q9</f>
        <v>45.8089271810755</v>
      </c>
      <c r="U9" s="25" cm="1">
        <f t="array" ref="U9">N9/$Q9</f>
        <v>0.00523989778232952</v>
      </c>
      <c r="V9" s="25" cm="1">
        <f t="array" ref="V9">O9/$Q9</f>
        <v>-2.54975954466146</v>
      </c>
      <c r="W9" s="2"/>
      <c r="X9" s="25" cm="1">
        <f t="array" ref="X9">S9-X$3-X$13</f>
        <v>-4.7476032190639</v>
      </c>
      <c r="Y9" s="25" cm="1">
        <f t="array" ref="Y9">T9-Y$3-Y$13</f>
        <v>42.695205726302</v>
      </c>
      <c r="Z9" s="25" cm="1">
        <f t="array" ref="Z9">U9-Z$3-Z$13</f>
        <v>-6.40876039236635</v>
      </c>
      <c r="AA9" s="25" cm="1">
        <f t="array" ref="AA9">V9-AA$3-AA$13</f>
        <v>-0.12112196519639</v>
      </c>
      <c r="AB9" s="2"/>
      <c r="AC9" s="32" cm="1">
        <f t="array" ref="AC9">X9</f>
        <v>-4.7476032190639</v>
      </c>
      <c r="AD9" s="32" cm="1">
        <f t="array" ref="AD9">Y9</f>
        <v>42.695205726302</v>
      </c>
      <c r="AE9" s="32" cm="1">
        <f t="array" ref="AE9">Z9</f>
        <v>-6.40876039236635</v>
      </c>
      <c r="AF9" s="32" cm="1">
        <f t="array" ref="AF9">AA9</f>
        <v>-0.12112196519639</v>
      </c>
    </row>
    <row r="10" ht="17" customHeight="1">
      <c r="A10" s="2"/>
      <c r="B10" t="s" s="24">
        <v>28</v>
      </c>
      <c r="C10" t="s" s="20">
        <v>29</v>
      </c>
      <c r="D10" s="28">
        <v>29.2127373900964</v>
      </c>
      <c r="E10" s="29">
        <v>9.052369218230851</v>
      </c>
      <c r="F10" s="30">
        <v>89.732593985384</v>
      </c>
      <c r="G10" s="31">
        <v>-8.235484030084621</v>
      </c>
      <c r="H10" s="2"/>
      <c r="I10" s="25">
        <v>4.7183</v>
      </c>
      <c r="J10" s="25" cm="1">
        <f t="array" ref="J10">I10/1000</f>
        <v>0.0047183</v>
      </c>
      <c r="K10" s="2"/>
      <c r="L10" s="25" cm="1">
        <f t="array" ref="L10">D10*$J10</f>
        <v>0.137834458827692</v>
      </c>
      <c r="M10" s="25" cm="1">
        <f t="array" ref="M10">E10*$J10</f>
        <v>0.0427117936823786</v>
      </c>
      <c r="N10" s="25" cm="1">
        <f t="array" ref="N10">F10*$J10</f>
        <v>0.423385298201237</v>
      </c>
      <c r="O10" s="25" cm="1">
        <f t="array" ref="O10">G10*$J10</f>
        <v>-0.0388574842991483</v>
      </c>
      <c r="P10" s="2"/>
      <c r="Q10" s="25">
        <v>0.0178000000000011</v>
      </c>
      <c r="R10" s="25">
        <v>1</v>
      </c>
      <c r="S10" s="25" cm="1">
        <f t="array" ref="S10">L10/$Q10</f>
        <v>7.74350892290357</v>
      </c>
      <c r="T10" s="25" cm="1">
        <f t="array" ref="T10">M10/$Q10</f>
        <v>2.399538970920</v>
      </c>
      <c r="U10" s="25" cm="1">
        <f t="array" ref="U10">N10/$Q10</f>
        <v>23.7856909101804</v>
      </c>
      <c r="V10" s="25" cm="1">
        <f t="array" ref="V10">O10/$Q10</f>
        <v>-2.18300473590707</v>
      </c>
      <c r="W10" s="2"/>
      <c r="X10" s="25" cm="1">
        <f t="array" ref="X10">S10-X$3-X$13</f>
        <v>2.20702215685032</v>
      </c>
      <c r="Y10" s="25" cm="1">
        <f t="array" ref="Y10">T10-Y$3-Y$13</f>
        <v>-0.7141824838534701</v>
      </c>
      <c r="Z10" s="25" cm="1">
        <f t="array" ref="Z10">U10-Z$3-Z$13</f>
        <v>17.3716906200317</v>
      </c>
      <c r="AA10" s="25" cm="1">
        <f t="array" ref="AA10">V10-AA$3-AA$13</f>
        <v>0.245632843558</v>
      </c>
      <c r="AB10" s="2"/>
      <c r="AC10" s="32" cm="1">
        <f t="array" ref="AC10">X10</f>
        <v>2.20702215685032</v>
      </c>
      <c r="AD10" s="32" cm="1">
        <f t="array" ref="AD10">Y10</f>
        <v>-0.7141824838534701</v>
      </c>
      <c r="AE10" s="32" cm="1">
        <f t="array" ref="AE10">Z10</f>
        <v>17.3716906200317</v>
      </c>
      <c r="AF10" s="32" cm="1">
        <f t="array" ref="AF10">AA10</f>
        <v>0.245632843558</v>
      </c>
    </row>
    <row r="11" ht="17" customHeight="1">
      <c r="A11" s="2"/>
      <c r="B11" t="s" s="24">
        <v>30</v>
      </c>
      <c r="C11" t="s" s="20">
        <v>31</v>
      </c>
      <c r="D11" s="28">
        <v>150.776373508971</v>
      </c>
      <c r="E11" s="29">
        <v>8.894815259007791</v>
      </c>
      <c r="F11" s="33">
        <v>5.71154088322992</v>
      </c>
      <c r="G11" s="25">
        <v>-8.353550577946431</v>
      </c>
      <c r="H11" s="2"/>
      <c r="I11" s="25">
        <v>4.7205</v>
      </c>
      <c r="J11" s="25" cm="1">
        <f t="array" ref="J11">I11/1000</f>
        <v>0.0047205</v>
      </c>
      <c r="K11" s="2"/>
      <c r="L11" s="25" cm="1">
        <f t="array" ref="L11">D11*$J11</f>
        <v>0.711739871149098</v>
      </c>
      <c r="M11" s="25" cm="1">
        <f t="array" ref="M11">E11*$J11</f>
        <v>0.0419879754301463</v>
      </c>
      <c r="N11" s="25" cm="1">
        <f t="array" ref="N11">F11*$J11</f>
        <v>0.0269613287392868</v>
      </c>
      <c r="O11" s="25" cm="1">
        <f t="array" ref="O11">G11*$J11</f>
        <v>-0.0394329355031961</v>
      </c>
      <c r="P11" s="2"/>
      <c r="Q11" s="25">
        <v>0.0182000000000002</v>
      </c>
      <c r="R11" s="25">
        <v>1</v>
      </c>
      <c r="S11" s="25" cm="1">
        <f t="array" ref="S11">L11/$Q11</f>
        <v>39.1065863268731</v>
      </c>
      <c r="T11" s="25" cm="1">
        <f t="array" ref="T11">M11/$Q11</f>
        <v>2.30703161704098</v>
      </c>
      <c r="U11" s="25" cm="1">
        <f t="array" ref="U11">N11/$Q11</f>
        <v>1.48139168897179</v>
      </c>
      <c r="V11" s="25" cm="1">
        <f t="array" ref="V11">O11/$Q11</f>
        <v>-2.16664480786789</v>
      </c>
      <c r="W11" s="2"/>
      <c r="X11" s="25" cm="1">
        <f t="array" ref="X11">S11-X$3-X$13</f>
        <v>33.5700995608199</v>
      </c>
      <c r="Y11" s="25" cm="1">
        <f t="array" ref="Y11">T11-Y$3-Y$13</f>
        <v>-0.80668983773249</v>
      </c>
      <c r="Z11" s="25" cm="1">
        <f t="array" ref="Z11">U11-Z$3-Z$13</f>
        <v>-4.93260860117689</v>
      </c>
      <c r="AA11" s="25" cm="1">
        <f t="array" ref="AA11">V11-AA$3-AA$13</f>
        <v>0.26199277159718</v>
      </c>
      <c r="AB11" s="2"/>
      <c r="AC11" s="32" cm="1">
        <f t="array" ref="AC11">X11</f>
        <v>33.5700995608199</v>
      </c>
      <c r="AD11" s="32" cm="1">
        <f t="array" ref="AD11">Y11</f>
        <v>-0.80668983773249</v>
      </c>
      <c r="AE11" s="32" cm="1">
        <f t="array" ref="AE11">Z11</f>
        <v>-4.93260860117689</v>
      </c>
      <c r="AF11" s="32" cm="1">
        <f t="array" ref="AF11">AA11</f>
        <v>0.26199277159718</v>
      </c>
    </row>
    <row r="12" ht="17" customHeight="1">
      <c r="A12" s="2"/>
      <c r="B12" t="s" s="24">
        <v>32</v>
      </c>
      <c r="C12" t="s" s="20">
        <v>33</v>
      </c>
      <c r="D12" s="28">
        <v>24.8867114668942</v>
      </c>
      <c r="E12" s="29">
        <v>15.7352691498615</v>
      </c>
      <c r="F12" s="30">
        <v>9.874943221976039</v>
      </c>
      <c r="G12" s="31">
        <v>-8.666025162190079</v>
      </c>
      <c r="H12" s="2"/>
      <c r="I12" s="25">
        <v>4.7263</v>
      </c>
      <c r="J12" s="25" cm="1">
        <f t="array" ref="J12">I12/1000</f>
        <v>0.0047263</v>
      </c>
      <c r="K12" s="2"/>
      <c r="L12" s="25" cm="1">
        <f t="array" ref="L12">D12*$J12</f>
        <v>0.117622064405982</v>
      </c>
      <c r="M12" s="25" cm="1">
        <f t="array" ref="M12">E12*$J12</f>
        <v>0.0743696025829904</v>
      </c>
      <c r="N12" s="25" cm="1">
        <f t="array" ref="N12">F12*$J12</f>
        <v>0.0466719441500254</v>
      </c>
      <c r="O12" s="25" cm="1">
        <f t="array" ref="O12">G12*$J12</f>
        <v>-0.040958234724059</v>
      </c>
      <c r="P12" s="2"/>
      <c r="Q12" s="25">
        <v>0.0175000000000001</v>
      </c>
      <c r="R12" s="25">
        <v>1</v>
      </c>
      <c r="S12" s="25" cm="1">
        <f t="array" ref="S12">L12/$Q12</f>
        <v>6.72126082319893</v>
      </c>
      <c r="T12" s="25" cm="1">
        <f t="array" ref="T12">M12/$Q12</f>
        <v>4.24969157617086</v>
      </c>
      <c r="U12" s="25" cm="1">
        <f t="array" ref="U12">N12/$Q12</f>
        <v>2.66696823714429</v>
      </c>
      <c r="V12" s="25" cm="1">
        <f t="array" ref="V12">O12/$Q12</f>
        <v>-2.3404705556605</v>
      </c>
      <c r="W12" s="2"/>
      <c r="X12" s="2"/>
      <c r="Y12" s="2"/>
      <c r="Z12" s="2"/>
      <c r="AA12" s="2"/>
      <c r="AB12" s="2"/>
      <c r="AC12" s="26"/>
      <c r="AD12" s="26"/>
      <c r="AE12" s="32" cm="1">
        <f t="array" ref="AE12">Z12</f>
        <v>0</v>
      </c>
      <c r="AF12" s="26"/>
    </row>
    <row r="13" ht="17" customHeight="1">
      <c r="A13" s="2"/>
      <c r="B13" t="s" s="24">
        <v>34</v>
      </c>
      <c r="C13" t="s" s="20">
        <v>35</v>
      </c>
      <c r="D13" s="28">
        <v>17.2332355144498</v>
      </c>
      <c r="E13" s="29">
        <v>9.543825266098761</v>
      </c>
      <c r="F13" s="33">
        <v>58.0006444876699</v>
      </c>
      <c r="G13" s="25">
        <v>-9.18477847373045</v>
      </c>
      <c r="H13" s="2"/>
      <c r="I13" s="25">
        <v>4.7004</v>
      </c>
      <c r="J13" s="25" cm="1">
        <f t="array" ref="J13">I13/1000</f>
        <v>0.0047004</v>
      </c>
      <c r="K13" s="2"/>
      <c r="L13" s="25" cm="1">
        <f t="array" ref="L13">D13*$J13</f>
        <v>0.0810031002121198</v>
      </c>
      <c r="M13" s="25" cm="1">
        <f t="array" ref="M13">E13*$J13</f>
        <v>0.0448597962807706</v>
      </c>
      <c r="N13" s="25" cm="1">
        <f t="array" ref="N13">F13*$J13</f>
        <v>0.272626229349844</v>
      </c>
      <c r="O13" s="25" cm="1">
        <f t="array" ref="O13">G13*$J13</f>
        <v>-0.0431721327379226</v>
      </c>
      <c r="P13" s="2"/>
      <c r="Q13" s="25">
        <v>0.0176999999999996</v>
      </c>
      <c r="R13" s="25">
        <v>1</v>
      </c>
      <c r="S13" s="25" cm="1">
        <f t="array" ref="S13">L13/$Q13</f>
        <v>4.57644633966789</v>
      </c>
      <c r="T13" s="25" cm="1">
        <f t="array" ref="T13">M13/$Q13</f>
        <v>2.53445176727523</v>
      </c>
      <c r="U13" s="25" cm="1">
        <f t="array" ref="U13">N13/$Q13</f>
        <v>15.4026118276752</v>
      </c>
      <c r="V13" s="25" cm="1">
        <f t="array" ref="V13">O13/$Q13</f>
        <v>-2.43910354451546</v>
      </c>
      <c r="W13" s="2"/>
      <c r="X13" s="25" cm="1">
        <f t="array" ref="X13">AVERAGE(S12:S14)</f>
        <v>5.53648676605325</v>
      </c>
      <c r="Y13" s="25" cm="1">
        <f t="array" ref="Y13">AVERAGE(T12:T14)</f>
        <v>3.11372145477347</v>
      </c>
      <c r="Z13" s="25" cm="1">
        <f t="array" ref="Z13">AVERAGE(U12:U14)</f>
        <v>6.41400029014868</v>
      </c>
      <c r="AA13" s="25" cm="1">
        <f t="array" ref="AA13">AVERAGE(V12:V14)</f>
        <v>-2.42863757946507</v>
      </c>
      <c r="AB13" s="2"/>
      <c r="AC13" s="26"/>
      <c r="AD13" s="26"/>
      <c r="AE13" s="26"/>
      <c r="AF13" s="26"/>
    </row>
    <row r="14" ht="17" customHeight="1">
      <c r="A14" s="2"/>
      <c r="B14" t="s" s="24">
        <v>36</v>
      </c>
      <c r="C14" t="s" s="20">
        <v>37</v>
      </c>
      <c r="D14" s="28">
        <v>19.3401423642105</v>
      </c>
      <c r="E14" s="29">
        <v>9.31013722068637</v>
      </c>
      <c r="F14" s="30">
        <v>4.26879501250194</v>
      </c>
      <c r="G14" s="31">
        <v>-9.12560219600803</v>
      </c>
      <c r="H14" s="2"/>
      <c r="I14" s="25">
        <v>4.6965</v>
      </c>
      <c r="J14" s="25" cm="1">
        <f t="array" ref="J14">I14/1000</f>
        <v>0.0046965</v>
      </c>
      <c r="K14" s="2"/>
      <c r="L14" s="25" cm="1">
        <f t="array" ref="L14">D14*$J14</f>
        <v>0.09083097861351461</v>
      </c>
      <c r="M14" s="25" cm="1">
        <f t="array" ref="M14">E14*$J14</f>
        <v>0.0437250594569535</v>
      </c>
      <c r="N14" s="25" cm="1">
        <f t="array" ref="N14">F14*$J14</f>
        <v>0.0200483957762154</v>
      </c>
      <c r="O14" s="25" cm="1">
        <f t="array" ref="O14">G14*$J14</f>
        <v>-0.0428583907135517</v>
      </c>
      <c r="P14" s="2"/>
      <c r="Q14" s="25">
        <v>0.017100000000001</v>
      </c>
      <c r="R14" s="25">
        <v>1</v>
      </c>
      <c r="S14" s="25" cm="1">
        <f t="array" ref="S14">L14/$Q14</f>
        <v>5.31175313529294</v>
      </c>
      <c r="T14" s="25" cm="1">
        <f t="array" ref="T14">M14/$Q14</f>
        <v>2.55702102087432</v>
      </c>
      <c r="U14" s="25" cm="1">
        <f t="array" ref="U14">N14/$Q14</f>
        <v>1.17242080562656</v>
      </c>
      <c r="V14" s="25" cm="1">
        <f t="array" ref="V14">O14/$Q14</f>
        <v>-2.50633863821925</v>
      </c>
      <c r="W14" s="2"/>
      <c r="X14" s="2"/>
      <c r="Y14" s="2"/>
      <c r="Z14" s="2"/>
      <c r="AA14" s="2"/>
      <c r="AB14" s="2"/>
      <c r="AC14" s="26"/>
      <c r="AD14" s="26"/>
      <c r="AE14" s="26"/>
      <c r="AF14" s="26"/>
    </row>
    <row r="15" ht="17" customHeight="1">
      <c r="A15" s="2"/>
      <c r="B15" t="s" s="24">
        <v>38</v>
      </c>
      <c r="C15" t="s" s="20">
        <v>39</v>
      </c>
      <c r="D15" s="28">
        <v>13.1042998065913</v>
      </c>
      <c r="E15" s="29">
        <v>9.64275604435038</v>
      </c>
      <c r="F15" s="33">
        <v>6.96409019361688</v>
      </c>
      <c r="G15" s="25">
        <v>-6.74801243947778</v>
      </c>
      <c r="H15" s="2"/>
      <c r="I15" s="25">
        <v>4.7172</v>
      </c>
      <c r="J15" s="25" cm="1">
        <f t="array" ref="J15">I15/1000</f>
        <v>0.0047172</v>
      </c>
      <c r="K15" s="2"/>
      <c r="L15" s="25" cm="1">
        <f t="array" ref="L15">D15*$J15</f>
        <v>0.0618156030476525</v>
      </c>
      <c r="M15" s="25" cm="1">
        <f t="array" ref="M15">E15*$J15</f>
        <v>0.0454868088124096</v>
      </c>
      <c r="N15" s="25" cm="1">
        <f t="array" ref="N15">F15*$J15</f>
        <v>0.0328510062613295</v>
      </c>
      <c r="O15" s="25" cm="1">
        <f t="array" ref="O15">G15*$J15</f>
        <v>-0.0318317242795046</v>
      </c>
      <c r="P15" s="2"/>
      <c r="Q15" s="25">
        <v>0.0167999999999999</v>
      </c>
      <c r="R15" s="25">
        <v>1</v>
      </c>
      <c r="S15" s="25" cm="1">
        <f t="array" ref="S15">L15/$Q15</f>
        <v>3.67950018140791</v>
      </c>
      <c r="T15" s="25" cm="1">
        <f t="array" ref="T15">M15/$Q15</f>
        <v>2.70754814359583</v>
      </c>
      <c r="U15" s="25" cm="1">
        <f t="array" ref="U15">N15/$Q15</f>
        <v>1.95541703936486</v>
      </c>
      <c r="V15" s="25" cm="1">
        <f t="array" ref="V15">O15/$Q15</f>
        <v>-1.89474549282767</v>
      </c>
      <c r="W15" s="2"/>
      <c r="X15" s="25" cm="1">
        <f t="array" ref="X15">S15-X$3-X$22</f>
        <v>-1.84284945911157</v>
      </c>
      <c r="Y15" s="25" cm="1">
        <f t="array" ref="Y15">T15-Y$3-Y$22</f>
        <v>-0.22372558801373</v>
      </c>
      <c r="Z15" s="25" cm="1">
        <f t="array" ref="Z15">U15-Z$3-Z$22</f>
        <v>-8.62689119852134</v>
      </c>
      <c r="AA15" s="25" cm="1">
        <f t="array" ref="AA15">V15-AA$3-AA$22</f>
        <v>-0.14744563930519</v>
      </c>
      <c r="AB15" s="2"/>
      <c r="AC15" s="32" cm="1">
        <f t="array" ref="AC15">X15</f>
        <v>-1.84284945911157</v>
      </c>
      <c r="AD15" s="32" cm="1">
        <f t="array" ref="AD15">Y15</f>
        <v>-0.22372558801373</v>
      </c>
      <c r="AE15" s="32" cm="1">
        <f t="array" ref="AE15">Z15</f>
        <v>-8.62689119852134</v>
      </c>
      <c r="AF15" s="32" cm="1">
        <f t="array" ref="AF15">AA15</f>
        <v>-0.14744563930519</v>
      </c>
    </row>
    <row r="16" ht="17" customHeight="1">
      <c r="A16" s="2"/>
      <c r="B16" t="s" s="24">
        <v>40</v>
      </c>
      <c r="C16" t="s" s="20">
        <v>41</v>
      </c>
      <c r="D16" s="28">
        <v>15.2743021132922</v>
      </c>
      <c r="E16" s="29">
        <v>10.2816895108654</v>
      </c>
      <c r="F16" s="30">
        <v>12.6366863816982</v>
      </c>
      <c r="G16" s="31">
        <v>-5.19931508336404</v>
      </c>
      <c r="H16" s="2"/>
      <c r="I16" s="25">
        <v>4.708</v>
      </c>
      <c r="J16" s="25" cm="1">
        <f t="array" ref="J16">I16/1000</f>
        <v>0.004708</v>
      </c>
      <c r="K16" s="2"/>
      <c r="L16" s="25" cm="1">
        <f t="array" ref="L16">D16*$J16</f>
        <v>0.0719114143493797</v>
      </c>
      <c r="M16" s="25" cm="1">
        <f t="array" ref="M16">E16*$J16</f>
        <v>0.0484061942171543</v>
      </c>
      <c r="N16" s="25" cm="1">
        <f t="array" ref="N16">F16*$J16</f>
        <v>0.0594935194850351</v>
      </c>
      <c r="O16" s="25" cm="1">
        <f t="array" ref="O16">G16*$J16</f>
        <v>-0.0244783754124779</v>
      </c>
      <c r="P16" s="2"/>
      <c r="Q16" s="25">
        <v>0.017199999999999</v>
      </c>
      <c r="R16" s="25">
        <v>1</v>
      </c>
      <c r="S16" s="25" cm="1">
        <f t="array" ref="S16">L16/$Q16</f>
        <v>4.18089618310371</v>
      </c>
      <c r="T16" s="25" cm="1">
        <f t="array" ref="T16">M16/$Q16</f>
        <v>2.81431361727658</v>
      </c>
      <c r="U16" s="25" cm="1">
        <f t="array" ref="U16">N16/$Q16</f>
        <v>3.45892555145573</v>
      </c>
      <c r="V16" s="25" cm="1">
        <f t="array" ref="V16">O16/$Q16</f>
        <v>-1.42316136119066</v>
      </c>
      <c r="W16" s="2"/>
      <c r="X16" s="25" cm="1">
        <f t="array" ref="X16">S16-X$3-X$22</f>
        <v>-1.34145345741577</v>
      </c>
      <c r="Y16" s="25" cm="1">
        <f t="array" ref="Y16">T16-Y$3-Y$22</f>
        <v>-0.11696011433298</v>
      </c>
      <c r="Z16" s="25" cm="1">
        <f t="array" ref="Z16">U16-Z$3-Z$22</f>
        <v>-7.12338268643047</v>
      </c>
      <c r="AA16" s="25" cm="1">
        <f t="array" ref="AA16">V16-AA$3-AA$22</f>
        <v>0.32413849233182</v>
      </c>
      <c r="AB16" s="2"/>
      <c r="AC16" s="32" cm="1">
        <f t="array" ref="AC16">X16</f>
        <v>-1.34145345741577</v>
      </c>
      <c r="AD16" s="32" cm="1">
        <f t="array" ref="AD16">Y16</f>
        <v>-0.11696011433298</v>
      </c>
      <c r="AE16" s="32" cm="1">
        <f t="array" ref="AE16">Z16</f>
        <v>-7.12338268643047</v>
      </c>
      <c r="AF16" s="32" cm="1">
        <f t="array" ref="AF16">AA16</f>
        <v>0.32413849233182</v>
      </c>
    </row>
    <row r="17" ht="17" customHeight="1">
      <c r="A17" s="2"/>
      <c r="B17" t="s" s="24">
        <v>42</v>
      </c>
      <c r="C17" t="s" s="20">
        <v>43</v>
      </c>
      <c r="D17" s="28">
        <v>12.8983523240688</v>
      </c>
      <c r="E17" s="29">
        <v>14.395686611955</v>
      </c>
      <c r="F17" s="33">
        <v>8.014604141763989</v>
      </c>
      <c r="G17" s="25">
        <v>-6.46961554188423</v>
      </c>
      <c r="H17" s="2"/>
      <c r="I17" s="25">
        <v>4.7133</v>
      </c>
      <c r="J17" s="25" cm="1">
        <f t="array" ref="J17">I17/1000</f>
        <v>0.0047133</v>
      </c>
      <c r="K17" s="2"/>
      <c r="L17" s="25" cm="1">
        <f t="array" ref="L17">D17*$J17</f>
        <v>0.0607938040090335</v>
      </c>
      <c r="M17" s="25" cm="1">
        <f t="array" ref="M17">E17*$J17</f>
        <v>0.06785118970812749</v>
      </c>
      <c r="N17" s="25" cm="1">
        <f t="array" ref="N17">F17*$J17</f>
        <v>0.0377752337013762</v>
      </c>
      <c r="O17" s="25" cm="1">
        <f t="array" ref="O17">G17*$J17</f>
        <v>-0.0304932389335629</v>
      </c>
      <c r="P17" s="2"/>
      <c r="Q17" s="25">
        <v>0.0175999999999998</v>
      </c>
      <c r="R17" s="25">
        <v>1</v>
      </c>
      <c r="S17" s="25" cm="1">
        <f t="array" ref="S17">L17/$Q17</f>
        <v>3.45419340960422</v>
      </c>
      <c r="T17" s="25" cm="1">
        <f t="array" ref="T17">M17/$Q17</f>
        <v>3.85518123341638</v>
      </c>
      <c r="U17" s="25" cm="1">
        <f t="array" ref="U17">N17/$Q17</f>
        <v>2.14632009666913</v>
      </c>
      <c r="V17" s="25" cm="1">
        <f t="array" ref="V17">O17/$Q17</f>
        <v>-1.73257039395246</v>
      </c>
      <c r="W17" s="2"/>
      <c r="X17" s="25" cm="1">
        <f t="array" ref="X17">S17-X$3-X$22</f>
        <v>-2.06815623091526</v>
      </c>
      <c r="Y17" s="25" cm="1">
        <f t="array" ref="Y17">T17-Y$3-Y$22</f>
        <v>0.92390750180682</v>
      </c>
      <c r="Z17" s="25" cm="1">
        <f t="array" ref="Z17">U17-Z$3-Z$22</f>
        <v>-8.43598814121707</v>
      </c>
      <c r="AA17" s="25" cm="1">
        <f t="array" ref="AA17">V17-AA$3-AA$22</f>
        <v>0.01472945957002</v>
      </c>
      <c r="AB17" s="2"/>
      <c r="AC17" s="32" cm="1">
        <f t="array" ref="AC17">X17</f>
        <v>-2.06815623091526</v>
      </c>
      <c r="AD17" s="32" cm="1">
        <f t="array" ref="AD17">Y17</f>
        <v>0.92390750180682</v>
      </c>
      <c r="AE17" s="32" cm="1">
        <f t="array" ref="AE17">Z17</f>
        <v>-8.43598814121707</v>
      </c>
      <c r="AF17" s="32" cm="1">
        <f t="array" ref="AF17">AA17</f>
        <v>0.01472945957002</v>
      </c>
    </row>
    <row r="18" ht="17" customHeight="1">
      <c r="A18" s="2"/>
      <c r="B18" t="s" s="24">
        <v>44</v>
      </c>
      <c r="C18" t="s" s="20">
        <v>45</v>
      </c>
      <c r="D18" s="28">
        <v>61.6121565397709</v>
      </c>
      <c r="E18" s="29">
        <v>10.411184235649</v>
      </c>
      <c r="F18" s="30">
        <v>17.8897419718705</v>
      </c>
      <c r="G18" s="31">
        <v>-6.3988066903258</v>
      </c>
      <c r="H18" s="2"/>
      <c r="I18" s="25">
        <v>4.6935</v>
      </c>
      <c r="J18" s="25" cm="1">
        <f t="array" ref="J18">I18/1000</f>
        <v>0.0046935</v>
      </c>
      <c r="K18" s="2"/>
      <c r="L18" s="25" cm="1">
        <f t="array" ref="L18">D18*$J18</f>
        <v>0.289176656719415</v>
      </c>
      <c r="M18" s="25" cm="1">
        <f t="array" ref="M18">E18*$J18</f>
        <v>0.0488648932100186</v>
      </c>
      <c r="N18" s="25" cm="1">
        <f t="array" ref="N18">F18*$J18</f>
        <v>0.08396550394497421</v>
      </c>
      <c r="O18" s="25" cm="1">
        <f t="array" ref="O18">G18*$J18</f>
        <v>-0.0300327992010441</v>
      </c>
      <c r="P18" s="2"/>
      <c r="Q18" s="25">
        <v>0.0180000000000007</v>
      </c>
      <c r="R18" s="25">
        <v>1</v>
      </c>
      <c r="S18" s="25" cm="1">
        <f t="array" ref="S18">L18/$Q18</f>
        <v>16.0653698177447</v>
      </c>
      <c r="T18" s="25" cm="1">
        <f t="array" ref="T18">M18/$Q18</f>
        <v>2.71471628944537</v>
      </c>
      <c r="U18" s="25" cm="1">
        <f t="array" ref="U18">N18/$Q18</f>
        <v>4.66475021916505</v>
      </c>
      <c r="V18" s="25" cm="1">
        <f t="array" ref="V18">O18/$Q18</f>
        <v>-1.66848884450239</v>
      </c>
      <c r="W18" s="2"/>
      <c r="X18" s="25" cm="1">
        <f t="array" ref="X18">S18-X$3-X$22</f>
        <v>10.5430201772252</v>
      </c>
      <c r="Y18" s="25" cm="1">
        <f t="array" ref="Y18">T18-Y$3-Y$22</f>
        <v>-0.21655744216419</v>
      </c>
      <c r="Z18" s="25" cm="1">
        <f t="array" ref="Z18">U18-Z$3-Z$22</f>
        <v>-5.91755801872115</v>
      </c>
      <c r="AA18" s="25" cm="1">
        <f t="array" ref="AA18">V18-AA$3-AA$22</f>
        <v>0.07881100902009</v>
      </c>
      <c r="AB18" s="2"/>
      <c r="AC18" s="32" cm="1">
        <f t="array" ref="AC18">X18</f>
        <v>10.5430201772252</v>
      </c>
      <c r="AD18" s="32" cm="1">
        <f t="array" ref="AD18">Y18</f>
        <v>-0.21655744216419</v>
      </c>
      <c r="AE18" s="32" cm="1">
        <f t="array" ref="AE18">Z18</f>
        <v>-5.91755801872115</v>
      </c>
      <c r="AF18" s="32" cm="1">
        <f t="array" ref="AF18">AA18</f>
        <v>0.07881100902009</v>
      </c>
    </row>
    <row r="19" ht="17" customHeight="1">
      <c r="A19" s="2"/>
      <c r="B19" t="s" s="24">
        <v>46</v>
      </c>
      <c r="C19" t="s" s="20">
        <v>47</v>
      </c>
      <c r="D19" s="28">
        <v>17.2452587046768</v>
      </c>
      <c r="E19" s="29">
        <v>9.492470137146629</v>
      </c>
      <c r="F19" s="33">
        <v>13.4204228735386</v>
      </c>
      <c r="G19" s="25">
        <v>-6.43273002234422</v>
      </c>
      <c r="H19" s="2"/>
      <c r="I19" s="25">
        <v>4.6862</v>
      </c>
      <c r="J19" s="25" cm="1">
        <f t="array" ref="J19">I19/1000</f>
        <v>0.0046862</v>
      </c>
      <c r="K19" s="2"/>
      <c r="L19" s="25" cm="1">
        <f t="array" ref="L19">D19*$J19</f>
        <v>0.08081473134185641</v>
      </c>
      <c r="M19" s="25" cm="1">
        <f t="array" ref="M19">E19*$J19</f>
        <v>0.0444836135566965</v>
      </c>
      <c r="N19" s="25" cm="1">
        <f t="array" ref="N19">F19*$J19</f>
        <v>0.06289078566997661</v>
      </c>
      <c r="O19" s="25" cm="1">
        <f t="array" ref="O19">G19*$J19</f>
        <v>-0.0301450594307095</v>
      </c>
      <c r="P19" s="2"/>
      <c r="Q19" s="25">
        <v>0.0175000000000001</v>
      </c>
      <c r="R19" s="25">
        <v>1</v>
      </c>
      <c r="S19" s="25" cm="1">
        <f t="array" ref="S19">L19/$Q19</f>
        <v>4.61798464810605</v>
      </c>
      <c r="T19" s="25" cm="1">
        <f t="array" ref="T19">M19/$Q19</f>
        <v>2.54192077466836</v>
      </c>
      <c r="U19" s="25" cm="1">
        <f t="array" ref="U19">N19/$Q19</f>
        <v>3.5937591811415</v>
      </c>
      <c r="V19" s="25" cm="1">
        <f t="array" ref="V19">O19/$Q19</f>
        <v>-1.72257482461196</v>
      </c>
      <c r="W19" s="2"/>
      <c r="X19" s="25" cm="1">
        <f t="array" ref="X19">S19-X$3-X$22</f>
        <v>-0.90436499241343</v>
      </c>
      <c r="Y19" s="25" cm="1">
        <f t="array" ref="Y19">T19-Y$3-Y$22</f>
        <v>-0.3893529569412</v>
      </c>
      <c r="Z19" s="25" cm="1">
        <f t="array" ref="Z19">U19-Z$3-Z$22</f>
        <v>-6.9885490567447</v>
      </c>
      <c r="AA19" s="25" cm="1">
        <f t="array" ref="AA19">V19-AA$3-AA$22</f>
        <v>0.02472502891052</v>
      </c>
      <c r="AB19" s="2"/>
      <c r="AC19" s="32" cm="1">
        <f t="array" ref="AC19">X19</f>
        <v>-0.90436499241343</v>
      </c>
      <c r="AD19" s="32" cm="1">
        <f t="array" ref="AD19">Y19</f>
        <v>-0.3893529569412</v>
      </c>
      <c r="AE19" s="32" cm="1">
        <f t="array" ref="AE19">Z19</f>
        <v>-6.9885490567447</v>
      </c>
      <c r="AF19" s="32" cm="1">
        <f t="array" ref="AF19">AA19</f>
        <v>0.02472502891052</v>
      </c>
    </row>
    <row r="20" ht="17" customHeight="1">
      <c r="A20" s="2"/>
      <c r="B20" t="s" s="24">
        <v>48</v>
      </c>
      <c r="C20" t="s" s="20">
        <v>49</v>
      </c>
      <c r="D20" s="28">
        <v>16.647917581544</v>
      </c>
      <c r="E20" s="29">
        <v>7.45317436251193</v>
      </c>
      <c r="F20" s="30">
        <v>4.80256731643554</v>
      </c>
      <c r="G20" s="31">
        <v>-6.49749770487544</v>
      </c>
      <c r="H20" s="2"/>
      <c r="I20" s="25">
        <v>4.7149</v>
      </c>
      <c r="J20" s="25" cm="1">
        <f t="array" ref="J20">I20/1000</f>
        <v>0.0047149</v>
      </c>
      <c r="K20" s="2"/>
      <c r="L20" s="25" cm="1">
        <f t="array" ref="L20">D20*$J20</f>
        <v>0.0784932666052218</v>
      </c>
      <c r="M20" s="25" cm="1">
        <f t="array" ref="M20">E20*$J20</f>
        <v>0.0351409718018075</v>
      </c>
      <c r="N20" s="25" cm="1">
        <f t="array" ref="N20">F20*$J20</f>
        <v>0.0226436246402619</v>
      </c>
      <c r="O20" s="25" cm="1">
        <f t="array" ref="O20">G20*$J20</f>
        <v>-0.0306350519287172</v>
      </c>
      <c r="P20" s="2"/>
      <c r="Q20" s="25">
        <v>0.0179000000000009</v>
      </c>
      <c r="R20" s="25">
        <v>1</v>
      </c>
      <c r="S20" s="25" cm="1">
        <f t="array" ref="S20">L20/$Q20</f>
        <v>4.38509869302893</v>
      </c>
      <c r="T20" s="25" cm="1">
        <f t="array" ref="T20">M20/$Q20</f>
        <v>1.96318278222378</v>
      </c>
      <c r="U20" s="25" cm="1">
        <f t="array" ref="U20">N20/$Q20</f>
        <v>1.26500696314306</v>
      </c>
      <c r="V20" s="25" cm="1">
        <f t="array" ref="V20">O20/$Q20</f>
        <v>-1.71145541501205</v>
      </c>
      <c r="W20" s="2"/>
      <c r="X20" s="25" cm="1">
        <f t="array" ref="X20">S20-X$3-X$22</f>
        <v>-1.13725094749055</v>
      </c>
      <c r="Y20" s="25" cm="1">
        <f t="array" ref="Y20">T20-Y$3-Y$22</f>
        <v>-0.96809094938578</v>
      </c>
      <c r="Z20" s="25" cm="1">
        <f t="array" ref="Z20">U20-Z$3-Z$22</f>
        <v>-9.317301274743141</v>
      </c>
      <c r="AA20" s="25" cm="1">
        <f t="array" ref="AA20">V20-AA$3-AA$22</f>
        <v>0.03584443851043</v>
      </c>
      <c r="AB20" s="2"/>
      <c r="AC20" s="32" cm="1">
        <f t="array" ref="AC20">X20</f>
        <v>-1.13725094749055</v>
      </c>
      <c r="AD20" s="32" cm="1">
        <f t="array" ref="AD20">Y20</f>
        <v>-0.96809094938578</v>
      </c>
      <c r="AE20" s="32" cm="1">
        <f t="array" ref="AE20">Z20</f>
        <v>-9.317301274743141</v>
      </c>
      <c r="AF20" s="32" cm="1">
        <f t="array" ref="AF20">AA20</f>
        <v>0.03584443851043</v>
      </c>
    </row>
    <row r="21" ht="17" customHeight="1">
      <c r="A21" s="2"/>
      <c r="B21" t="s" s="24">
        <v>50</v>
      </c>
      <c r="C21" t="s" s="20">
        <v>51</v>
      </c>
      <c r="D21" s="28">
        <v>11.7135684079459</v>
      </c>
      <c r="E21" s="29">
        <v>7.18257004044942</v>
      </c>
      <c r="F21" s="33">
        <v>10.9269596269432</v>
      </c>
      <c r="G21" s="25">
        <v>-6.84797691495934</v>
      </c>
      <c r="H21" s="2"/>
      <c r="I21" s="25">
        <v>4.7299</v>
      </c>
      <c r="J21" s="25" cm="1">
        <f t="array" ref="J21">I21/1000</f>
        <v>0.0047299</v>
      </c>
      <c r="K21" s="2"/>
      <c r="L21" s="25" cm="1">
        <f t="array" ref="L21">D21*$J21</f>
        <v>0.0554040072127433</v>
      </c>
      <c r="M21" s="25" cm="1">
        <f t="array" ref="M21">E21*$J21</f>
        <v>0.0339728380343217</v>
      </c>
      <c r="N21" s="25" cm="1">
        <f t="array" ref="N21">F21*$J21</f>
        <v>0.0516834263394786</v>
      </c>
      <c r="O21" s="25" cm="1">
        <f t="array" ref="O21">G21*$J21</f>
        <v>-0.0323902460100662</v>
      </c>
      <c r="P21" s="2"/>
      <c r="Q21" s="25">
        <v>0.0184000000000015</v>
      </c>
      <c r="R21" s="25">
        <v>1</v>
      </c>
      <c r="S21" s="25" cm="1">
        <f t="array" ref="S21">L21/$Q21</f>
        <v>3.01108734851841</v>
      </c>
      <c r="T21" s="25" cm="1">
        <f t="array" ref="T21">M21/$Q21</f>
        <v>1.84634989316951</v>
      </c>
      <c r="U21" s="25" cm="1">
        <f t="array" ref="U21">N21/$Q21</f>
        <v>2.80888186627578</v>
      </c>
      <c r="V21" s="25" cm="1">
        <f t="array" ref="V21">O21/$Q21</f>
        <v>-1.76033945706867</v>
      </c>
      <c r="W21" s="2"/>
      <c r="X21" s="2"/>
      <c r="Y21" s="2"/>
      <c r="Z21" s="2"/>
      <c r="AA21" s="2"/>
      <c r="AB21" s="2"/>
      <c r="AC21" s="26"/>
      <c r="AD21" s="26"/>
      <c r="AE21" s="26"/>
      <c r="AF21" s="26"/>
    </row>
    <row r="22" ht="17" customHeight="1">
      <c r="A22" s="2"/>
      <c r="B22" t="s" s="24">
        <v>52</v>
      </c>
      <c r="C22" t="s" s="20">
        <v>53</v>
      </c>
      <c r="D22" s="28">
        <v>34.6205848540528</v>
      </c>
      <c r="E22" s="29">
        <v>10.7704940483173</v>
      </c>
      <c r="F22" s="30">
        <v>8.467604164658191</v>
      </c>
      <c r="G22" s="31">
        <v>-6.67627910266544</v>
      </c>
      <c r="H22" s="2"/>
      <c r="I22" s="25">
        <v>4.7298</v>
      </c>
      <c r="J22" s="25" cm="1">
        <f t="array" ref="J22">I22/1000</f>
        <v>0.0047298</v>
      </c>
      <c r="K22" s="2"/>
      <c r="L22" s="25" cm="1">
        <f t="array" ref="L22">D22*$J22</f>
        <v>0.163748442242699</v>
      </c>
      <c r="M22" s="25" cm="1">
        <f t="array" ref="M22">E22*$J22</f>
        <v>0.0509422827497312</v>
      </c>
      <c r="N22" s="25" cm="1">
        <f t="array" ref="N22">F22*$J22</f>
        <v>0.0400500741780003</v>
      </c>
      <c r="O22" s="25" cm="1">
        <f t="array" ref="O22">G22*$J22</f>
        <v>-0.031577464899787</v>
      </c>
      <c r="P22" s="2"/>
      <c r="Q22" s="25">
        <v>0.0180999999999987</v>
      </c>
      <c r="R22" s="25">
        <v>1</v>
      </c>
      <c r="S22" s="25" cm="1">
        <f t="array" ref="S22">L22/$Q22</f>
        <v>9.04687526202822</v>
      </c>
      <c r="T22" s="25" cm="1">
        <f t="array" ref="T22">M22/$Q22</f>
        <v>2.81449075965386</v>
      </c>
      <c r="U22" s="25" cm="1">
        <f t="array" ref="U22">N22/$Q22</f>
        <v>2.21271128055266</v>
      </c>
      <c r="V22" s="25" cm="1">
        <f t="array" ref="V22">O22/$Q22</f>
        <v>-1.74461132043035</v>
      </c>
      <c r="W22" s="2"/>
      <c r="X22" s="25" cm="1">
        <f t="array" ref="X22">AVERAGE(S21:S23)</f>
        <v>5.52234964051948</v>
      </c>
      <c r="Y22" s="25" cm="1">
        <f t="array" ref="Y22">AVERAGE(T21:T23)</f>
        <v>2.93127373160956</v>
      </c>
      <c r="Z22" s="25" cm="1">
        <f t="array" ref="Z22">AVERAGE(U21:U23)</f>
        <v>10.5823082378862</v>
      </c>
      <c r="AA22" s="25" cm="1">
        <f t="array" ref="AA22">AVERAGE(V21:V23)</f>
        <v>-1.74729985352248</v>
      </c>
      <c r="AB22" s="2"/>
      <c r="AC22" s="26"/>
      <c r="AD22" s="26"/>
      <c r="AE22" s="26"/>
      <c r="AF22" s="26"/>
    </row>
    <row r="23" ht="17" customHeight="1">
      <c r="A23" s="2"/>
      <c r="B23" t="s" s="24">
        <v>54</v>
      </c>
      <c r="C23" t="s" s="20">
        <v>55</v>
      </c>
      <c r="D23" s="28">
        <v>17.6398324876932</v>
      </c>
      <c r="E23" s="29">
        <v>16.1684827939143</v>
      </c>
      <c r="F23" s="33">
        <v>104.551197182818</v>
      </c>
      <c r="G23" s="25">
        <v>-6.79505413285247</v>
      </c>
      <c r="H23" s="2"/>
      <c r="I23" s="25">
        <v>4.7034</v>
      </c>
      <c r="J23" s="25" cm="1">
        <f t="array" ref="J23">I23/1000</f>
        <v>0.0047034</v>
      </c>
      <c r="K23" s="2"/>
      <c r="L23" s="25" cm="1">
        <f t="array" ref="L23">D23*$J23</f>
        <v>0.08296718812261621</v>
      </c>
      <c r="M23" s="25" cm="1">
        <f t="array" ref="M23">E23*$J23</f>
        <v>0.0760468419728965</v>
      </c>
      <c r="N23" s="25" cm="1">
        <f t="array" ref="N23">F23*$J23</f>
        <v>0.491746100829666</v>
      </c>
      <c r="O23" s="25" cm="1">
        <f t="array" ref="O23">G23*$J23</f>
        <v>-0.0319598576084583</v>
      </c>
      <c r="P23" s="2"/>
      <c r="Q23" s="25">
        <v>0.0183999999999997</v>
      </c>
      <c r="R23" s="25">
        <v>1</v>
      </c>
      <c r="S23" s="25" cm="1">
        <f t="array" ref="S23">L23/$Q23</f>
        <v>4.50908631101182</v>
      </c>
      <c r="T23" s="25" cm="1">
        <f t="array" ref="T23">M23/$Q23</f>
        <v>4.13298054200531</v>
      </c>
      <c r="U23" s="25" cm="1">
        <f t="array" ref="U23">N23/$Q23</f>
        <v>26.7253315668301</v>
      </c>
      <c r="V23" s="25" cm="1">
        <f t="array" ref="V23">O23/$Q23</f>
        <v>-1.73694878306841</v>
      </c>
      <c r="W23" s="2"/>
      <c r="X23" s="2"/>
      <c r="Y23" s="2"/>
      <c r="Z23" s="2"/>
      <c r="AA23" s="2"/>
      <c r="AB23" s="2"/>
      <c r="AC23" s="26"/>
      <c r="AD23" s="32" cm="1">
        <f t="array" ref="AD23">AVERAGE(AD24:AD26)</f>
        <v>1.49532599309123</v>
      </c>
      <c r="AE23" s="26"/>
      <c r="AF23" s="26"/>
    </row>
    <row r="24" ht="17" customHeight="1">
      <c r="A24" s="2"/>
      <c r="B24" t="s" s="24">
        <v>56</v>
      </c>
      <c r="C24" t="s" s="20">
        <v>57</v>
      </c>
      <c r="D24" s="28">
        <v>21.4124199871973</v>
      </c>
      <c r="E24" s="29">
        <v>12.4876881811314</v>
      </c>
      <c r="F24" s="30">
        <v>10.3055348773786</v>
      </c>
      <c r="G24" s="31">
        <v>-7.03471784402791</v>
      </c>
      <c r="H24" s="2"/>
      <c r="I24" s="25">
        <v>4.7184</v>
      </c>
      <c r="J24" s="25" cm="1">
        <f t="array" ref="J24">I24/1000</f>
        <v>0.0047184</v>
      </c>
      <c r="K24" s="2"/>
      <c r="L24" s="25" cm="1">
        <f t="array" ref="L24">D24*$J24</f>
        <v>0.101032362467592</v>
      </c>
      <c r="M24" s="25" cm="1">
        <f t="array" ref="M24">E24*$J24</f>
        <v>0.0589219079138504</v>
      </c>
      <c r="N24" s="25" cm="1">
        <f t="array" ref="N24">F24*$J24</f>
        <v>0.0486256357654232</v>
      </c>
      <c r="O24" s="25" cm="1">
        <f t="array" ref="O24">G24*$J24</f>
        <v>-0.0331926126752613</v>
      </c>
      <c r="P24" s="2"/>
      <c r="Q24" s="25">
        <v>0.0183</v>
      </c>
      <c r="R24" s="25">
        <v>1</v>
      </c>
      <c r="S24" s="25" cm="1">
        <f t="array" ref="S24">L24/$Q24</f>
        <v>5.52089412391213</v>
      </c>
      <c r="T24" s="25" cm="1">
        <f t="array" ref="T24">M24/$Q24</f>
        <v>3.21977638873499</v>
      </c>
      <c r="U24" s="25" cm="1">
        <f t="array" ref="U24">N24/$Q24</f>
        <v>2.65713856641657</v>
      </c>
      <c r="V24" s="25" cm="1">
        <f t="array" ref="V24">O24/$Q24</f>
        <v>-1.81380397132575</v>
      </c>
      <c r="W24" s="2"/>
      <c r="X24" s="25" cm="1">
        <f t="array" ref="X24">S24-X$3-X$31</f>
        <v>-0.47331433427307</v>
      </c>
      <c r="Y24" s="25" cm="1">
        <f t="array" ref="Y24">T24-Y$3-Y$31</f>
        <v>-0.08713021509898</v>
      </c>
      <c r="Z24" s="25" cm="1">
        <f t="array" ref="Z24">U24-Z$3-Z$31</f>
        <v>-0.62291667535136</v>
      </c>
      <c r="AA24" s="25" cm="1">
        <f t="array" ref="AA24">V24-AA$3-AA$31</f>
        <v>-0.12130703318538</v>
      </c>
      <c r="AB24" s="2"/>
      <c r="AC24" s="32" cm="1">
        <f t="array" ref="AC24">X24</f>
        <v>-0.47331433427307</v>
      </c>
      <c r="AD24" s="32" cm="1">
        <f t="array" ref="AD24">Y24</f>
        <v>-0.08713021509898</v>
      </c>
      <c r="AE24" s="32" cm="1">
        <f t="array" ref="AE24">Z24</f>
        <v>-0.62291667535136</v>
      </c>
      <c r="AF24" s="32" cm="1">
        <f t="array" ref="AF24">AA24</f>
        <v>-0.12130703318538</v>
      </c>
    </row>
    <row r="25" ht="17" customHeight="1">
      <c r="A25" s="2"/>
      <c r="B25" t="s" s="24">
        <v>58</v>
      </c>
      <c r="C25" t="s" s="20">
        <v>59</v>
      </c>
      <c r="D25" s="28">
        <v>33.0092124203434</v>
      </c>
      <c r="E25" s="29">
        <v>30.7909165583617</v>
      </c>
      <c r="F25" s="33">
        <v>15.5024778970867</v>
      </c>
      <c r="G25" s="25">
        <v>-6.90119373722742</v>
      </c>
      <c r="H25" s="2"/>
      <c r="I25" s="25">
        <v>4.6816</v>
      </c>
      <c r="J25" s="25" cm="1">
        <f t="array" ref="J25">I25/1000</f>
        <v>0.0046816</v>
      </c>
      <c r="K25" s="2"/>
      <c r="L25" s="25" cm="1">
        <f t="array" ref="L25">D25*$J25</f>
        <v>0.15453592886708</v>
      </c>
      <c r="M25" s="25" cm="1">
        <f t="array" ref="M25">E25*$J25</f>
        <v>0.144150754959626</v>
      </c>
      <c r="N25" s="25" cm="1">
        <f t="array" ref="N25">F25*$J25</f>
        <v>0.0725764005230011</v>
      </c>
      <c r="O25" s="25" cm="1">
        <f t="array" ref="O25">G25*$J25</f>
        <v>-0.0323086286002039</v>
      </c>
      <c r="P25" s="2"/>
      <c r="Q25" s="25">
        <v>0.0181999999999984</v>
      </c>
      <c r="R25" s="25">
        <v>1</v>
      </c>
      <c r="S25" s="25" cm="1">
        <f t="array" ref="S25">L25/$Q25</f>
        <v>8.49098510258756</v>
      </c>
      <c r="T25" s="25" cm="1">
        <f t="array" ref="T25">M25/$Q25</f>
        <v>7.9203711516285</v>
      </c>
      <c r="U25" s="25" cm="1">
        <f t="array" ref="U25">N25/$Q25</f>
        <v>3.98771431445096</v>
      </c>
      <c r="V25" s="25" cm="1">
        <f t="array" ref="V25">O25/$Q25</f>
        <v>-1.77519937363773</v>
      </c>
      <c r="W25" s="2"/>
      <c r="X25" s="25" cm="1">
        <f t="array" ref="X25">S25-X$3-X$31</f>
        <v>2.49677664440236</v>
      </c>
      <c r="Y25" s="25" cm="1">
        <f t="array" ref="Y25">T25-Y$3-Y$31</f>
        <v>4.61346454779453</v>
      </c>
      <c r="Z25" s="25" cm="1">
        <f t="array" ref="Z25">U25-Z$3-Z$31</f>
        <v>0.70765907268303</v>
      </c>
      <c r="AA25" s="25" cm="1">
        <f t="array" ref="AA25">V25-AA$3-AA$31</f>
        <v>-0.08270243549736001</v>
      </c>
      <c r="AB25" s="2"/>
      <c r="AC25" s="32" cm="1">
        <f t="array" ref="AC25">X25</f>
        <v>2.49677664440236</v>
      </c>
      <c r="AD25" s="32" cm="1">
        <f t="array" ref="AD25">Y25</f>
        <v>4.61346454779453</v>
      </c>
      <c r="AE25" s="32" cm="1">
        <f t="array" ref="AE25">Z25</f>
        <v>0.70765907268303</v>
      </c>
      <c r="AF25" s="32" cm="1">
        <f t="array" ref="AF25">AA25</f>
        <v>-0.08270243549736001</v>
      </c>
    </row>
    <row r="26" ht="17" customHeight="1">
      <c r="A26" s="2"/>
      <c r="B26" t="s" s="24">
        <v>60</v>
      </c>
      <c r="C26" t="s" s="20">
        <v>61</v>
      </c>
      <c r="D26" s="28">
        <v>29.6982117422824</v>
      </c>
      <c r="E26" s="29">
        <v>12.6656329613969</v>
      </c>
      <c r="F26" s="30">
        <v>7.69830261978151</v>
      </c>
      <c r="G26" s="31">
        <v>-6.74486585645386</v>
      </c>
      <c r="H26" s="2"/>
      <c r="I26" s="25">
        <v>4.6939</v>
      </c>
      <c r="J26" s="25" cm="1">
        <f t="array" ref="J26">I26/1000</f>
        <v>0.0046939</v>
      </c>
      <c r="K26" s="2"/>
      <c r="L26" s="25" cm="1">
        <f t="array" ref="L26">D26*$J26</f>
        <v>0.139400436097099</v>
      </c>
      <c r="M26" s="25" cm="1">
        <f t="array" ref="M26">E26*$J26</f>
        <v>0.0594512145575009</v>
      </c>
      <c r="N26" s="25" cm="1">
        <f t="array" ref="N26">F26*$J26</f>
        <v>0.0361350626669924</v>
      </c>
      <c r="O26" s="25" cm="1">
        <f t="array" ref="O26">G26*$J26</f>
        <v>-0.0316597258436088</v>
      </c>
      <c r="P26" s="2"/>
      <c r="Q26" s="25">
        <v>0.0182000000000002</v>
      </c>
      <c r="R26" s="25">
        <v>1</v>
      </c>
      <c r="S26" s="25" cm="1">
        <f t="array" ref="S26">L26/$Q26</f>
        <v>7.65936462071964</v>
      </c>
      <c r="T26" s="25" cm="1">
        <f t="array" ref="T26">M26/$Q26</f>
        <v>3.2665502504121</v>
      </c>
      <c r="U26" s="25" cm="1">
        <f t="array" ref="U26">N26/$Q26</f>
        <v>1.98544300368088</v>
      </c>
      <c r="V26" s="25" cm="1">
        <f t="array" ref="V26">O26/$Q26</f>
        <v>-1.73954537602244</v>
      </c>
      <c r="W26" s="2"/>
      <c r="X26" s="25" cm="1">
        <f t="array" ref="X26">S26-X$3-X$31</f>
        <v>1.66515616253444</v>
      </c>
      <c r="Y26" s="25" cm="1">
        <f t="array" ref="Y26">T26-Y$3-Y$31</f>
        <v>-0.04035635342187</v>
      </c>
      <c r="Z26" s="25" cm="1">
        <f t="array" ref="Z26">U26-Z$3-Z$31</f>
        <v>-1.29461223808705</v>
      </c>
      <c r="AA26" s="25" cm="1">
        <f t="array" ref="AA26">V26-AA$3-AA$31</f>
        <v>-0.04704843788207</v>
      </c>
      <c r="AB26" s="2"/>
      <c r="AC26" s="32" cm="1">
        <f t="array" ref="AC26">X26</f>
        <v>1.66515616253444</v>
      </c>
      <c r="AD26" s="32" cm="1">
        <f t="array" ref="AD26">Y26</f>
        <v>-0.04035635342187</v>
      </c>
      <c r="AE26" s="32" cm="1">
        <f t="array" ref="AE26">Z26</f>
        <v>-1.29461223808705</v>
      </c>
      <c r="AF26" s="32" cm="1">
        <f t="array" ref="AF26">AA26</f>
        <v>-0.04704843788207</v>
      </c>
    </row>
    <row r="27" ht="17" customHeight="1">
      <c r="A27" s="2"/>
      <c r="B27" t="s" s="24">
        <v>62</v>
      </c>
      <c r="C27" t="s" s="20">
        <v>63</v>
      </c>
      <c r="D27" s="28">
        <v>35.080065723728</v>
      </c>
      <c r="E27" s="29">
        <v>14.0594437388642</v>
      </c>
      <c r="F27" s="33">
        <v>5.85361968985189</v>
      </c>
      <c r="G27" s="25">
        <v>-6.87848146713763</v>
      </c>
      <c r="H27" s="2"/>
      <c r="I27" s="25">
        <v>4.7023</v>
      </c>
      <c r="J27" s="25" cm="1">
        <f t="array" ref="J27">I27/1000</f>
        <v>0.0047023</v>
      </c>
      <c r="K27" s="2"/>
      <c r="L27" s="25" cm="1">
        <f t="array" ref="L27">D27*$J27</f>
        <v>0.164956993052686</v>
      </c>
      <c r="M27" s="25" cm="1">
        <f t="array" ref="M27">E27*$J27</f>
        <v>0.06611172229326109</v>
      </c>
      <c r="N27" s="25" cm="1">
        <f t="array" ref="N27">F27*$J27</f>
        <v>0.0275254758675905</v>
      </c>
      <c r="O27" s="25" cm="1">
        <f t="array" ref="O27">G27*$J27</f>
        <v>-0.0323446834029213</v>
      </c>
      <c r="P27" s="2"/>
      <c r="Q27" s="25">
        <v>0.0183</v>
      </c>
      <c r="R27" s="25">
        <v>1</v>
      </c>
      <c r="S27" s="25" cm="1">
        <f t="array" ref="S27">L27/$Q27</f>
        <v>9.01404333621235</v>
      </c>
      <c r="T27" s="25" cm="1">
        <f t="array" ref="T27">M27/$Q27</f>
        <v>3.61266242039678</v>
      </c>
      <c r="U27" s="25" cm="1">
        <f t="array" ref="U27">N27/$Q27</f>
        <v>1.50412436434921</v>
      </c>
      <c r="V27" s="25" cm="1">
        <f t="array" ref="V27">O27/$Q27</f>
        <v>-1.767469038411</v>
      </c>
      <c r="W27" s="2"/>
      <c r="X27" s="25" cm="1">
        <f t="array" ref="X27">S27-X$3-X$31</f>
        <v>3.01983487802715</v>
      </c>
      <c r="Y27" s="25" cm="1">
        <f t="array" ref="Y27">T27-Y$3-Y$31</f>
        <v>0.30575581656281</v>
      </c>
      <c r="Z27" s="25" cm="1">
        <f t="array" ref="Z27">U27-Z$3-Z$31</f>
        <v>-1.77593087741872</v>
      </c>
      <c r="AA27" s="25" cm="1">
        <f t="array" ref="AA27">V27-AA$3-AA$31</f>
        <v>-0.07497210027063</v>
      </c>
      <c r="AB27" s="2"/>
      <c r="AC27" s="32" cm="1">
        <f t="array" ref="AC27">X27</f>
        <v>3.01983487802715</v>
      </c>
      <c r="AD27" s="32" cm="1">
        <f t="array" ref="AD27">Y27</f>
        <v>0.30575581656281</v>
      </c>
      <c r="AE27" s="32" cm="1">
        <f t="array" ref="AE27">Z27</f>
        <v>-1.77593087741872</v>
      </c>
      <c r="AF27" s="32" cm="1">
        <f t="array" ref="AF27">AA27</f>
        <v>-0.07497210027063</v>
      </c>
    </row>
    <row r="28" ht="17" customHeight="1">
      <c r="A28" s="2"/>
      <c r="B28" t="s" s="24">
        <v>64</v>
      </c>
      <c r="C28" t="s" s="20">
        <v>65</v>
      </c>
      <c r="D28" s="28">
        <v>34.5759151676513</v>
      </c>
      <c r="E28" s="29">
        <v>11.9858416999422</v>
      </c>
      <c r="F28" s="30">
        <v>25.5537491858786</v>
      </c>
      <c r="G28" s="31">
        <v>-6.42843038948703</v>
      </c>
      <c r="H28" s="2"/>
      <c r="I28" s="25">
        <v>4.7</v>
      </c>
      <c r="J28" s="25" cm="1">
        <f t="array" ref="J28">I28/1000</f>
        <v>0.0047</v>
      </c>
      <c r="K28" s="2"/>
      <c r="L28" s="25" cm="1">
        <f t="array" ref="L28">D28*$J28</f>
        <v>0.162506801287961</v>
      </c>
      <c r="M28" s="25" cm="1">
        <f t="array" ref="M28">E28*$J28</f>
        <v>0.0563334559897283</v>
      </c>
      <c r="N28" s="25" cm="1">
        <f t="array" ref="N28">F28*$J28</f>
        <v>0.120102621173629</v>
      </c>
      <c r="O28" s="25" cm="1">
        <f t="array" ref="O28">G28*$J28</f>
        <v>-0.030213622830589</v>
      </c>
      <c r="P28" s="2"/>
      <c r="Q28" s="25">
        <v>0.0179000000000009</v>
      </c>
      <c r="R28" s="25">
        <v>1</v>
      </c>
      <c r="S28" s="25" cm="1">
        <f t="array" ref="S28">L28/$Q28</f>
        <v>9.07859225072362</v>
      </c>
      <c r="T28" s="25" cm="1">
        <f t="array" ref="T28">M28/$Q28</f>
        <v>3.14712044635338</v>
      </c>
      <c r="U28" s="25" cm="1">
        <f t="array" ref="U28">N28/$Q28</f>
        <v>6.70964364098452</v>
      </c>
      <c r="V28" s="25" cm="1">
        <f t="array" ref="V28">O28/$Q28</f>
        <v>-1.68791188997695</v>
      </c>
      <c r="W28" s="2"/>
      <c r="X28" s="25" cm="1">
        <f t="array" ref="X28">S28-X$3-X$31</f>
        <v>3.08438379253842</v>
      </c>
      <c r="Y28" s="25" cm="1">
        <f t="array" ref="Y28">T28-Y$3-Y$31</f>
        <v>-0.15978615748059</v>
      </c>
      <c r="Z28" s="25" cm="1">
        <f t="array" ref="Z28">U28-Z$3-Z$31</f>
        <v>3.42958839921659</v>
      </c>
      <c r="AA28" s="25" cm="1">
        <f t="array" ref="AA28">V28-AA$3-AA$31</f>
        <v>0.00458504816342</v>
      </c>
      <c r="AB28" s="2"/>
      <c r="AC28" s="32" cm="1">
        <f t="array" ref="AC28">X28</f>
        <v>3.08438379253842</v>
      </c>
      <c r="AD28" s="32" cm="1">
        <f t="array" ref="AD28">Y28</f>
        <v>-0.15978615748059</v>
      </c>
      <c r="AE28" s="32" cm="1">
        <f t="array" ref="AE28">Z28</f>
        <v>3.42958839921659</v>
      </c>
      <c r="AF28" s="32" cm="1">
        <f t="array" ref="AF28">AA28</f>
        <v>0.00458504816342</v>
      </c>
    </row>
    <row r="29" ht="17" customHeight="1">
      <c r="A29" s="2"/>
      <c r="B29" t="s" s="24">
        <v>66</v>
      </c>
      <c r="C29" t="s" s="20">
        <v>67</v>
      </c>
      <c r="D29" s="28">
        <v>189.533751658085</v>
      </c>
      <c r="E29" s="29">
        <v>15.8236897843479</v>
      </c>
      <c r="F29" s="33">
        <v>23.8801696526993</v>
      </c>
      <c r="G29" s="25">
        <v>-6.70300012374097</v>
      </c>
      <c r="H29" s="2"/>
      <c r="I29" s="25">
        <v>4.7</v>
      </c>
      <c r="J29" s="25" cm="1">
        <f t="array" ref="J29">I29/1000</f>
        <v>0.0047</v>
      </c>
      <c r="K29" s="2"/>
      <c r="L29" s="25" cm="1">
        <f t="array" ref="L29">D29*$J29</f>
        <v>0.890808632793</v>
      </c>
      <c r="M29" s="25" cm="1">
        <f t="array" ref="M29">E29*$J29</f>
        <v>0.07437134198643509</v>
      </c>
      <c r="N29" s="25" cm="1">
        <f t="array" ref="N29">F29*$J29</f>
        <v>0.112236797367687</v>
      </c>
      <c r="O29" s="25" cm="1">
        <f t="array" ref="O29">G29*$J29</f>
        <v>-0.0315041005815826</v>
      </c>
      <c r="P29" s="2"/>
      <c r="Q29" s="25">
        <v>0.0179999999999989</v>
      </c>
      <c r="R29" s="25">
        <v>1</v>
      </c>
      <c r="S29" s="25" cm="1">
        <f t="array" ref="S29">L29/$Q29</f>
        <v>49.489368488503</v>
      </c>
      <c r="T29" s="25" cm="1">
        <f t="array" ref="T29">M29/$Q29</f>
        <v>4.13174122146887</v>
      </c>
      <c r="U29" s="25" cm="1">
        <f t="array" ref="U29">N29/$Q29</f>
        <v>6.23537763153855</v>
      </c>
      <c r="V29" s="25" cm="1">
        <f t="array" ref="V29">O29/$Q29</f>
        <v>-1.75022781008803</v>
      </c>
      <c r="W29" s="2"/>
      <c r="X29" s="25" cm="1">
        <f t="array" ref="X29">S29-X$3-X$31</f>
        <v>43.4951600303178</v>
      </c>
      <c r="Y29" s="25" cm="1">
        <f t="array" ref="Y29">T29-Y$3-Y$31</f>
        <v>0.8248346176349</v>
      </c>
      <c r="Z29" s="25" cm="1">
        <f t="array" ref="Z29">U29-Z$3-Z$31</f>
        <v>2.95532238977062</v>
      </c>
      <c r="AA29" s="25" cm="1">
        <f t="array" ref="AA29">V29-AA$3-AA$31</f>
        <v>-0.05773087194766</v>
      </c>
      <c r="AB29" s="2"/>
      <c r="AC29" s="32" cm="1">
        <f t="array" ref="AC29">X29</f>
        <v>43.4951600303178</v>
      </c>
      <c r="AD29" s="32" cm="1">
        <f t="array" ref="AD29">Y29</f>
        <v>0.8248346176349</v>
      </c>
      <c r="AE29" s="32" cm="1">
        <f t="array" ref="AE29">Z29</f>
        <v>2.95532238977062</v>
      </c>
      <c r="AF29" s="32" cm="1">
        <f t="array" ref="AF29">AA29</f>
        <v>-0.05773087194766</v>
      </c>
    </row>
    <row r="30" ht="17" customHeight="1">
      <c r="A30" s="2"/>
      <c r="B30" t="s" s="24">
        <v>68</v>
      </c>
      <c r="C30" t="s" s="20">
        <v>69</v>
      </c>
      <c r="D30" s="28">
        <v>25.1144141711334</v>
      </c>
      <c r="E30" s="29">
        <v>10.0006745023341</v>
      </c>
      <c r="F30" s="30">
        <v>8.02874543645677</v>
      </c>
      <c r="G30" s="31">
        <v>-6.1949650010867</v>
      </c>
      <c r="H30" s="2"/>
      <c r="I30" s="25">
        <v>4.7</v>
      </c>
      <c r="J30" s="25" cm="1">
        <f t="array" ref="J30">I30/1000</f>
        <v>0.0047</v>
      </c>
      <c r="K30" s="2"/>
      <c r="L30" s="25" cm="1">
        <f t="array" ref="L30">D30*$J30</f>
        <v>0.118037746604327</v>
      </c>
      <c r="M30" s="25" cm="1">
        <f t="array" ref="M30">E30*$J30</f>
        <v>0.0470031701609703</v>
      </c>
      <c r="N30" s="25" cm="1">
        <f t="array" ref="N30">F30*$J30</f>
        <v>0.0377351035513468</v>
      </c>
      <c r="O30" s="25" cm="1">
        <f t="array" ref="O30">G30*$J30</f>
        <v>-0.0291163355051075</v>
      </c>
      <c r="P30" s="2"/>
      <c r="Q30" s="25">
        <v>0.0188000000000006</v>
      </c>
      <c r="R30" s="25">
        <v>1</v>
      </c>
      <c r="S30" s="25" cm="1">
        <f t="array" ref="S30">L30/$Q30</f>
        <v>6.27860354278315</v>
      </c>
      <c r="T30" s="25" cm="1">
        <f t="array" ref="T30">M30/$Q30</f>
        <v>2.50016862558345</v>
      </c>
      <c r="U30" s="25" cm="1">
        <f t="array" ref="U30">N30/$Q30</f>
        <v>2.00718635911413</v>
      </c>
      <c r="V30" s="25" cm="1">
        <f t="array" ref="V30">O30/$Q30</f>
        <v>-1.54874125027163</v>
      </c>
      <c r="W30" s="2"/>
      <c r="X30" s="2"/>
      <c r="Y30" s="2"/>
      <c r="Z30" s="2"/>
      <c r="AA30" s="2"/>
      <c r="AB30" s="2"/>
      <c r="AC30" s="26"/>
      <c r="AD30" s="32" cm="1">
        <f t="array" ref="AD30">Y30</f>
        <v>0</v>
      </c>
      <c r="AE30" s="32" cm="1">
        <f t="array" ref="AE30">Z30</f>
        <v>0</v>
      </c>
      <c r="AF30" s="26"/>
    </row>
    <row r="31" ht="17" customHeight="1">
      <c r="A31" s="2"/>
      <c r="B31" t="s" s="24">
        <v>70</v>
      </c>
      <c r="C31" t="s" s="20">
        <v>71</v>
      </c>
      <c r="D31" s="28">
        <v>23.8765268016907</v>
      </c>
      <c r="E31" s="29">
        <v>17.8002755577542</v>
      </c>
      <c r="F31" s="33">
        <v>21.8944739580662</v>
      </c>
      <c r="G31" s="25">
        <v>-7.60045114423734</v>
      </c>
      <c r="H31" s="2"/>
      <c r="I31" s="25">
        <v>4.7</v>
      </c>
      <c r="J31" s="25" cm="1">
        <f t="array" ref="J31">I31/1000</f>
        <v>0.0047</v>
      </c>
      <c r="K31" s="2"/>
      <c r="L31" s="25" cm="1">
        <f t="array" ref="L31">D31*$J31</f>
        <v>0.112219675967946</v>
      </c>
      <c r="M31" s="25" cm="1">
        <f t="array" ref="M31">E31*$J31</f>
        <v>0.0836612951214447</v>
      </c>
      <c r="N31" s="25" cm="1">
        <f t="array" ref="N31">F31*$J31</f>
        <v>0.102904027602911</v>
      </c>
      <c r="O31" s="25" cm="1">
        <f t="array" ref="O31">G31*$J31</f>
        <v>-0.0357221203779155</v>
      </c>
      <c r="P31" s="2"/>
      <c r="Q31" s="25">
        <v>0.0183999999999997</v>
      </c>
      <c r="R31" s="25">
        <v>1</v>
      </c>
      <c r="S31" s="25" cm="1">
        <f t="array" ref="S31">L31/$Q31</f>
        <v>6.09889543304064</v>
      </c>
      <c r="T31" s="25" cm="1">
        <f t="array" ref="T31">M31/$Q31</f>
        <v>4.54680951746989</v>
      </c>
      <c r="U31" s="25" cm="1">
        <f t="array" ref="U31">N31/$Q31</f>
        <v>5.59261019581047</v>
      </c>
      <c r="V31" s="25" cm="1">
        <f t="array" ref="V31">O31/$Q31</f>
        <v>-1.94141958575631</v>
      </c>
      <c r="W31" s="2"/>
      <c r="X31" s="25" cm="1">
        <f t="array" ref="X31">AVERAGE(S30:S32)</f>
        <v>5.9942084581852</v>
      </c>
      <c r="Y31" s="25" cm="1">
        <f t="array" ref="Y31">AVERAGE(T30:T32)</f>
        <v>3.30690660383397</v>
      </c>
      <c r="Z31" s="25" cm="1">
        <f t="array" ref="Z31">AVERAGE(U30:U32)</f>
        <v>3.28005524176793</v>
      </c>
      <c r="AA31" s="25" cm="1">
        <f t="array" ref="AA31">AVERAGE(V30:V32)</f>
        <v>-1.69249693814037</v>
      </c>
      <c r="AB31" s="2"/>
      <c r="AC31" s="26"/>
      <c r="AD31" s="26"/>
      <c r="AE31" s="26"/>
      <c r="AF31" s="26"/>
    </row>
    <row r="32" ht="17" customHeight="1">
      <c r="A32" s="2"/>
      <c r="B32" t="s" s="36">
        <v>72</v>
      </c>
      <c r="C32" t="s" s="20">
        <v>73</v>
      </c>
      <c r="D32" s="28">
        <v>21.7049575440255</v>
      </c>
      <c r="E32" s="29">
        <v>11.128106035269</v>
      </c>
      <c r="F32" s="30">
        <v>8.675472106574849</v>
      </c>
      <c r="G32" s="31">
        <v>-6.14668204399059</v>
      </c>
      <c r="H32" s="2"/>
      <c r="I32" s="25">
        <v>4.7</v>
      </c>
      <c r="J32" s="25" cm="1">
        <f t="array" ref="J32">I32/1000</f>
        <v>0.0047</v>
      </c>
      <c r="K32" s="2"/>
      <c r="L32" s="25" cm="1">
        <f t="array" ref="L32">D32*$J32</f>
        <v>0.10201330045692</v>
      </c>
      <c r="M32" s="25" cm="1">
        <f t="array" ref="M32">E32*$J32</f>
        <v>0.0523020983657643</v>
      </c>
      <c r="N32" s="25" cm="1">
        <f t="array" ref="N32">F32*$J32</f>
        <v>0.0407747189009018</v>
      </c>
      <c r="O32" s="25" cm="1">
        <f t="array" ref="O32">G32*$J32</f>
        <v>-0.0288894056067558</v>
      </c>
      <c r="P32" s="2"/>
      <c r="Q32" s="25">
        <v>0.0182000000000002</v>
      </c>
      <c r="R32" s="25">
        <v>1</v>
      </c>
      <c r="S32" s="25" cm="1">
        <f t="array" ref="S32">L32/$Q32</f>
        <v>5.60512639873181</v>
      </c>
      <c r="T32" s="25" cm="1">
        <f t="array" ref="T32">M32/$Q32</f>
        <v>2.87374166844856</v>
      </c>
      <c r="U32" s="25" cm="1">
        <f t="array" ref="U32">N32/$Q32</f>
        <v>2.2403691703792</v>
      </c>
      <c r="V32" s="25" cm="1">
        <f t="array" ref="V32">O32/$Q32</f>
        <v>-1.58732997839316</v>
      </c>
      <c r="W32" s="2"/>
      <c r="X32" s="2"/>
      <c r="Y32" s="2"/>
      <c r="Z32" s="2"/>
      <c r="AA32" s="2"/>
      <c r="AB32" s="2"/>
      <c r="AC32" s="26"/>
      <c r="AD32" s="26"/>
      <c r="AE32" s="26"/>
      <c r="AF32" s="26"/>
    </row>
    <row r="33" ht="17" customHeight="1">
      <c r="A33" s="2"/>
      <c r="B33" t="s" s="19">
        <v>74</v>
      </c>
      <c r="C33" t="s" s="20">
        <v>75</v>
      </c>
      <c r="D33" s="28">
        <v>19.6209120479029</v>
      </c>
      <c r="E33" s="29">
        <v>65.960495666784</v>
      </c>
      <c r="F33" s="33">
        <v>30.6642247066849</v>
      </c>
      <c r="G33" s="25">
        <v>-7.04521085378034</v>
      </c>
      <c r="H33" s="2"/>
      <c r="I33" s="25">
        <v>4.7</v>
      </c>
      <c r="J33" s="25" cm="1">
        <f t="array" ref="J33">I33/1000</f>
        <v>0.0047</v>
      </c>
      <c r="K33" s="2"/>
      <c r="L33" s="25" cm="1">
        <f t="array" ref="L33">D33*$J33</f>
        <v>0.0922182866251436</v>
      </c>
      <c r="M33" s="25" cm="1">
        <f t="array" ref="M33">E33*$J33</f>
        <v>0.310014329633885</v>
      </c>
      <c r="N33" s="25" cm="1">
        <f t="array" ref="N33">F33*$J33</f>
        <v>0.144121856121419</v>
      </c>
      <c r="O33" s="25" cm="1">
        <f t="array" ref="O33">G33*$J33</f>
        <v>-0.0331124910127676</v>
      </c>
      <c r="P33" s="2"/>
      <c r="Q33" s="25">
        <v>0.0185999999999993</v>
      </c>
      <c r="R33" s="25">
        <v>1</v>
      </c>
      <c r="S33" s="25" cm="1">
        <f t="array" ref="S33">L33/$Q33</f>
        <v>4.95797239920146</v>
      </c>
      <c r="T33" s="25" cm="1">
        <f t="array" ref="T33">M33/$Q33</f>
        <v>16.6674370770912</v>
      </c>
      <c r="U33" s="25" cm="1">
        <f t="array" ref="U33">N33/$Q33</f>
        <v>7.74848688824862</v>
      </c>
      <c r="V33" s="25" cm="1">
        <f t="array" ref="V33">O33/$Q33</f>
        <v>-1.7802414522994</v>
      </c>
      <c r="W33" s="2"/>
      <c r="X33" s="25" cm="1">
        <f t="array" ref="X33">S33-X$3-X$40</f>
        <v>-0.62958396281716</v>
      </c>
      <c r="Y33" s="25" cm="1">
        <f t="array" ref="Y33">T33-Y$3-Y$40</f>
        <v>13.7632804577728</v>
      </c>
      <c r="Z33" s="25" cm="1">
        <f t="array" ref="Z33">U33-Z$3-Z$40</f>
        <v>5.82006061710063</v>
      </c>
      <c r="AA33" s="25" cm="1">
        <f t="array" ref="AA33">V33-AA$3-AA$40</f>
        <v>-0.29249489079506</v>
      </c>
      <c r="AB33" s="2"/>
      <c r="AC33" s="32" cm="1">
        <f t="array" ref="AC33">X33</f>
        <v>-0.62958396281716</v>
      </c>
      <c r="AD33" s="32" cm="1">
        <f t="array" ref="AD33">Y33</f>
        <v>13.7632804577728</v>
      </c>
      <c r="AE33" s="32" cm="1">
        <f t="array" ref="AE33">Z33</f>
        <v>5.82006061710063</v>
      </c>
      <c r="AF33" s="32" cm="1">
        <f t="array" ref="AF33">AA33</f>
        <v>-0.29249489079506</v>
      </c>
    </row>
    <row r="34" ht="17" customHeight="1">
      <c r="A34" s="2"/>
      <c r="B34" t="s" s="24">
        <v>76</v>
      </c>
      <c r="C34" t="s" s="20">
        <v>77</v>
      </c>
      <c r="D34" s="28">
        <v>24.1742966086213</v>
      </c>
      <c r="E34" s="29">
        <v>142.237308978340</v>
      </c>
      <c r="F34" s="33">
        <v>23.3585557310147</v>
      </c>
      <c r="G34" s="25">
        <v>-7.789725684475</v>
      </c>
      <c r="H34" s="2"/>
      <c r="I34" s="25">
        <v>4.7</v>
      </c>
      <c r="J34" s="25" cm="1">
        <f t="array" ref="J34">I34/1000</f>
        <v>0.0047</v>
      </c>
      <c r="K34" s="2"/>
      <c r="L34" s="25" cm="1">
        <f t="array" ref="L34">D34*$J34</f>
        <v>0.11361919406052</v>
      </c>
      <c r="M34" s="25" cm="1">
        <f t="array" ref="M34">E34*$J34</f>
        <v>0.668515352198198</v>
      </c>
      <c r="N34" s="25" cm="1">
        <f t="array" ref="N34">F34*$J34</f>
        <v>0.109785211935769</v>
      </c>
      <c r="O34" s="25" cm="1">
        <f t="array" ref="O34">G34*$J34</f>
        <v>-0.0366117107170325</v>
      </c>
      <c r="P34" s="2"/>
      <c r="Q34" s="25">
        <v>0.0187000000000008</v>
      </c>
      <c r="R34" s="25">
        <v>1</v>
      </c>
      <c r="S34" s="25" cm="1">
        <f t="array" ref="S34">L34/$Q34</f>
        <v>6.07589273050883</v>
      </c>
      <c r="T34" s="25" cm="1">
        <f t="array" ref="T34">M34/$Q34</f>
        <v>35.7494840747684</v>
      </c>
      <c r="U34" s="25" cm="1">
        <f t="array" ref="U34">N34/$Q34</f>
        <v>5.87086694843659</v>
      </c>
      <c r="V34" s="25" cm="1">
        <f t="array" ref="V34">O34/$Q34</f>
        <v>-1.95784549288935</v>
      </c>
      <c r="W34" s="2"/>
      <c r="X34" s="25" cm="1">
        <f t="array" ref="X34">S34-X$3-X$40</f>
        <v>0.48833636849021</v>
      </c>
      <c r="Y34" s="25" cm="1">
        <f t="array" ref="Y34">T34-Y$3-Y$40</f>
        <v>32.845327455450</v>
      </c>
      <c r="Z34" s="25" cm="1">
        <f t="array" ref="Z34">U34-Z$3-Z$40</f>
        <v>3.9424406772886</v>
      </c>
      <c r="AA34" s="25" cm="1">
        <f t="array" ref="AA34">V34-AA$3-AA$40</f>
        <v>-0.47009893138501</v>
      </c>
      <c r="AB34" s="2"/>
      <c r="AC34" s="32" cm="1">
        <f t="array" ref="AC34">X34</f>
        <v>0.48833636849021</v>
      </c>
      <c r="AD34" s="32" cm="1">
        <f t="array" ref="AD34">Y34</f>
        <v>32.845327455450</v>
      </c>
      <c r="AE34" s="32" cm="1">
        <f t="array" ref="AE34">Z34</f>
        <v>3.9424406772886</v>
      </c>
      <c r="AF34" s="32" cm="1">
        <f t="array" ref="AF34">AA34</f>
        <v>-0.47009893138501</v>
      </c>
    </row>
    <row r="35" ht="17" customHeight="1">
      <c r="A35" s="2"/>
      <c r="B35" t="s" s="24">
        <v>78</v>
      </c>
      <c r="C35" t="s" s="20">
        <v>79</v>
      </c>
      <c r="D35" s="28">
        <v>11.9967419508887</v>
      </c>
      <c r="E35" s="29">
        <v>11.1943476292013</v>
      </c>
      <c r="F35" s="33">
        <v>12.3659520406527</v>
      </c>
      <c r="G35" s="25">
        <v>-6.59878315628002</v>
      </c>
      <c r="H35" s="2"/>
      <c r="I35" s="25">
        <v>4.7</v>
      </c>
      <c r="J35" s="25" cm="1">
        <f t="array" ref="J35">I35/1000</f>
        <v>0.0047</v>
      </c>
      <c r="K35" s="2"/>
      <c r="L35" s="25" cm="1">
        <f t="array" ref="L35">D35*$J35</f>
        <v>0.0563846871691769</v>
      </c>
      <c r="M35" s="25" cm="1">
        <f t="array" ref="M35">E35*$J35</f>
        <v>0.0526134338572461</v>
      </c>
      <c r="N35" s="25" cm="1">
        <f t="array" ref="N35">F35*$J35</f>
        <v>0.0581199745910677</v>
      </c>
      <c r="O35" s="25" cm="1">
        <f t="array" ref="O35">G35*$J35</f>
        <v>-0.0310142808345161</v>
      </c>
      <c r="P35" s="2"/>
      <c r="Q35" s="25">
        <v>0.0183999999999997</v>
      </c>
      <c r="R35" s="25">
        <v>1</v>
      </c>
      <c r="S35" s="25" cm="1">
        <f t="array" ref="S35">L35/$Q35</f>
        <v>3.06438517223792</v>
      </c>
      <c r="T35" s="25" cm="1">
        <f t="array" ref="T35">M35/$Q35</f>
        <v>2.85942575311125</v>
      </c>
      <c r="U35" s="25" cm="1">
        <f t="array" ref="U35">N35/$Q35</f>
        <v>3.15869427125373</v>
      </c>
      <c r="V35" s="25" cm="1">
        <f t="array" ref="V35">O35/$Q35</f>
        <v>-1.68555874100634</v>
      </c>
      <c r="W35" s="2"/>
      <c r="X35" s="25" cm="1">
        <f t="array" ref="X35">S35-X$3-X$40</f>
        <v>-2.5231711897807</v>
      </c>
      <c r="Y35" s="25" cm="1">
        <f t="array" ref="Y35">T35-Y$3-Y$40</f>
        <v>-0.04473086620715</v>
      </c>
      <c r="Z35" s="25" cm="1">
        <f t="array" ref="Z35">U35-Z$3-Z$40</f>
        <v>1.23026800010574</v>
      </c>
      <c r="AA35" s="25" cm="1">
        <f t="array" ref="AA35">V35-AA$3-AA$40</f>
        <v>-0.197812179502</v>
      </c>
      <c r="AB35" s="2"/>
      <c r="AC35" s="32" cm="1">
        <f t="array" ref="AC35">X35</f>
        <v>-2.5231711897807</v>
      </c>
      <c r="AD35" s="32" cm="1">
        <f t="array" ref="AD35">Y35</f>
        <v>-0.04473086620715</v>
      </c>
      <c r="AE35" s="32" cm="1">
        <f t="array" ref="AE35">Z35</f>
        <v>1.23026800010574</v>
      </c>
      <c r="AF35" s="32" cm="1">
        <f t="array" ref="AF35">AA35</f>
        <v>-0.197812179502</v>
      </c>
    </row>
    <row r="36" ht="17" customHeight="1">
      <c r="A36" s="2"/>
      <c r="B36" t="s" s="24">
        <v>80</v>
      </c>
      <c r="C36" t="s" s="20">
        <v>81</v>
      </c>
      <c r="D36" s="28">
        <v>12.3149693887224</v>
      </c>
      <c r="E36" s="29">
        <v>13.5870249297569</v>
      </c>
      <c r="F36" s="30">
        <v>9.682753009407779</v>
      </c>
      <c r="G36" s="31">
        <v>-6.24979767220694</v>
      </c>
      <c r="H36" s="2"/>
      <c r="I36" s="25">
        <v>4.7</v>
      </c>
      <c r="J36" s="25" cm="1">
        <f t="array" ref="J36">I36/1000</f>
        <v>0.0047</v>
      </c>
      <c r="K36" s="2"/>
      <c r="L36" s="25" cm="1">
        <f t="array" ref="L36">D36*$J36</f>
        <v>0.0578803561269953</v>
      </c>
      <c r="M36" s="25" cm="1">
        <f t="array" ref="M36">E36*$J36</f>
        <v>0.0638590171698574</v>
      </c>
      <c r="N36" s="25" cm="1">
        <f t="array" ref="N36">F36*$J36</f>
        <v>0.0455089391442166</v>
      </c>
      <c r="O36" s="25" cm="1">
        <f t="array" ref="O36">G36*$J36</f>
        <v>-0.0293740490593726</v>
      </c>
      <c r="P36" s="2"/>
      <c r="Q36" s="25">
        <v>0.0188000000000006</v>
      </c>
      <c r="R36" s="25">
        <v>1</v>
      </c>
      <c r="S36" s="25" cm="1">
        <f t="array" ref="S36">L36/$Q36</f>
        <v>3.0787423471805</v>
      </c>
      <c r="T36" s="25" cm="1">
        <f t="array" ref="T36">M36/$Q36</f>
        <v>3.39675623243911</v>
      </c>
      <c r="U36" s="25" cm="1">
        <f t="array" ref="U36">N36/$Q36</f>
        <v>2.42068825235187</v>
      </c>
      <c r="V36" s="25" cm="1">
        <f t="array" ref="V36">O36/$Q36</f>
        <v>-1.56244941805168</v>
      </c>
      <c r="W36" s="2"/>
      <c r="X36" s="25" cm="1">
        <f t="array" ref="X36">S36-X$3-X$40</f>
        <v>-2.50881401483812</v>
      </c>
      <c r="Y36" s="25" cm="1">
        <f t="array" ref="Y36">T36-Y$3-Y$40</f>
        <v>0.49259961312071</v>
      </c>
      <c r="Z36" s="25" cm="1">
        <f t="array" ref="Z36">U36-Z$3-Z$40</f>
        <v>0.49226198120388</v>
      </c>
      <c r="AA36" s="25" cm="1">
        <f t="array" ref="AA36">V36-AA$3-AA$40</f>
        <v>-0.07470285654734</v>
      </c>
      <c r="AB36" s="2"/>
      <c r="AC36" s="32" cm="1">
        <f t="array" ref="AC36">X36</f>
        <v>-2.50881401483812</v>
      </c>
      <c r="AD36" s="32" cm="1">
        <f t="array" ref="AD36">Y36</f>
        <v>0.49259961312071</v>
      </c>
      <c r="AE36" s="32" cm="1">
        <f t="array" ref="AE36">Z36</f>
        <v>0.49226198120388</v>
      </c>
      <c r="AF36" s="32" cm="1">
        <f t="array" ref="AF36">AA36</f>
        <v>-0.07470285654734</v>
      </c>
    </row>
    <row r="37" ht="17" customHeight="1">
      <c r="A37" s="2"/>
      <c r="B37" t="s" s="24">
        <v>82</v>
      </c>
      <c r="C37" t="s" s="20">
        <v>83</v>
      </c>
      <c r="D37" s="28">
        <v>16.5292947075847</v>
      </c>
      <c r="E37" s="29">
        <v>95.3273784638066</v>
      </c>
      <c r="F37" s="33">
        <v>67.0809865296268</v>
      </c>
      <c r="G37" s="25">
        <v>-5.88974640959199</v>
      </c>
      <c r="H37" s="2"/>
      <c r="I37" s="25">
        <v>4.7</v>
      </c>
      <c r="J37" s="25" cm="1">
        <f t="array" ref="J37">I37/1000</f>
        <v>0.0047</v>
      </c>
      <c r="K37" s="2"/>
      <c r="L37" s="25" cm="1">
        <f t="array" ref="L37">D37*$J37</f>
        <v>0.0776876851256481</v>
      </c>
      <c r="M37" s="25" cm="1">
        <f t="array" ref="M37">E37*$J37</f>
        <v>0.448038678779891</v>
      </c>
      <c r="N37" s="25" cm="1">
        <f t="array" ref="N37">F37*$J37</f>
        <v>0.315280636689246</v>
      </c>
      <c r="O37" s="25" cm="1">
        <f t="array" ref="O37">G37*$J37</f>
        <v>-0.0276818081250824</v>
      </c>
      <c r="P37" s="2"/>
      <c r="Q37" s="25">
        <v>0.0191000000000017</v>
      </c>
      <c r="R37" s="25">
        <v>1</v>
      </c>
      <c r="S37" s="25" cm="1">
        <f t="array" ref="S37">L37/$Q37</f>
        <v>4.0674180694053</v>
      </c>
      <c r="T37" s="25" cm="1">
        <f t="array" ref="T37">M37/$Q37</f>
        <v>23.4575224492069</v>
      </c>
      <c r="U37" s="25" cm="1">
        <f t="array" ref="U37">N37/$Q37</f>
        <v>16.5068396172365</v>
      </c>
      <c r="V37" s="25" cm="1">
        <f t="array" ref="V37">O37/$Q37</f>
        <v>-1.44930932592042</v>
      </c>
      <c r="W37" s="2"/>
      <c r="X37" s="25" cm="1">
        <f t="array" ref="X37">S37-X$3-X$40</f>
        <v>-1.52013829261332</v>
      </c>
      <c r="Y37" s="25" cm="1">
        <f t="array" ref="Y37">T37-Y$3-Y$40</f>
        <v>20.5533658298885</v>
      </c>
      <c r="Z37" s="25" cm="1">
        <f t="array" ref="Z37">U37-Z$3-Z$40</f>
        <v>14.5784133460885</v>
      </c>
      <c r="AA37" s="25" cm="1">
        <f t="array" ref="AA37">V37-AA$3-AA$40</f>
        <v>0.03843723558392</v>
      </c>
      <c r="AB37" s="2"/>
      <c r="AC37" s="32" cm="1">
        <f t="array" ref="AC37">X37</f>
        <v>-1.52013829261332</v>
      </c>
      <c r="AD37" s="32" cm="1">
        <f t="array" ref="AD37">Y37</f>
        <v>20.5533658298885</v>
      </c>
      <c r="AE37" s="32" cm="1">
        <f t="array" ref="AE37">Z37</f>
        <v>14.5784133460885</v>
      </c>
      <c r="AF37" s="32" cm="1">
        <f t="array" ref="AF37">AA37</f>
        <v>0.03843723558392</v>
      </c>
    </row>
    <row r="38" ht="17" customHeight="1">
      <c r="A38" s="2"/>
      <c r="B38" t="s" s="24">
        <v>84</v>
      </c>
      <c r="C38" t="s" s="20">
        <v>85</v>
      </c>
      <c r="D38" s="28">
        <v>9.9832463986981</v>
      </c>
      <c r="E38" s="29">
        <v>11.4371799581931</v>
      </c>
      <c r="F38" s="30">
        <v>6.47748246674319</v>
      </c>
      <c r="G38" s="31">
        <v>-4.95313204476188</v>
      </c>
      <c r="H38" s="2"/>
      <c r="I38" s="25">
        <v>4.7</v>
      </c>
      <c r="J38" s="25" cm="1">
        <f t="array" ref="J38">I38/1000</f>
        <v>0.0047</v>
      </c>
      <c r="K38" s="2"/>
      <c r="L38" s="25" cm="1">
        <f t="array" ref="L38">D38*$J38</f>
        <v>0.0469212580738811</v>
      </c>
      <c r="M38" s="25" cm="1">
        <f t="array" ref="M38">E38*$J38</f>
        <v>0.0537547458035076</v>
      </c>
      <c r="N38" s="25" cm="1">
        <f t="array" ref="N38">F38*$J38</f>
        <v>0.030444167593693</v>
      </c>
      <c r="O38" s="25" cm="1">
        <f t="array" ref="O38">G38*$J38</f>
        <v>-0.0232797206103808</v>
      </c>
      <c r="P38" s="2"/>
      <c r="Q38" s="25">
        <v>0.0192999999999994</v>
      </c>
      <c r="R38" s="25">
        <v>1</v>
      </c>
      <c r="S38" s="25" cm="1">
        <f t="array" ref="S38">L38/$Q38</f>
        <v>2.43115326807682</v>
      </c>
      <c r="T38" s="25" cm="1">
        <f t="array" ref="T38">M38/$Q38</f>
        <v>2.78521998981913</v>
      </c>
      <c r="U38" s="25" cm="1">
        <f t="array" ref="U38">N38/$Q38</f>
        <v>1.57741801003596</v>
      </c>
      <c r="V38" s="25" cm="1">
        <f t="array" ref="V38">O38/$Q38</f>
        <v>-1.20620314043428</v>
      </c>
      <c r="W38" s="2"/>
      <c r="X38" s="25" cm="1">
        <f t="array" ref="X38">S38-X$3-X$40</f>
        <v>-3.1564030939418</v>
      </c>
      <c r="Y38" s="25" cm="1">
        <f t="array" ref="Y38">T38-Y$3-Y$40</f>
        <v>-0.11893662949927</v>
      </c>
      <c r="Z38" s="25" cm="1">
        <f t="array" ref="Z38">U38-Z$3-Z$40</f>
        <v>-0.35100826111203</v>
      </c>
      <c r="AA38" s="25" cm="1">
        <f t="array" ref="AA38">V38-AA$3-AA$40</f>
        <v>0.28154342107006</v>
      </c>
      <c r="AB38" s="2"/>
      <c r="AC38" s="32" cm="1">
        <f t="array" ref="AC38">X38</f>
        <v>-3.1564030939418</v>
      </c>
      <c r="AD38" s="32" cm="1">
        <f t="array" ref="AD38">Y38</f>
        <v>-0.11893662949927</v>
      </c>
      <c r="AE38" s="32" cm="1">
        <f t="array" ref="AE38">Z38</f>
        <v>-0.35100826111203</v>
      </c>
      <c r="AF38" s="32" cm="1">
        <f t="array" ref="AF38">AA38</f>
        <v>0.28154342107006</v>
      </c>
    </row>
    <row r="39" ht="17" customHeight="1">
      <c r="A39" s="2"/>
      <c r="B39" t="s" s="24">
        <v>86</v>
      </c>
      <c r="C39" t="s" s="20">
        <v>87</v>
      </c>
      <c r="D39" s="28">
        <v>52.5199382655948</v>
      </c>
      <c r="E39" s="29">
        <v>16.1994364531174</v>
      </c>
      <c r="F39" s="33">
        <v>9.702369457625419</v>
      </c>
      <c r="G39" s="25">
        <v>-7.49396299889429</v>
      </c>
      <c r="H39" s="2"/>
      <c r="I39" s="25">
        <v>4.7</v>
      </c>
      <c r="J39" s="25" cm="1">
        <f t="array" ref="J39">I39/1000</f>
        <v>0.0047</v>
      </c>
      <c r="K39" s="2"/>
      <c r="L39" s="25" cm="1">
        <f t="array" ref="L39">D39*$J39</f>
        <v>0.246843709848296</v>
      </c>
      <c r="M39" s="25" cm="1">
        <f t="array" ref="M39">E39*$J39</f>
        <v>0.0761373513296518</v>
      </c>
      <c r="N39" s="25" cm="1">
        <f t="array" ref="N39">F39*$J39</f>
        <v>0.0456011364508395</v>
      </c>
      <c r="O39" s="25" cm="1">
        <f t="array" ref="O39">G39*$J39</f>
        <v>-0.0352216260948032</v>
      </c>
      <c r="P39" s="2"/>
      <c r="Q39" s="25">
        <v>0.0206999999999997</v>
      </c>
      <c r="R39" s="25">
        <v>1</v>
      </c>
      <c r="S39" s="25" cm="1">
        <f t="array" ref="S39">L39/$Q39</f>
        <v>11.924816900884</v>
      </c>
      <c r="T39" s="25" cm="1">
        <f t="array" ref="T39">M39/$Q39</f>
        <v>3.67813291447599</v>
      </c>
      <c r="U39" s="25" cm="1">
        <f t="array" ref="U39">N39/$Q39</f>
        <v>2.20295345173141</v>
      </c>
      <c r="V39" s="25" cm="1">
        <f t="array" ref="V39">O39/$Q39</f>
        <v>-1.70152783066685</v>
      </c>
      <c r="W39" s="2"/>
      <c r="X39" s="2"/>
      <c r="Y39" s="2"/>
      <c r="Z39" s="2"/>
      <c r="AA39" s="2"/>
      <c r="AB39" s="2"/>
      <c r="AC39" s="26"/>
      <c r="AD39" s="26"/>
      <c r="AE39" s="26"/>
      <c r="AF39" s="26"/>
    </row>
    <row r="40" ht="17" customHeight="1">
      <c r="A40" s="2"/>
      <c r="B40" t="s" s="24">
        <v>88</v>
      </c>
      <c r="C40" t="s" s="20">
        <v>89</v>
      </c>
      <c r="D40" s="28">
        <v>16.3987171376099</v>
      </c>
      <c r="E40" s="29">
        <v>12.9688477233233</v>
      </c>
      <c r="F40" s="30">
        <v>6.10800066556259</v>
      </c>
      <c r="G40" s="31">
        <v>-6.67276548200879</v>
      </c>
      <c r="H40" s="2"/>
      <c r="I40" s="25">
        <v>4.7</v>
      </c>
      <c r="J40" s="25" cm="1">
        <f t="array" ref="J40">I40/1000</f>
        <v>0.0047</v>
      </c>
      <c r="K40" s="2"/>
      <c r="L40" s="25" cm="1">
        <f t="array" ref="L40">D40*$J40</f>
        <v>0.0770739705467665</v>
      </c>
      <c r="M40" s="25" cm="1">
        <f t="array" ref="M40">E40*$J40</f>
        <v>0.0609535842996195</v>
      </c>
      <c r="N40" s="25" cm="1">
        <f t="array" ref="N40">F40*$J40</f>
        <v>0.0287076031281442</v>
      </c>
      <c r="O40" s="25" cm="1">
        <f t="array" ref="O40">G40*$J40</f>
        <v>-0.0313619977654413</v>
      </c>
      <c r="P40" s="2"/>
      <c r="Q40" s="25">
        <v>0.0373000000000001</v>
      </c>
      <c r="R40" s="25">
        <v>1</v>
      </c>
      <c r="S40" s="25" cm="1">
        <f t="array" ref="S40">L40/$Q40</f>
        <v>2.06632628811706</v>
      </c>
      <c r="T40" s="25" cm="1">
        <f t="array" ref="T40">M40/$Q40</f>
        <v>1.63414435119623</v>
      </c>
      <c r="U40" s="25" cm="1">
        <f t="array" ref="U40">N40/$Q40</f>
        <v>0.769640834534695</v>
      </c>
      <c r="V40" s="25" cm="1">
        <f t="array" ref="V40">O40/$Q40</f>
        <v>-0.840804229636494</v>
      </c>
      <c r="W40" s="2"/>
      <c r="X40" s="25" cm="1">
        <f t="array" ref="X40">AVERAGE(S39:S41)</f>
        <v>5.58755636201862</v>
      </c>
      <c r="Y40" s="25" cm="1">
        <f t="array" ref="Y40">AVERAGE(T39:T41)</f>
        <v>2.9041566193184</v>
      </c>
      <c r="Z40" s="25" cm="1">
        <f t="array" ref="Z40">AVERAGE(U39:U41)</f>
        <v>1.92842627114799</v>
      </c>
      <c r="AA40" s="25" cm="1">
        <f t="array" ref="AA40">AVERAGE(V39:V41)</f>
        <v>-1.48774656150434</v>
      </c>
      <c r="AB40" s="2"/>
      <c r="AC40" s="26"/>
      <c r="AD40" s="26"/>
      <c r="AE40" s="26"/>
      <c r="AF40" s="26"/>
    </row>
    <row r="41" ht="17" customHeight="1">
      <c r="A41" s="2"/>
      <c r="B41" t="s" s="36">
        <v>90</v>
      </c>
      <c r="C41" t="s" s="20">
        <v>91</v>
      </c>
      <c r="D41" s="28">
        <v>10.3195113188211</v>
      </c>
      <c r="E41" s="29">
        <v>12.6602915670112</v>
      </c>
      <c r="F41" s="33">
        <v>10.4727615373644</v>
      </c>
      <c r="G41" s="25">
        <v>-7.15231562205732</v>
      </c>
      <c r="H41" s="2"/>
      <c r="I41" s="25">
        <v>4.7</v>
      </c>
      <c r="J41" s="25" cm="1">
        <f t="array" ref="J41">I41/1000</f>
        <v>0.0047</v>
      </c>
      <c r="K41" s="2"/>
      <c r="L41" s="25" cm="1">
        <f t="array" ref="L41">D41*$J41</f>
        <v>0.0485017031984592</v>
      </c>
      <c r="M41" s="25" cm="1">
        <f t="array" ref="M41">E41*$J41</f>
        <v>0.0595033703649526</v>
      </c>
      <c r="N41" s="25" cm="1">
        <f t="array" ref="N41">F41*$J41</f>
        <v>0.0492219792256127</v>
      </c>
      <c r="O41" s="25" cm="1">
        <f t="array" ref="O41">G41*$J41</f>
        <v>-0.0336158834236694</v>
      </c>
      <c r="P41" s="2"/>
      <c r="Q41" s="25">
        <v>0.0175000000000001</v>
      </c>
      <c r="R41" s="25">
        <v>1</v>
      </c>
      <c r="S41" s="25" cm="1">
        <f t="array" ref="S41">L41/$Q41</f>
        <v>2.7715258970548</v>
      </c>
      <c r="T41" s="25" cm="1">
        <f t="array" ref="T41">M41/$Q41</f>
        <v>3.40019259228299</v>
      </c>
      <c r="U41" s="25" cm="1">
        <f t="array" ref="U41">N41/$Q41</f>
        <v>2.81268452717785</v>
      </c>
      <c r="V41" s="25" cm="1">
        <f t="array" ref="V41">O41/$Q41</f>
        <v>-1.92090762420967</v>
      </c>
      <c r="W41" s="2"/>
      <c r="X41" s="2"/>
      <c r="Y41" s="2"/>
      <c r="Z41" s="2"/>
      <c r="AA41" s="2"/>
      <c r="AB41" s="2"/>
      <c r="AC41" s="26"/>
      <c r="AD41" s="26"/>
      <c r="AE41" s="26"/>
      <c r="AF41" s="26"/>
    </row>
    <row r="42" ht="17" customHeight="1">
      <c r="A42" s="2"/>
      <c r="B42" t="s" s="19">
        <v>92</v>
      </c>
      <c r="C42" t="s" s="20">
        <v>93</v>
      </c>
      <c r="D42" s="28">
        <v>9.66119717326257</v>
      </c>
      <c r="E42" s="29">
        <v>11.9122780411153</v>
      </c>
      <c r="F42" s="30">
        <v>13.7497862637152</v>
      </c>
      <c r="G42" s="31">
        <v>-6.40007543544479</v>
      </c>
      <c r="H42" s="2"/>
      <c r="I42" s="25">
        <v>4.7</v>
      </c>
      <c r="J42" s="25" cm="1">
        <f t="array" ref="J42">I42/1000</f>
        <v>0.0047</v>
      </c>
      <c r="K42" s="2"/>
      <c r="L42" s="25" cm="1">
        <f t="array" ref="L42">D42*$J42</f>
        <v>0.0454076267143341</v>
      </c>
      <c r="M42" s="25" cm="1">
        <f t="array" ref="M42">E42*$J42</f>
        <v>0.0559877067932419</v>
      </c>
      <c r="N42" s="25" cm="1">
        <f t="array" ref="N42">F42*$J42</f>
        <v>0.0646239954394614</v>
      </c>
      <c r="O42" s="25" cm="1">
        <f t="array" ref="O42">G42*$J42</f>
        <v>-0.0300803545465905</v>
      </c>
      <c r="P42" s="2"/>
      <c r="Q42" s="25">
        <v>0.0190000000000001</v>
      </c>
      <c r="R42" s="25">
        <v>1</v>
      </c>
      <c r="S42" s="25" cm="1">
        <f t="array" ref="S42">L42/$Q42</f>
        <v>2.3898750902281</v>
      </c>
      <c r="T42" s="25" cm="1">
        <f t="array" ref="T42">M42/$Q42</f>
        <v>2.94672141017061</v>
      </c>
      <c r="U42" s="25" cm="1">
        <f t="array" ref="U42">N42/$Q42</f>
        <v>3.40126291786637</v>
      </c>
      <c r="V42" s="25" cm="1">
        <f t="array" ref="V42">O42/$Q42</f>
        <v>-1.5831765550837</v>
      </c>
      <c r="W42" s="2"/>
      <c r="X42" s="25" cm="1">
        <f t="array" ref="X42">S42-X$3-X$49</f>
        <v>-25.297370114784</v>
      </c>
      <c r="Y42" s="25" cm="1">
        <f t="array" ref="Y42">T42-Y$3-Y$49</f>
        <v>-9.33608233335149</v>
      </c>
      <c r="Z42" s="25" cm="1">
        <f t="array" ref="Z42">U42-Z$3-Z$49</f>
        <v>-0.08453736256798</v>
      </c>
      <c r="AA42" s="25" cm="1">
        <f t="array" ref="AA42">V42-AA$3-AA$49</f>
        <v>-0.028406511751</v>
      </c>
      <c r="AB42" s="2"/>
      <c r="AC42" s="32" cm="1">
        <f t="array" ref="AC42">X42</f>
        <v>-25.297370114784</v>
      </c>
      <c r="AD42" s="32" cm="1">
        <f t="array" ref="AD42">Y42</f>
        <v>-9.33608233335149</v>
      </c>
      <c r="AE42" s="32" cm="1">
        <f t="array" ref="AE42">Z42</f>
        <v>-0.08453736256798</v>
      </c>
      <c r="AF42" s="32" cm="1">
        <f t="array" ref="AF42">AA42</f>
        <v>-0.028406511751</v>
      </c>
    </row>
    <row r="43" ht="17" customHeight="1">
      <c r="A43" s="2"/>
      <c r="B43" t="s" s="24">
        <v>94</v>
      </c>
      <c r="C43" t="s" s="20">
        <v>95</v>
      </c>
      <c r="D43" s="28">
        <v>14.7384613454624</v>
      </c>
      <c r="E43" s="29">
        <v>21.6342130376317</v>
      </c>
      <c r="F43" s="33">
        <v>19.3230808569503</v>
      </c>
      <c r="G43" s="25">
        <v>-7.85342849664557</v>
      </c>
      <c r="H43" s="2"/>
      <c r="I43" s="25">
        <v>4.7</v>
      </c>
      <c r="J43" s="25" cm="1">
        <f t="array" ref="J43">I43/1000</f>
        <v>0.0047</v>
      </c>
      <c r="K43" s="2"/>
      <c r="L43" s="25" cm="1">
        <f t="array" ref="L43">D43*$J43</f>
        <v>0.06927076832367331</v>
      </c>
      <c r="M43" s="25" cm="1">
        <f t="array" ref="M43">E43*$J43</f>
        <v>0.101680801276869</v>
      </c>
      <c r="N43" s="25" cm="1">
        <f t="array" ref="N43">F43*$J43</f>
        <v>0.0908184800276664</v>
      </c>
      <c r="O43" s="25" cm="1">
        <f t="array" ref="O43">G43*$J43</f>
        <v>-0.0369111139342342</v>
      </c>
      <c r="P43" s="2"/>
      <c r="Q43" s="25">
        <v>0.0193999999999992</v>
      </c>
      <c r="R43" s="25">
        <v>1</v>
      </c>
      <c r="S43" s="25" cm="1">
        <f t="array" ref="S43">L43/$Q43</f>
        <v>3.57065816101423</v>
      </c>
      <c r="T43" s="25" cm="1">
        <f t="array" ref="T43">M43/$Q43</f>
        <v>5.24127841633367</v>
      </c>
      <c r="U43" s="25" cm="1">
        <f t="array" ref="U43">N43/$Q43</f>
        <v>4.6813649498799</v>
      </c>
      <c r="V43" s="25" cm="1">
        <f t="array" ref="V43">O43/$Q43</f>
        <v>-1.90263473887813</v>
      </c>
      <c r="W43" s="2"/>
      <c r="X43" s="25" cm="1">
        <f t="array" ref="X43">S43-X$3-X$49</f>
        <v>-24.1165870439979</v>
      </c>
      <c r="Y43" s="25" cm="1">
        <f t="array" ref="Y43">T43-Y$3-Y$49</f>
        <v>-7.04152532718843</v>
      </c>
      <c r="Z43" s="25" cm="1">
        <f t="array" ref="Z43">U43-Z$3-Z$49</f>
        <v>1.19556466944555</v>
      </c>
      <c r="AA43" s="25" cm="1">
        <f t="array" ref="AA43">V43-AA$3-AA$49</f>
        <v>-0.34786469554543</v>
      </c>
      <c r="AB43" s="2"/>
      <c r="AC43" s="32" cm="1">
        <f t="array" ref="AC43">X43</f>
        <v>-24.1165870439979</v>
      </c>
      <c r="AD43" s="32" cm="1">
        <f t="array" ref="AD43">Y43</f>
        <v>-7.04152532718843</v>
      </c>
      <c r="AE43" s="32" cm="1">
        <f t="array" ref="AE43">Z43</f>
        <v>1.19556466944555</v>
      </c>
      <c r="AF43" s="32" cm="1">
        <f t="array" ref="AF43">AA43</f>
        <v>-0.34786469554543</v>
      </c>
    </row>
    <row r="44" ht="17" customHeight="1">
      <c r="A44" s="2"/>
      <c r="B44" t="s" s="24">
        <v>96</v>
      </c>
      <c r="C44" t="s" s="20">
        <v>97</v>
      </c>
      <c r="D44" s="28">
        <v>10.6043997819237</v>
      </c>
      <c r="E44" s="29">
        <v>13.7935054532931</v>
      </c>
      <c r="F44" s="30">
        <v>16.9339382369437</v>
      </c>
      <c r="G44" s="31">
        <v>-5.98614962134125</v>
      </c>
      <c r="H44" s="2"/>
      <c r="I44" s="25">
        <v>4.7</v>
      </c>
      <c r="J44" s="25" cm="1">
        <f t="array" ref="J44">I44/1000</f>
        <v>0.0047</v>
      </c>
      <c r="K44" s="2"/>
      <c r="L44" s="25" cm="1">
        <f t="array" ref="L44">D44*$J44</f>
        <v>0.0498406789750414</v>
      </c>
      <c r="M44" s="25" cm="1">
        <f t="array" ref="M44">E44*$J44</f>
        <v>0.0648294756304776</v>
      </c>
      <c r="N44" s="25" cm="1">
        <f t="array" ref="N44">F44*$J44</f>
        <v>0.0795895097136354</v>
      </c>
      <c r="O44" s="25" cm="1">
        <f t="array" ref="O44">G44*$J44</f>
        <v>-0.0281349032203039</v>
      </c>
      <c r="P44" s="2"/>
      <c r="Q44" s="25">
        <v>0.019499999999999</v>
      </c>
      <c r="R44" s="25">
        <v>1</v>
      </c>
      <c r="S44" s="25" cm="1">
        <f t="array" ref="S44">L44/$Q44</f>
        <v>2.55593225513046</v>
      </c>
      <c r="T44" s="25" cm="1">
        <f t="array" ref="T44">M44/$Q44</f>
        <v>3.32458849387082</v>
      </c>
      <c r="U44" s="25" cm="1">
        <f t="array" ref="U44">N44/$Q44</f>
        <v>4.08151331864818</v>
      </c>
      <c r="V44" s="25" cm="1">
        <f t="array" ref="V44">O44/$Q44</f>
        <v>-1.44281554975925</v>
      </c>
      <c r="W44" s="2"/>
      <c r="X44" s="25" cm="1">
        <f t="array" ref="X44">S44-X$3-X$49</f>
        <v>-25.1313129498816</v>
      </c>
      <c r="Y44" s="25" cm="1">
        <f t="array" ref="Y44">T44-Y$3-Y$49</f>
        <v>-8.95821524965128</v>
      </c>
      <c r="Z44" s="25" cm="1">
        <f t="array" ref="Z44">U44-Z$3-Z$49</f>
        <v>0.59571303821383</v>
      </c>
      <c r="AA44" s="25" cm="1">
        <f t="array" ref="AA44">V44-AA$3-AA$49</f>
        <v>0.11195449357345</v>
      </c>
      <c r="AB44" s="2"/>
      <c r="AC44" s="32" cm="1">
        <f t="array" ref="AC44">X44</f>
        <v>-25.1313129498816</v>
      </c>
      <c r="AD44" s="32" cm="1">
        <f t="array" ref="AD44">Y44</f>
        <v>-8.95821524965128</v>
      </c>
      <c r="AE44" s="32" cm="1">
        <f t="array" ref="AE44">Z44</f>
        <v>0.59571303821383</v>
      </c>
      <c r="AF44" s="32" cm="1">
        <f t="array" ref="AF44">AA44</f>
        <v>0.11195449357345</v>
      </c>
    </row>
    <row r="45" ht="17" customHeight="1">
      <c r="A45" s="2"/>
      <c r="B45" t="s" s="24">
        <v>98</v>
      </c>
      <c r="C45" t="s" s="20">
        <v>99</v>
      </c>
      <c r="D45" s="28">
        <v>15.9341497583873</v>
      </c>
      <c r="E45" s="29">
        <v>91.4138112648356</v>
      </c>
      <c r="F45" s="33">
        <v>9.192288309699119</v>
      </c>
      <c r="G45" s="25">
        <v>-5.51282305423841</v>
      </c>
      <c r="H45" s="2"/>
      <c r="I45" s="25">
        <v>4.7</v>
      </c>
      <c r="J45" s="25" cm="1">
        <f t="array" ref="J45">I45/1000</f>
        <v>0.0047</v>
      </c>
      <c r="K45" s="2"/>
      <c r="L45" s="25" cm="1">
        <f t="array" ref="L45">D45*$J45</f>
        <v>0.0748905038644203</v>
      </c>
      <c r="M45" s="25" cm="1">
        <f t="array" ref="M45">E45*$J45</f>
        <v>0.429644912944727</v>
      </c>
      <c r="N45" s="25" cm="1">
        <f t="array" ref="N45">F45*$J45</f>
        <v>0.0432037550555859</v>
      </c>
      <c r="O45" s="25" cm="1">
        <f t="array" ref="O45">G45*$J45</f>
        <v>-0.0259102683549205</v>
      </c>
      <c r="P45" s="2"/>
      <c r="Q45" s="25">
        <v>0.0213000000000001</v>
      </c>
      <c r="R45" s="25">
        <v>1</v>
      </c>
      <c r="S45" s="25" cm="1">
        <f t="array" ref="S45">L45/$Q45</f>
        <v>3.51598609692112</v>
      </c>
      <c r="T45" s="25" cm="1">
        <f t="array" ref="T45">M45/$Q45</f>
        <v>20.1711226734613</v>
      </c>
      <c r="U45" s="25" cm="1">
        <f t="array" ref="U45">N45/$Q45</f>
        <v>2.02834530777398</v>
      </c>
      <c r="V45" s="25" cm="1">
        <f t="array" ref="V45">O45/$Q45</f>
        <v>-1.21644452370518</v>
      </c>
      <c r="W45" s="2"/>
      <c r="X45" s="25" cm="1">
        <f t="array" ref="X45">S45-X$3-X$49</f>
        <v>-24.171259108091</v>
      </c>
      <c r="Y45" s="25" cm="1">
        <f t="array" ref="Y45">T45-Y$3-Y$49</f>
        <v>7.8883189299392</v>
      </c>
      <c r="Z45" s="25" cm="1">
        <f t="array" ref="Z45">U45-Z$3-Z$49</f>
        <v>-1.45745497266037</v>
      </c>
      <c r="AA45" s="25" cm="1">
        <f t="array" ref="AA45">V45-AA$3-AA$49</f>
        <v>0.33832551962752</v>
      </c>
      <c r="AB45" s="2"/>
      <c r="AC45" s="32" cm="1">
        <f t="array" ref="AC45">X45</f>
        <v>-24.171259108091</v>
      </c>
      <c r="AD45" s="32" cm="1">
        <f t="array" ref="AD45">Y45</f>
        <v>7.8883189299392</v>
      </c>
      <c r="AE45" s="32" cm="1">
        <f t="array" ref="AE45">Z45</f>
        <v>-1.45745497266037</v>
      </c>
      <c r="AF45" s="32" cm="1">
        <f t="array" ref="AF45">AA45</f>
        <v>0.33832551962752</v>
      </c>
    </row>
    <row r="46" ht="17" customHeight="1">
      <c r="A46" s="2"/>
      <c r="B46" t="s" s="24">
        <v>100</v>
      </c>
      <c r="C46" t="s" s="20">
        <v>101</v>
      </c>
      <c r="D46" s="28">
        <v>16.8254006010122</v>
      </c>
      <c r="E46" s="29">
        <v>64.52389946931829</v>
      </c>
      <c r="F46" s="29">
        <v>9.331105116858391</v>
      </c>
      <c r="G46" s="37">
        <v>-5.21583388620971</v>
      </c>
      <c r="H46" s="2"/>
      <c r="I46" s="25">
        <v>4.7</v>
      </c>
      <c r="J46" s="25" cm="1">
        <f t="array" ref="J46">I46/1000</f>
        <v>0.0047</v>
      </c>
      <c r="K46" s="2"/>
      <c r="L46" s="25" cm="1">
        <f t="array" ref="L46">D46*$J46</f>
        <v>0.07907938282475729</v>
      </c>
      <c r="M46" s="25" cm="1">
        <f t="array" ref="M46">E46*$J46</f>
        <v>0.303262327505796</v>
      </c>
      <c r="N46" s="25" cm="1">
        <f t="array" ref="N46">F46*$J46</f>
        <v>0.0438561940492344</v>
      </c>
      <c r="O46" s="25" cm="1">
        <f t="array" ref="O46">G46*$J46</f>
        <v>-0.0245144192651856</v>
      </c>
      <c r="P46" s="2"/>
      <c r="Q46" s="25">
        <v>0.0185999999999993</v>
      </c>
      <c r="R46" s="25">
        <v>1</v>
      </c>
      <c r="S46" s="25" cm="1">
        <f t="array" ref="S46">L46/$Q46</f>
        <v>4.25157972176131</v>
      </c>
      <c r="T46" s="25" cm="1">
        <f t="array" ref="T46">M46/$Q46</f>
        <v>16.3044262099896</v>
      </c>
      <c r="U46" s="25" cm="1">
        <f t="array" ref="U46">N46/$Q46</f>
        <v>2.35785989512022</v>
      </c>
      <c r="V46" s="25" cm="1">
        <f t="array" ref="V46">O46/$Q46</f>
        <v>-1.31797953038637</v>
      </c>
      <c r="W46" s="2"/>
      <c r="X46" s="25" cm="1">
        <f t="array" ref="X46">S46-X$3-X$49</f>
        <v>-23.4356654832508</v>
      </c>
      <c r="Y46" s="25" cm="1">
        <f t="array" ref="Y46">T46-Y$3-Y$49</f>
        <v>4.0216224664675</v>
      </c>
      <c r="Z46" s="25" cm="1">
        <f t="array" ref="Z46">U46-Z$3-Z$49</f>
        <v>-1.12794038531413</v>
      </c>
      <c r="AA46" s="25" cm="1">
        <f t="array" ref="AA46">V46-AA$3-AA$49</f>
        <v>0.23679051294633</v>
      </c>
      <c r="AB46" s="2"/>
      <c r="AC46" s="32" cm="1">
        <f t="array" ref="AC46">X46</f>
        <v>-23.4356654832508</v>
      </c>
      <c r="AD46" s="32" cm="1">
        <f t="array" ref="AD46">Y46</f>
        <v>4.0216224664675</v>
      </c>
      <c r="AE46" s="32" cm="1">
        <f t="array" ref="AE46">Z46</f>
        <v>-1.12794038531413</v>
      </c>
      <c r="AF46" s="32" cm="1">
        <f t="array" ref="AF46">AA46</f>
        <v>0.23679051294633</v>
      </c>
    </row>
    <row r="47" ht="17" customHeight="1">
      <c r="A47" s="2"/>
      <c r="B47" t="s" s="24">
        <v>102</v>
      </c>
      <c r="C47" t="s" s="20">
        <v>103</v>
      </c>
      <c r="D47" s="28">
        <v>17.058846315922</v>
      </c>
      <c r="E47" s="29">
        <v>68.4631974482095</v>
      </c>
      <c r="F47" s="29">
        <v>12.4916545213807</v>
      </c>
      <c r="G47" s="37">
        <v>-2.69471860627593</v>
      </c>
      <c r="H47" s="2"/>
      <c r="I47" s="25">
        <v>4.7</v>
      </c>
      <c r="J47" s="25" cm="1">
        <f t="array" ref="J47">I47/1000</f>
        <v>0.0047</v>
      </c>
      <c r="K47" s="2"/>
      <c r="L47" s="25" cm="1">
        <f t="array" ref="L47">D47*$J47</f>
        <v>0.0801765776848334</v>
      </c>
      <c r="M47" s="25" cm="1">
        <f t="array" ref="M47">E47*$J47</f>
        <v>0.321777028006585</v>
      </c>
      <c r="N47" s="25" cm="1">
        <f t="array" ref="N47">F47*$J47</f>
        <v>0.0587107762504893</v>
      </c>
      <c r="O47" s="25" cm="1">
        <f t="array" ref="O47">G47*$J47</f>
        <v>-0.0126651774494969</v>
      </c>
      <c r="P47" s="2"/>
      <c r="Q47" s="25">
        <v>0.0198</v>
      </c>
      <c r="R47" s="25">
        <v>1</v>
      </c>
      <c r="S47" s="25" cm="1">
        <f t="array" ref="S47">L47/$Q47</f>
        <v>4.04932210529462</v>
      </c>
      <c r="T47" s="25" cm="1">
        <f t="array" ref="T47">M47/$Q47</f>
        <v>16.2513650508376</v>
      </c>
      <c r="U47" s="25" cm="1">
        <f t="array" ref="U47">N47/$Q47</f>
        <v>2.96519071972168</v>
      </c>
      <c r="V47" s="25" cm="1">
        <f t="array" ref="V47">O47/$Q47</f>
        <v>-0.6396554267422681</v>
      </c>
      <c r="W47" s="2"/>
      <c r="X47" s="25" cm="1">
        <f t="array" ref="X47">S47-X$3-X$49</f>
        <v>-23.6379230997175</v>
      </c>
      <c r="Y47" s="25" cm="1">
        <f t="array" ref="Y47">T47-Y$3-Y$49</f>
        <v>3.9685613073155</v>
      </c>
      <c r="Z47" s="25" cm="1">
        <f t="array" ref="Z47">U47-Z$3-Z$49</f>
        <v>-0.5206095607126699</v>
      </c>
      <c r="AA47" s="25" cm="1">
        <f t="array" ref="AA47">V47-AA$3-AA$49</f>
        <v>0.915114616590432</v>
      </c>
      <c r="AB47" s="2"/>
      <c r="AC47" s="32" cm="1">
        <f t="array" ref="AC47">X47</f>
        <v>-23.6379230997175</v>
      </c>
      <c r="AD47" s="32" cm="1">
        <f t="array" ref="AD47">Y47</f>
        <v>3.9685613073155</v>
      </c>
      <c r="AE47" s="32" cm="1">
        <f t="array" ref="AE47">Z47</f>
        <v>-0.5206095607126699</v>
      </c>
      <c r="AF47" s="32" cm="1">
        <f t="array" ref="AF47">AA47</f>
        <v>0.915114616590432</v>
      </c>
    </row>
    <row r="48" ht="17" customHeight="1">
      <c r="A48" s="2"/>
      <c r="B48" t="s" s="24">
        <v>104</v>
      </c>
      <c r="C48" t="s" s="20">
        <v>105</v>
      </c>
      <c r="D48" s="28">
        <v>38.7465211063752</v>
      </c>
      <c r="E48" s="29">
        <v>50.7132592476372</v>
      </c>
      <c r="F48" s="29">
        <v>15.0988190310348</v>
      </c>
      <c r="G48" s="37">
        <v>-6.3910360101528</v>
      </c>
      <c r="H48" s="2"/>
      <c r="I48" s="25">
        <v>4.7</v>
      </c>
      <c r="J48" s="25" cm="1">
        <f t="array" ref="J48">I48/1000</f>
        <v>0.0047</v>
      </c>
      <c r="K48" s="2"/>
      <c r="L48" s="25" cm="1">
        <f t="array" ref="L48">D48*$J48</f>
        <v>0.182108649199963</v>
      </c>
      <c r="M48" s="25" cm="1">
        <f t="array" ref="M48">E48*$J48</f>
        <v>0.238352318463895</v>
      </c>
      <c r="N48" s="25" cm="1">
        <f t="array" ref="N48">F48*$J48</f>
        <v>0.07096444944586359</v>
      </c>
      <c r="O48" s="25" cm="1">
        <f t="array" ref="O48">G48*$J48</f>
        <v>-0.0300378692477182</v>
      </c>
      <c r="P48" s="2"/>
      <c r="Q48" s="25">
        <v>0.019400000000001</v>
      </c>
      <c r="R48" s="25">
        <v>1</v>
      </c>
      <c r="S48" s="25" cm="1">
        <f t="array" ref="S48">L48/$Q48</f>
        <v>9.38704377319349</v>
      </c>
      <c r="T48" s="25" cm="1">
        <f t="array" ref="T48">M48/$Q48</f>
        <v>12.2862019826744</v>
      </c>
      <c r="U48" s="25" cm="1">
        <f t="array" ref="U48">N48/$Q48</f>
        <v>3.65796131164227</v>
      </c>
      <c r="V48" s="25" cm="1">
        <f t="array" ref="V48">O48/$Q48</f>
        <v>-1.5483437756555</v>
      </c>
      <c r="W48" s="2"/>
      <c r="X48" s="2"/>
      <c r="Y48" s="2"/>
      <c r="Z48" s="2"/>
      <c r="AA48" s="2"/>
      <c r="AB48" s="2"/>
      <c r="AC48" s="26"/>
      <c r="AD48" s="26"/>
      <c r="AE48" s="32" cm="1">
        <f t="array" ref="AE48">Z48</f>
        <v>0</v>
      </c>
      <c r="AF48" s="26"/>
    </row>
    <row r="49" ht="17" customHeight="1">
      <c r="A49" s="2"/>
      <c r="B49" t="s" s="24">
        <v>106</v>
      </c>
      <c r="C49" t="s" s="20">
        <v>107</v>
      </c>
      <c r="D49" s="28">
        <v>281.846672178822</v>
      </c>
      <c r="E49" s="29">
        <v>52.9328055571988</v>
      </c>
      <c r="F49" s="29">
        <v>16.9811850194935</v>
      </c>
      <c r="G49" s="37">
        <v>-6.16187526227493</v>
      </c>
      <c r="H49" s="2"/>
      <c r="I49" s="25">
        <v>4.7</v>
      </c>
      <c r="J49" s="25" cm="1">
        <f t="array" ref="J49">I49/1000</f>
        <v>0.0047</v>
      </c>
      <c r="K49" s="2"/>
      <c r="L49" s="25" cm="1">
        <f t="array" ref="L49">D49*$J49</f>
        <v>1.32467935924046</v>
      </c>
      <c r="M49" s="25" cm="1">
        <f t="array" ref="M49">E49*$J49</f>
        <v>0.248784186118834</v>
      </c>
      <c r="N49" s="25" cm="1">
        <f t="array" ref="N49">F49*$J49</f>
        <v>0.0798115695916195</v>
      </c>
      <c r="O49" s="25" cm="1">
        <f t="array" ref="O49">G49*$J49</f>
        <v>-0.0289608137326922</v>
      </c>
      <c r="P49" s="2"/>
      <c r="Q49" s="25">
        <v>0.0190000000000001</v>
      </c>
      <c r="R49" s="25">
        <v>1</v>
      </c>
      <c r="S49" s="25" cm="1">
        <f t="array" ref="S49">L49/$Q49</f>
        <v>69.71996627581331</v>
      </c>
      <c r="T49" s="25" cm="1">
        <f t="array" ref="T49">M49/$Q49</f>
        <v>13.0939045325701</v>
      </c>
      <c r="U49" s="25" cm="1">
        <f t="array" ref="U49">N49/$Q49</f>
        <v>4.20060892587469</v>
      </c>
      <c r="V49" s="25" cm="1">
        <f t="array" ref="V49">O49/$Q49</f>
        <v>-1.52425335435221</v>
      </c>
      <c r="W49" s="2"/>
      <c r="X49" s="25" cm="1">
        <f t="array" ref="X49">AVERAGE(S48:S50)</f>
        <v>27.6872452050121</v>
      </c>
      <c r="Y49" s="25" cm="1">
        <f t="array" ref="Y49">AVERAGE(T48:T50)</f>
        <v>12.2828037435221</v>
      </c>
      <c r="Z49" s="25" cm="1">
        <f t="array" ref="Z49">AVERAGE(U48:U50)</f>
        <v>3.48580028043435</v>
      </c>
      <c r="AA49" s="25" cm="1">
        <f t="array" ref="AA49">AVERAGE(V48:V50)</f>
        <v>-1.5547700433327</v>
      </c>
      <c r="AB49" s="2"/>
      <c r="AC49" s="26"/>
      <c r="AD49" s="26"/>
      <c r="AE49" s="26"/>
      <c r="AF49" s="26"/>
    </row>
    <row r="50" ht="17" customHeight="1">
      <c r="A50" s="2"/>
      <c r="B50" t="s" s="24">
        <v>108</v>
      </c>
      <c r="C50" t="s" s="38">
        <v>109</v>
      </c>
      <c r="D50" s="28">
        <v>15.5664729726685</v>
      </c>
      <c r="E50" s="29">
        <v>45.1411994113721</v>
      </c>
      <c r="F50" s="29">
        <v>10.2294396106471</v>
      </c>
      <c r="G50" s="37">
        <v>-6.2652532978343</v>
      </c>
      <c r="H50" s="2"/>
      <c r="I50" s="25">
        <v>4.7</v>
      </c>
      <c r="J50" s="25" cm="1">
        <f t="array" ref="J50">I50/1000</f>
        <v>0.0047</v>
      </c>
      <c r="K50" s="2"/>
      <c r="L50" s="25" cm="1">
        <f t="array" ref="L50">D50*$J50</f>
        <v>0.073162422971542</v>
      </c>
      <c r="M50" s="25" cm="1">
        <f t="array" ref="M50">E50*$J50</f>
        <v>0.212163637233449</v>
      </c>
      <c r="N50" s="25" cm="1">
        <f t="array" ref="N50">F50*$J50</f>
        <v>0.0480783661700414</v>
      </c>
      <c r="O50" s="25" cm="1">
        <f t="array" ref="O50">G50*$J50</f>
        <v>-0.0294466904998212</v>
      </c>
      <c r="P50" s="2"/>
      <c r="Q50" s="25">
        <v>0.0184999999999995</v>
      </c>
      <c r="R50" s="25">
        <v>1</v>
      </c>
      <c r="S50" s="25" cm="1">
        <f t="array" ref="S50">L50/$Q50</f>
        <v>3.9547255660294</v>
      </c>
      <c r="T50" s="25" cm="1">
        <f t="array" ref="T50">M50/$Q50</f>
        <v>11.4683047153219</v>
      </c>
      <c r="U50" s="25" cm="1">
        <f t="array" ref="U50">N50/$Q50</f>
        <v>2.59883060378609</v>
      </c>
      <c r="V50" s="25" cm="1">
        <f t="array" ref="V50">O50/$Q50</f>
        <v>-1.59171299999038</v>
      </c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7" customHeight="1">
      <c r="A51" s="2"/>
      <c r="B51" t="s" s="24">
        <v>20</v>
      </c>
      <c r="C51" t="s" s="39">
        <v>110</v>
      </c>
      <c r="D51" s="28">
        <v>38.3253990248313</v>
      </c>
      <c r="E51" s="29">
        <v>212.773039722088</v>
      </c>
      <c r="F51" s="33">
        <v>264.595985235274</v>
      </c>
      <c r="G51" s="25">
        <v>-5.65542096266678</v>
      </c>
      <c r="H51" s="2"/>
      <c r="I51" s="25">
        <v>4.7093</v>
      </c>
      <c r="J51" s="25" cm="1">
        <f t="array" ref="J51">I51/1000</f>
        <v>0.0047093</v>
      </c>
      <c r="K51" s="2"/>
      <c r="L51" s="25" cm="1">
        <f t="array" ref="L51">D51*$J51</f>
        <v>0.180485801627638</v>
      </c>
      <c r="M51" s="25" cm="1">
        <f t="array" ref="M51">E51*$J51</f>
        <v>1.00201207596323</v>
      </c>
      <c r="N51" s="25" cm="1">
        <f t="array" ref="N51">F51*$J51</f>
        <v>1.24606187326848</v>
      </c>
      <c r="O51" s="25" cm="1">
        <f t="array" ref="O51">G51*$J51</f>
        <v>-0.0266330739394867</v>
      </c>
      <c r="P51" s="2"/>
      <c r="Q51" s="25">
        <v>0.0182000000000002</v>
      </c>
      <c r="R51" s="25">
        <v>1</v>
      </c>
      <c r="S51" s="25" cm="1">
        <f t="array" ref="S51">L51/$Q51</f>
        <v>9.91680228723275</v>
      </c>
      <c r="T51" s="25" cm="1">
        <f t="array" ref="T51">M51/$Q51</f>
        <v>55.0556085694076</v>
      </c>
      <c r="U51" s="25" cm="1">
        <f t="array" ref="U51">N51/$Q51</f>
        <v>68.464938091674</v>
      </c>
      <c r="V51" s="25" cm="1">
        <f t="array" ref="V51">O51/$Q51</f>
        <v>-1.46335571096079</v>
      </c>
      <c r="W51" s="2"/>
      <c r="X51" s="25" cm="1">
        <f t="array" ref="X51">S51-X$3-X$58</f>
        <v>-10.0025168326195</v>
      </c>
      <c r="Y51" s="25" cm="1">
        <f t="array" ref="Y51">T51-Y$3-Y$58</f>
        <v>50.2641166250207</v>
      </c>
      <c r="Z51" s="25" cm="1">
        <f t="array" ref="Z51">U51-Z$3-Z$49</f>
        <v>64.9791378112397</v>
      </c>
      <c r="AA51" s="25" cm="1">
        <f t="array" ref="AA51">V51-AA$3-AA$49</f>
        <v>0.09141433237191</v>
      </c>
      <c r="AB51" s="2"/>
      <c r="AC51" s="32" cm="1">
        <f t="array" ref="AC51">X51</f>
        <v>-10.0025168326195</v>
      </c>
      <c r="AD51" s="32" cm="1">
        <f t="array" ref="AD51">Y51</f>
        <v>50.2641166250207</v>
      </c>
      <c r="AE51" s="32" cm="1">
        <f t="array" ref="AE51">Z51</f>
        <v>64.9791378112397</v>
      </c>
      <c r="AF51" s="32" cm="1">
        <f t="array" ref="AF51">AA51</f>
        <v>0.09141433237191</v>
      </c>
    </row>
    <row r="52" ht="17" customHeight="1">
      <c r="A52" s="2"/>
      <c r="B52" t="s" s="24">
        <v>22</v>
      </c>
      <c r="C52" t="s" s="39">
        <v>111</v>
      </c>
      <c r="D52" s="28">
        <v>36.4599471023017</v>
      </c>
      <c r="E52" s="29">
        <v>210.136556034287</v>
      </c>
      <c r="F52" s="30">
        <v>272.248865472176</v>
      </c>
      <c r="G52" s="31">
        <v>-5.82466017631408</v>
      </c>
      <c r="H52" s="2"/>
      <c r="I52" s="25">
        <v>4.6945</v>
      </c>
      <c r="J52" s="25" cm="1">
        <f t="array" ref="J52">I52/1000</f>
        <v>0.0046945</v>
      </c>
      <c r="K52" s="2"/>
      <c r="L52" s="25" cm="1">
        <f t="array" ref="L52">D52*$J52</f>
        <v>0.171161221671755</v>
      </c>
      <c r="M52" s="25" cm="1">
        <f t="array" ref="M52">E52*$J52</f>
        <v>0.98648606230296</v>
      </c>
      <c r="N52" s="25" cm="1">
        <f t="array" ref="N52">F52*$J52</f>
        <v>1.27807229895913</v>
      </c>
      <c r="O52" s="25" cm="1">
        <f t="array" ref="O52">G52*$J52</f>
        <v>-0.0273438671977064</v>
      </c>
      <c r="P52" s="2"/>
      <c r="Q52" s="25">
        <v>0.0177999999999994</v>
      </c>
      <c r="R52" s="25">
        <v>1</v>
      </c>
      <c r="S52" s="25" cm="1">
        <f t="array" ref="S52">L52/$Q52</f>
        <v>9.61579897032364</v>
      </c>
      <c r="T52" s="25" cm="1">
        <f t="array" ref="T52">M52/$Q52</f>
        <v>55.420565297921</v>
      </c>
      <c r="U52" s="25" cm="1">
        <f t="array" ref="U52">N52/$Q52</f>
        <v>71.8018145482682</v>
      </c>
      <c r="V52" s="25" cm="1">
        <f t="array" ref="V52">O52/$Q52</f>
        <v>-1.53617231447794</v>
      </c>
      <c r="W52" s="2"/>
      <c r="X52" s="25" cm="1">
        <f t="array" ref="X52">S52-X$3-X$58</f>
        <v>-10.3035201495286</v>
      </c>
      <c r="Y52" s="25" cm="1">
        <f t="array" ref="Y52">T52-Y$3-Y$58</f>
        <v>50.6290733535341</v>
      </c>
      <c r="Z52" s="25" cm="1">
        <f t="array" ref="Z52">U52-Z$3-Z$49</f>
        <v>68.31601426783391</v>
      </c>
      <c r="AA52" s="25" cm="1">
        <f t="array" ref="AA52">V52-AA$3-AA$49</f>
        <v>0.01859772885476</v>
      </c>
      <c r="AB52" s="2"/>
      <c r="AC52" s="32" cm="1">
        <f t="array" ref="AC52">X52</f>
        <v>-10.3035201495286</v>
      </c>
      <c r="AD52" s="32" cm="1">
        <f t="array" ref="AD52">Y52</f>
        <v>50.6290733535341</v>
      </c>
      <c r="AE52" s="32" cm="1">
        <f t="array" ref="AE52">Z52</f>
        <v>68.31601426783391</v>
      </c>
      <c r="AF52" s="32" cm="1">
        <f t="array" ref="AF52">AA52</f>
        <v>0.01859772885476</v>
      </c>
    </row>
    <row r="53" ht="17" customHeight="1">
      <c r="A53" s="2"/>
      <c r="B53" t="s" s="24">
        <v>24</v>
      </c>
      <c r="C53" t="s" s="39">
        <v>112</v>
      </c>
      <c r="D53" s="28">
        <v>79.92146772277241</v>
      </c>
      <c r="E53" s="29">
        <v>233.732217270675</v>
      </c>
      <c r="F53" s="33">
        <v>336.554641370523</v>
      </c>
      <c r="G53" s="25">
        <v>-5.24531280299193</v>
      </c>
      <c r="H53" s="2"/>
      <c r="I53" s="25">
        <v>4.7005</v>
      </c>
      <c r="J53" s="25" cm="1">
        <f t="array" ref="J53">I53/1000</f>
        <v>0.0047005</v>
      </c>
      <c r="K53" s="2"/>
      <c r="L53" s="25" cm="1">
        <f t="array" ref="L53">D53*$J53</f>
        <v>0.375670859030892</v>
      </c>
      <c r="M53" s="25" cm="1">
        <f t="array" ref="M53">E53*$J53</f>
        <v>1.09865828728081</v>
      </c>
      <c r="N53" s="25" cm="1">
        <f t="array" ref="N53">F53*$J53</f>
        <v>1.58197509176214</v>
      </c>
      <c r="O53" s="25" cm="1">
        <f t="array" ref="O53">G53*$J53</f>
        <v>-0.0246555928304636</v>
      </c>
      <c r="P53" s="2"/>
      <c r="Q53" s="25">
        <v>0.0183999999999997</v>
      </c>
      <c r="R53" s="25">
        <v>1</v>
      </c>
      <c r="S53" s="25" cm="1">
        <f t="array" ref="S53">L53/$Q53</f>
        <v>20.4168945125488</v>
      </c>
      <c r="T53" s="25" cm="1">
        <f t="array" ref="T53">M53/$Q53</f>
        <v>59.709689526132</v>
      </c>
      <c r="U53" s="25" cm="1">
        <f t="array" ref="U53">N53/$Q53</f>
        <v>85.9769071609873</v>
      </c>
      <c r="V53" s="25" cm="1">
        <f t="array" ref="V53">O53/$Q53</f>
        <v>-1.33997787122087</v>
      </c>
      <c r="W53" s="2"/>
      <c r="X53" s="25" cm="1">
        <f t="array" ref="X53">S53-X$3-X$58</f>
        <v>0.4975753926966</v>
      </c>
      <c r="Y53" s="25" cm="1">
        <f t="array" ref="Y53">T53-Y$3-Y$58</f>
        <v>54.9181975817451</v>
      </c>
      <c r="Z53" s="25" cm="1">
        <f t="array" ref="Z53">U53-Z$3-Z$49</f>
        <v>82.491106880553</v>
      </c>
      <c r="AA53" s="25" cm="1">
        <f t="array" ref="AA53">V53-AA$3-AA$49</f>
        <v>0.21479217211183</v>
      </c>
      <c r="AB53" s="2"/>
      <c r="AC53" s="32" cm="1">
        <f t="array" ref="AC53">X53</f>
        <v>0.4975753926966</v>
      </c>
      <c r="AD53" s="32" cm="1">
        <f t="array" ref="AD53">Y53</f>
        <v>54.9181975817451</v>
      </c>
      <c r="AE53" s="32" cm="1">
        <f t="array" ref="AE53">Z53</f>
        <v>82.491106880553</v>
      </c>
      <c r="AF53" s="32" cm="1">
        <f t="array" ref="AF53">AA53</f>
        <v>0.21479217211183</v>
      </c>
    </row>
    <row r="54" ht="17" customHeight="1">
      <c r="A54" s="2"/>
      <c r="B54" t="s" s="24">
        <v>26</v>
      </c>
      <c r="C54" t="s" s="39">
        <v>113</v>
      </c>
      <c r="D54" s="28">
        <v>154.605245012620</v>
      </c>
      <c r="E54" s="29">
        <v>20.2513415892197</v>
      </c>
      <c r="F54" s="30">
        <v>11.7974329617576</v>
      </c>
      <c r="G54" s="31">
        <v>72.7779804362232</v>
      </c>
      <c r="H54" s="27"/>
      <c r="I54" s="25">
        <v>4.623</v>
      </c>
      <c r="J54" s="25" cm="1">
        <f t="array" ref="J54">I54/1000</f>
        <v>0.004623</v>
      </c>
      <c r="K54" s="2"/>
      <c r="L54" s="25" cm="1">
        <f t="array" ref="L54">D54*$J54</f>
        <v>0.714740047693342</v>
      </c>
      <c r="M54" s="25" cm="1">
        <f t="array" ref="M54">E54*$J54</f>
        <v>0.0936219521669627</v>
      </c>
      <c r="N54" s="25" cm="1">
        <f t="array" ref="N54">F54*$J54</f>
        <v>0.0545395325822054</v>
      </c>
      <c r="O54" s="25" cm="1">
        <f t="array" ref="O54">G54*$J54</f>
        <v>0.33645260355666</v>
      </c>
      <c r="P54" s="2"/>
      <c r="Q54" s="25">
        <v>0.0179000000000009</v>
      </c>
      <c r="R54" s="25">
        <v>1</v>
      </c>
      <c r="S54" s="25" cm="1">
        <f t="array" ref="S54">L54/$Q54</f>
        <v>39.929611602978</v>
      </c>
      <c r="T54" s="25" cm="1">
        <f t="array" ref="T54">M54/$Q54</f>
        <v>5.23027665737195</v>
      </c>
      <c r="U54" s="25" cm="1">
        <f t="array" ref="U54">N54/$Q54</f>
        <v>3.04690126157557</v>
      </c>
      <c r="V54" s="25" cm="1">
        <f t="array" ref="V54">O54/$Q54</f>
        <v>18.7962348355667</v>
      </c>
      <c r="W54" s="2"/>
      <c r="X54" s="25" cm="1">
        <f t="array" ref="X54">S54-X$3-X$58</f>
        <v>20.0102924831258</v>
      </c>
      <c r="Y54" s="25" cm="1">
        <f t="array" ref="Y54">T54-Y$3-Y$58</f>
        <v>0.43878471298505</v>
      </c>
      <c r="Z54" s="25" cm="1">
        <f t="array" ref="Z54">U54-Z$3-Z$49</f>
        <v>-0.43889901885878</v>
      </c>
      <c r="AA54" s="25" cm="1">
        <f t="array" ref="AA54">V54-AA$3-AA$49</f>
        <v>20.3510048788994</v>
      </c>
      <c r="AB54" s="2"/>
      <c r="AC54" s="32" cm="1">
        <f t="array" ref="AC54">X54</f>
        <v>20.0102924831258</v>
      </c>
      <c r="AD54" s="32" cm="1">
        <f t="array" ref="AD54">Y54</f>
        <v>0.43878471298505</v>
      </c>
      <c r="AE54" s="32" cm="1">
        <f t="array" ref="AE54">Z54</f>
        <v>-0.43889901885878</v>
      </c>
      <c r="AF54" s="32" cm="1">
        <f t="array" ref="AF54">AA54</f>
        <v>20.3510048788994</v>
      </c>
    </row>
    <row r="55" ht="17" customHeight="1">
      <c r="A55" s="2"/>
      <c r="B55" t="s" s="24">
        <v>28</v>
      </c>
      <c r="C55" t="s" s="39">
        <v>114</v>
      </c>
      <c r="D55" s="28">
        <v>84.9043021368922</v>
      </c>
      <c r="E55" s="29">
        <v>12.4334890266111</v>
      </c>
      <c r="F55" s="29">
        <v>14.791978861778</v>
      </c>
      <c r="G55" s="40">
        <v>67.34633361976771</v>
      </c>
      <c r="H55" s="35"/>
      <c r="I55" s="25">
        <v>4.6957</v>
      </c>
      <c r="J55" s="25" cm="1">
        <f t="array" ref="J55">I55/1000</f>
        <v>0.0046957</v>
      </c>
      <c r="K55" s="2"/>
      <c r="L55" s="25" cm="1">
        <f t="array" ref="L55">D55*$J55</f>
        <v>0.398685131544205</v>
      </c>
      <c r="M55" s="25" cm="1">
        <f t="array" ref="M55">E55*$J55</f>
        <v>0.0583839344222577</v>
      </c>
      <c r="N55" s="25" cm="1">
        <f t="array" ref="N55">H55*$J55</f>
        <v>0</v>
      </c>
      <c r="O55" s="25" cm="1">
        <f t="array" ref="O55">G55*$J55</f>
        <v>0.316238178778343</v>
      </c>
      <c r="P55" s="2"/>
      <c r="Q55" s="25">
        <v>0.0181000000000004</v>
      </c>
      <c r="R55" s="25">
        <v>1</v>
      </c>
      <c r="S55" s="25" cm="1">
        <f t="array" ref="S55">L55/$Q55</f>
        <v>22.0268028477456</v>
      </c>
      <c r="T55" s="25" cm="1">
        <f t="array" ref="T55">M55/$Q55</f>
        <v>3.22563173603627</v>
      </c>
      <c r="U55" s="25" cm="1">
        <f t="array" ref="U55">N55/$Q55</f>
        <v>0</v>
      </c>
      <c r="V55" s="25" cm="1">
        <f t="array" ref="V55">O55/$Q55</f>
        <v>17.4717225844385</v>
      </c>
      <c r="W55" s="2"/>
      <c r="X55" s="25" cm="1">
        <f t="array" ref="X55">S55-X$3-X$58</f>
        <v>2.1074837278934</v>
      </c>
      <c r="Y55" s="25" cm="1">
        <f t="array" ref="Y55">T55-Y$3-Y$58</f>
        <v>-1.56586020835063</v>
      </c>
      <c r="Z55" s="25" cm="1">
        <f t="array" ref="Z55">U55-Z$3-Z$49</f>
        <v>-3.48580028043435</v>
      </c>
      <c r="AA55" s="25" cm="1">
        <f t="array" ref="AA55">V55-AA$3-AA$49</f>
        <v>19.0264926277712</v>
      </c>
      <c r="AB55" s="2"/>
      <c r="AC55" s="32" cm="1">
        <f t="array" ref="AC55">X55</f>
        <v>2.1074837278934</v>
      </c>
      <c r="AD55" s="32" cm="1">
        <f t="array" ref="AD55">Y55</f>
        <v>-1.56586020835063</v>
      </c>
      <c r="AE55" s="32" cm="1">
        <f t="array" ref="AE55">Z55</f>
        <v>-3.48580028043435</v>
      </c>
      <c r="AF55" s="32" cm="1">
        <f t="array" ref="AF55">AA55</f>
        <v>19.0264926277712</v>
      </c>
    </row>
    <row r="56" ht="17" customHeight="1">
      <c r="A56" s="2"/>
      <c r="B56" t="s" s="24">
        <v>30</v>
      </c>
      <c r="C56" t="s" s="39">
        <v>115</v>
      </c>
      <c r="D56" s="28">
        <v>29.5999927755775</v>
      </c>
      <c r="E56" s="29">
        <v>11.4813076885263</v>
      </c>
      <c r="F56" s="30">
        <v>6.79069344150092</v>
      </c>
      <c r="G56" s="31">
        <v>-6.9345847201698</v>
      </c>
      <c r="H56" s="2"/>
      <c r="I56" s="25">
        <v>4.6982</v>
      </c>
      <c r="J56" s="25" cm="1">
        <f t="array" ref="J56">I56/1000</f>
        <v>0.0046982</v>
      </c>
      <c r="K56" s="2"/>
      <c r="L56" s="25" cm="1">
        <f t="array" ref="L56">D56*$J56</f>
        <v>0.139066686058218</v>
      </c>
      <c r="M56" s="25" cm="1">
        <f t="array" ref="M56">E56*$J56</f>
        <v>0.0539414797822343</v>
      </c>
      <c r="N56" s="25" cm="1">
        <f t="array" ref="N56">F56*$J56</f>
        <v>0.0319040359268596</v>
      </c>
      <c r="O56" s="25" cm="1">
        <f t="array" ref="O56">G56*$J56</f>
        <v>-0.0325800659323018</v>
      </c>
      <c r="P56" s="2"/>
      <c r="Q56" s="25">
        <v>0.0187999999999988</v>
      </c>
      <c r="R56" s="25">
        <v>1</v>
      </c>
      <c r="S56" s="25" cm="1">
        <f t="array" ref="S56">L56/$Q56</f>
        <v>7.39716415203334</v>
      </c>
      <c r="T56" s="25" cm="1">
        <f t="array" ref="T56">M56/$Q56</f>
        <v>2.86922764799137</v>
      </c>
      <c r="U56" s="25" cm="1">
        <f t="array" ref="U56">N56/$Q56</f>
        <v>1.69702318759902</v>
      </c>
      <c r="V56" s="25" cm="1">
        <f t="array" ref="V56">O56/$Q56</f>
        <v>-1.7329822304417</v>
      </c>
      <c r="W56" s="2"/>
      <c r="X56" s="25" cm="1">
        <f t="array" ref="X56">S56-X$3-X$58</f>
        <v>-12.5221549678189</v>
      </c>
      <c r="Y56" s="25" cm="1">
        <f t="array" ref="Y56">T56-Y$3-Y$58</f>
        <v>-1.92226429639553</v>
      </c>
      <c r="Z56" s="25" cm="1">
        <f t="array" ref="Z56">U56-Z$3-Z$49</f>
        <v>-1.78877709283533</v>
      </c>
      <c r="AA56" s="25" cm="1">
        <f t="array" ref="AA56">V56-AA$3-AA$49</f>
        <v>-0.178212187109</v>
      </c>
      <c r="AB56" s="2"/>
      <c r="AC56" s="32" cm="1">
        <f t="array" ref="AC56">X56</f>
        <v>-12.5221549678189</v>
      </c>
      <c r="AD56" s="32" cm="1">
        <f t="array" ref="AD56">Y56</f>
        <v>-1.92226429639553</v>
      </c>
      <c r="AE56" s="32" cm="1">
        <f t="array" ref="AE56">Z56</f>
        <v>-1.78877709283533</v>
      </c>
      <c r="AF56" s="32" cm="1">
        <f t="array" ref="AF56">AA56</f>
        <v>-0.178212187109</v>
      </c>
    </row>
    <row r="57" ht="17" customHeight="1">
      <c r="A57" s="2"/>
      <c r="B57" t="s" s="24">
        <v>32</v>
      </c>
      <c r="C57" t="s" s="39">
        <v>116</v>
      </c>
      <c r="D57" s="28">
        <v>13.4738366378627</v>
      </c>
      <c r="E57" s="29">
        <v>22.1474125781487</v>
      </c>
      <c r="F57" s="33">
        <v>20.5863587991581</v>
      </c>
      <c r="G57" s="25">
        <v>-7.01278143537268</v>
      </c>
      <c r="H57" s="2"/>
      <c r="I57" s="25">
        <v>4.6903</v>
      </c>
      <c r="J57" s="25" cm="1">
        <f t="array" ref="J57">I57/1000</f>
        <v>0.0046903</v>
      </c>
      <c r="K57" s="2"/>
      <c r="L57" s="25" cm="1">
        <f t="array" ref="L57">D57*$J57</f>
        <v>0.06319633598256739</v>
      </c>
      <c r="M57" s="25" cm="1">
        <f t="array" ref="M57">E57*$J57</f>
        <v>0.103878009215291</v>
      </c>
      <c r="N57" s="25" cm="1">
        <f t="array" ref="N57">F57*$J57</f>
        <v>0.09655619867569119</v>
      </c>
      <c r="O57" s="25" cm="1">
        <f t="array" ref="O57">G57*$J57</f>
        <v>-0.0328920487663285</v>
      </c>
      <c r="P57" s="2"/>
      <c r="Q57" s="25">
        <v>0.0183999999999997</v>
      </c>
      <c r="R57" s="25">
        <v>1</v>
      </c>
      <c r="S57" s="25" cm="1">
        <f t="array" ref="S57">L57/$Q57</f>
        <v>3.4345834773135</v>
      </c>
      <c r="T57" s="25" cm="1">
        <f t="array" ref="T57">M57/$Q57</f>
        <v>5.64554397909199</v>
      </c>
      <c r="U57" s="25" cm="1">
        <f t="array" ref="U57">N57/$Q57</f>
        <v>5.24761949324417</v>
      </c>
      <c r="V57" s="25" cm="1">
        <f t="array" ref="V57">O57/$Q57</f>
        <v>-1.78761134599614</v>
      </c>
      <c r="W57" s="2"/>
      <c r="X57" s="2"/>
      <c r="Y57" s="2"/>
      <c r="Z57" s="2"/>
      <c r="AA57" s="2"/>
      <c r="AB57" s="2"/>
      <c r="AC57" s="26"/>
      <c r="AD57" s="32" cm="1">
        <f t="array" ref="AD57">Y57</f>
        <v>0</v>
      </c>
      <c r="AE57" s="26"/>
      <c r="AF57" s="26"/>
    </row>
    <row r="58" ht="17" customHeight="1">
      <c r="A58" s="2"/>
      <c r="B58" t="s" s="24">
        <v>34</v>
      </c>
      <c r="C58" t="s" s="39">
        <v>117</v>
      </c>
      <c r="D58" s="28">
        <v>16.0398668664087</v>
      </c>
      <c r="E58" s="29">
        <v>12.3274359090942</v>
      </c>
      <c r="F58" s="30">
        <v>18.0977950209813</v>
      </c>
      <c r="G58" s="31">
        <v>-7.49571783698918</v>
      </c>
      <c r="H58" s="2"/>
      <c r="I58" s="25">
        <v>4.7205</v>
      </c>
      <c r="J58" s="25" cm="1">
        <f t="array" ref="J58">I58/1000</f>
        <v>0.0047205</v>
      </c>
      <c r="K58" s="2"/>
      <c r="L58" s="25" cm="1">
        <f t="array" ref="L58">D58*$J58</f>
        <v>0.0757161915428823</v>
      </c>
      <c r="M58" s="25" cm="1">
        <f t="array" ref="M58">E58*$J58</f>
        <v>0.0581916612088792</v>
      </c>
      <c r="N58" s="25" cm="1">
        <f t="array" ref="N58">F58*$J58</f>
        <v>0.0854306413965422</v>
      </c>
      <c r="O58" s="25" cm="1">
        <f t="array" ref="O58">G58*$J58</f>
        <v>-0.0353835360495074</v>
      </c>
      <c r="P58" s="2"/>
      <c r="Q58" s="25">
        <v>0.0181000000000004</v>
      </c>
      <c r="R58" s="25">
        <v>1</v>
      </c>
      <c r="S58" s="25" cm="1">
        <f t="array" ref="S58">L58/$Q58</f>
        <v>4.1832150023691</v>
      </c>
      <c r="T58" s="25" cm="1">
        <f t="array" ref="T58">M58/$Q58</f>
        <v>3.21500890656784</v>
      </c>
      <c r="U58" s="25" cm="1">
        <f t="array" ref="U58">N58/$Q58</f>
        <v>4.71992493903538</v>
      </c>
      <c r="V58" s="25" cm="1">
        <f t="array" ref="V58">O58/$Q58</f>
        <v>-1.95489149444788</v>
      </c>
      <c r="W58" s="2"/>
      <c r="X58" s="25" cm="1">
        <f t="array" ref="X58">AVERAGE(S57:S59)</f>
        <v>19.9193191198522</v>
      </c>
      <c r="Y58" s="25" cm="1">
        <f t="array" ref="Y58">AVERAGE(T57:T59)</f>
        <v>4.7914919443869</v>
      </c>
      <c r="Z58" s="25" cm="1">
        <f t="array" ref="Z58">AVERAGE(U57:U59)</f>
        <v>5.24579879327767</v>
      </c>
      <c r="AA58" s="25" cm="1">
        <f t="array" ref="AA58">AVERAGE(V57:V59)</f>
        <v>5.76072314209836</v>
      </c>
      <c r="AB58" s="2"/>
      <c r="AC58" s="26"/>
      <c r="AD58" s="26"/>
      <c r="AE58" s="26"/>
      <c r="AF58" s="26"/>
    </row>
    <row r="59" ht="17" customHeight="1">
      <c r="A59" s="2"/>
      <c r="B59" t="s" s="24">
        <v>36</v>
      </c>
      <c r="C59" t="s" s="39">
        <v>118</v>
      </c>
      <c r="D59" s="28">
        <v>195.936564441041</v>
      </c>
      <c r="E59" s="29">
        <v>20.7206717842006</v>
      </c>
      <c r="F59" s="33">
        <v>21.6824227663307</v>
      </c>
      <c r="G59" s="25">
        <v>79.0082374304737</v>
      </c>
      <c r="H59" s="2"/>
      <c r="I59" s="25">
        <v>4.7101</v>
      </c>
      <c r="J59" s="25" cm="1">
        <f t="array" ref="J59">I59/1000</f>
        <v>0.0047101</v>
      </c>
      <c r="K59" s="2"/>
      <c r="L59" s="25" cm="1">
        <f t="array" ref="L59">D59*$J59</f>
        <v>0.922880812173747</v>
      </c>
      <c r="M59" s="25" cm="1">
        <f t="array" ref="M59">E59*$J59</f>
        <v>0.0975964361707632</v>
      </c>
      <c r="N59" s="25" cm="1">
        <f t="array" ref="N59">F59*$J59</f>
        <v>0.102126379471694</v>
      </c>
      <c r="O59" s="25" cm="1">
        <f t="array" ref="O59">G59*$J59</f>
        <v>0.372136699121274</v>
      </c>
      <c r="P59" s="2"/>
      <c r="Q59" s="25">
        <v>0.0176999999999996</v>
      </c>
      <c r="R59" s="25">
        <v>1</v>
      </c>
      <c r="S59" s="25" cm="1">
        <f t="array" ref="S59">L59/$Q59</f>
        <v>52.1401588798739</v>
      </c>
      <c r="T59" s="25" cm="1">
        <f t="array" ref="T59">M59/$Q59</f>
        <v>5.51392294750087</v>
      </c>
      <c r="U59" s="25" cm="1">
        <f t="array" ref="U59">N59/$Q59</f>
        <v>5.76985194755346</v>
      </c>
      <c r="V59" s="25" cm="1">
        <f t="array" ref="V59">O59/$Q59</f>
        <v>21.0246722667391</v>
      </c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7" customHeight="1">
      <c r="A60" s="2"/>
      <c r="B60" t="s" s="24">
        <v>38</v>
      </c>
      <c r="C60" t="s" s="39">
        <v>119</v>
      </c>
      <c r="D60" s="28">
        <v>60.8647632316415</v>
      </c>
      <c r="E60" s="29">
        <v>90.51786864226079</v>
      </c>
      <c r="F60" s="30">
        <v>81.1918318807957</v>
      </c>
      <c r="G60" s="31">
        <v>-6.61425518236792</v>
      </c>
      <c r="H60" s="2"/>
      <c r="I60" s="25">
        <v>4.7095</v>
      </c>
      <c r="J60" s="25" cm="1">
        <f t="array" ref="J60">I60/1000</f>
        <v>0.0047095</v>
      </c>
      <c r="K60" s="2"/>
      <c r="L60" s="25" cm="1">
        <f t="array" ref="L60">D60*$J60</f>
        <v>0.286642602439416</v>
      </c>
      <c r="M60" s="25" cm="1">
        <f t="array" ref="M60">E60*$J60</f>
        <v>0.426293902370727</v>
      </c>
      <c r="N60" s="25" cm="1">
        <f t="array" ref="N60">F60*$J60</f>
        <v>0.382372932242607</v>
      </c>
      <c r="O60" s="25" cm="1">
        <f t="array" ref="O60">G60*$J60</f>
        <v>-0.0311498347813617</v>
      </c>
      <c r="P60" s="2"/>
      <c r="Q60" s="25">
        <v>0.0183</v>
      </c>
      <c r="R60" s="25">
        <v>1</v>
      </c>
      <c r="S60" s="25" cm="1">
        <f t="array" ref="S60">L60/$Q60</f>
        <v>15.6635301879462</v>
      </c>
      <c r="T60" s="25" cm="1">
        <f t="array" ref="T60">M60/$Q60</f>
        <v>23.2947487634277</v>
      </c>
      <c r="U60" s="25" cm="1">
        <f t="array" ref="U60">N60/$Q60</f>
        <v>20.8946957509621</v>
      </c>
      <c r="V60" s="25" cm="1">
        <f t="array" ref="V60">O60/$Q60</f>
        <v>-1.70217676400884</v>
      </c>
      <c r="W60" s="2"/>
      <c r="X60" s="25" cm="1">
        <f t="array" ref="X60">S60-X$3-X$67</f>
        <v>8.260287457118981</v>
      </c>
      <c r="Y60" s="25" cm="1">
        <f t="array" ref="Y60">T60-Y$3-Y$67</f>
        <v>19.5675949675657</v>
      </c>
      <c r="Z60" s="25" cm="1">
        <f t="array" ref="Z60">U60-Z$3-Z$49</f>
        <v>17.4088954705278</v>
      </c>
      <c r="AA60" s="25" cm="1">
        <f t="array" ref="AA60">V60-AA$3-AA$49</f>
        <v>-0.14740672067614</v>
      </c>
      <c r="AB60" s="2"/>
      <c r="AC60" s="32" cm="1">
        <f t="array" ref="AC60">X60</f>
        <v>8.260287457118981</v>
      </c>
      <c r="AD60" s="32" cm="1">
        <f t="array" ref="AD60">Y60</f>
        <v>19.5675949675657</v>
      </c>
      <c r="AE60" s="32" cm="1">
        <f t="array" ref="AE60">Z60</f>
        <v>17.4088954705278</v>
      </c>
      <c r="AF60" s="32" cm="1">
        <f t="array" ref="AF60">AA60</f>
        <v>-0.14740672067614</v>
      </c>
    </row>
    <row r="61" ht="17" customHeight="1">
      <c r="A61" s="2"/>
      <c r="B61" t="s" s="24">
        <v>40</v>
      </c>
      <c r="C61" t="s" s="39">
        <v>120</v>
      </c>
      <c r="D61" s="28">
        <v>30.5029909858293</v>
      </c>
      <c r="E61" s="29">
        <v>42.2378642334372</v>
      </c>
      <c r="F61" s="33">
        <v>55.3897599400201</v>
      </c>
      <c r="G61" s="25">
        <v>-7.02377112906226</v>
      </c>
      <c r="H61" s="2"/>
      <c r="I61" s="25">
        <v>4.7003</v>
      </c>
      <c r="J61" s="25" cm="1">
        <f t="array" ref="J61">I61/1000</f>
        <v>0.0047003</v>
      </c>
      <c r="K61" s="2"/>
      <c r="L61" s="25" cm="1">
        <f t="array" ref="L61">D61*$J61</f>
        <v>0.143373208530693</v>
      </c>
      <c r="M61" s="25" cm="1">
        <f t="array" ref="M61">E61*$J61</f>
        <v>0.198530633256425</v>
      </c>
      <c r="N61" s="25" cm="1">
        <f t="array" ref="N61">F61*$J61</f>
        <v>0.260348488646076</v>
      </c>
      <c r="O61" s="25" cm="1">
        <f t="array" ref="O61">G61*$J61</f>
        <v>-0.0330138314379313</v>
      </c>
      <c r="P61" s="2"/>
      <c r="Q61" s="25">
        <v>0.0174000000000003</v>
      </c>
      <c r="R61" s="25">
        <v>1</v>
      </c>
      <c r="S61" s="25" cm="1">
        <f t="array" ref="S61">L61/$Q61</f>
        <v>8.239839570729339</v>
      </c>
      <c r="T61" s="25" cm="1">
        <f t="array" ref="T61">M61/$Q61</f>
        <v>11.4098065089897</v>
      </c>
      <c r="U61" s="25" cm="1">
        <f t="array" ref="U61">N61/$Q61</f>
        <v>14.9625568187397</v>
      </c>
      <c r="V61" s="25" cm="1">
        <f t="array" ref="V61">O61/$Q61</f>
        <v>-1.89734663436384</v>
      </c>
      <c r="W61" s="2"/>
      <c r="X61" s="25" cm="1">
        <f t="array" ref="X61">S61-X$3-X$67</f>
        <v>0.83659683990212</v>
      </c>
      <c r="Y61" s="25" cm="1">
        <f t="array" ref="Y61">T61-Y$3-Y$67</f>
        <v>7.68265271312772</v>
      </c>
      <c r="Z61" s="25" cm="1">
        <f t="array" ref="Z61">U61-Z$3-Z$49</f>
        <v>11.4767565383054</v>
      </c>
      <c r="AA61" s="25" cm="1">
        <f t="array" ref="AA61">V61-AA$3-AA$49</f>
        <v>-0.34257659103114</v>
      </c>
      <c r="AB61" s="2"/>
      <c r="AC61" s="32" cm="1">
        <f t="array" ref="AC61">X61</f>
        <v>0.83659683990212</v>
      </c>
      <c r="AD61" s="32" cm="1">
        <f t="array" ref="AD61">Y61</f>
        <v>7.68265271312772</v>
      </c>
      <c r="AE61" s="32" cm="1">
        <f t="array" ref="AE61">Z61</f>
        <v>11.4767565383054</v>
      </c>
      <c r="AF61" s="32" cm="1">
        <f t="array" ref="AF61">AA61</f>
        <v>-0.34257659103114</v>
      </c>
    </row>
    <row r="62" ht="17" customHeight="1">
      <c r="A62" s="2"/>
      <c r="B62" t="s" s="24">
        <v>42</v>
      </c>
      <c r="C62" t="s" s="39">
        <v>121</v>
      </c>
      <c r="D62" s="28">
        <v>39.1828039101706</v>
      </c>
      <c r="E62" s="29">
        <v>129.242199375281</v>
      </c>
      <c r="F62" s="30">
        <v>87.5394433853569</v>
      </c>
      <c r="G62" s="31">
        <v>-6.434649208036</v>
      </c>
      <c r="H62" s="2"/>
      <c r="I62" s="25">
        <v>4.6977</v>
      </c>
      <c r="J62" s="25" cm="1">
        <f t="array" ref="J62">I62/1000</f>
        <v>0.0046977</v>
      </c>
      <c r="K62" s="2"/>
      <c r="L62" s="25" cm="1">
        <f t="array" ref="L62">D62*$J62</f>
        <v>0.184069057928808</v>
      </c>
      <c r="M62" s="25" cm="1">
        <f t="array" ref="M62">E62*$J62</f>
        <v>0.607141080005258</v>
      </c>
      <c r="N62" s="25" cm="1">
        <f t="array" ref="N62">F62*$J62</f>
        <v>0.411234043191391</v>
      </c>
      <c r="O62" s="25" cm="1">
        <f t="array" ref="O62">G62*$J62</f>
        <v>-0.0302280515845907</v>
      </c>
      <c r="P62" s="2"/>
      <c r="Q62" s="25">
        <v>0.0177999999999994</v>
      </c>
      <c r="R62" s="25">
        <v>1</v>
      </c>
      <c r="S62" s="25" cm="1">
        <f t="array" ref="S62">L62/$Q62</f>
        <v>10.3409583106075</v>
      </c>
      <c r="T62" s="25" cm="1">
        <f t="array" ref="T62">M62/$Q62</f>
        <v>34.1090494384988</v>
      </c>
      <c r="U62" s="25" cm="1">
        <f t="array" ref="U62">N62/$Q62</f>
        <v>23.1030361343486</v>
      </c>
      <c r="V62" s="25" cm="1">
        <f t="array" ref="V62">O62/$Q62</f>
        <v>-1.69820514520178</v>
      </c>
      <c r="W62" s="2"/>
      <c r="X62" s="25" cm="1">
        <f t="array" ref="X62">S62-X$3-X$67</f>
        <v>2.93771557978028</v>
      </c>
      <c r="Y62" s="25" cm="1">
        <f t="array" ref="Y62">T62-Y$3-Y$67</f>
        <v>30.3818956426368</v>
      </c>
      <c r="Z62" s="25" cm="1">
        <f t="array" ref="Z62">U62-Z$3-Z$49</f>
        <v>19.6172358539143</v>
      </c>
      <c r="AA62" s="25" cm="1">
        <f t="array" ref="AA62">V62-AA$3-AA$49</f>
        <v>-0.14343510186908</v>
      </c>
      <c r="AB62" s="2"/>
      <c r="AC62" s="32" cm="1">
        <f t="array" ref="AC62">X62</f>
        <v>2.93771557978028</v>
      </c>
      <c r="AD62" s="32" cm="1">
        <f t="array" ref="AD62">Y62</f>
        <v>30.3818956426368</v>
      </c>
      <c r="AE62" s="32" cm="1">
        <f t="array" ref="AE62">Z62</f>
        <v>19.6172358539143</v>
      </c>
      <c r="AF62" s="32" cm="1">
        <f t="array" ref="AF62">AA62</f>
        <v>-0.14343510186908</v>
      </c>
    </row>
    <row r="63" ht="17" customHeight="1">
      <c r="A63" s="2"/>
      <c r="B63" t="s" s="24">
        <v>44</v>
      </c>
      <c r="C63" t="s" s="39">
        <v>122</v>
      </c>
      <c r="D63" s="28">
        <v>65.9249558323329</v>
      </c>
      <c r="E63" s="29">
        <v>13.9772099640806</v>
      </c>
      <c r="F63" s="33">
        <v>16.2504013963791</v>
      </c>
      <c r="G63" s="25">
        <v>22.7574983519163</v>
      </c>
      <c r="H63" s="2"/>
      <c r="I63" s="25">
        <v>4.7201</v>
      </c>
      <c r="J63" s="25" cm="1">
        <f t="array" ref="J63">I63/1000</f>
        <v>0.0047201</v>
      </c>
      <c r="K63" s="2"/>
      <c r="L63" s="25" cm="1">
        <f t="array" ref="L63">D63*$J63</f>
        <v>0.311172384024195</v>
      </c>
      <c r="M63" s="25" cm="1">
        <f t="array" ref="M63">E63*$J63</f>
        <v>0.0659738287514568</v>
      </c>
      <c r="N63" s="25" cm="1">
        <f t="array" ref="N63">F63*$J63</f>
        <v>0.076703519631049</v>
      </c>
      <c r="O63" s="25" cm="1">
        <f t="array" ref="O63">G63*$J63</f>
        <v>0.10741766797088</v>
      </c>
      <c r="P63" s="2"/>
      <c r="Q63" s="25">
        <v>0.0178999999999991</v>
      </c>
      <c r="R63" s="25">
        <v>1</v>
      </c>
      <c r="S63" s="25" cm="1">
        <f t="array" ref="S63">L63/$Q63</f>
        <v>17.3839320683917</v>
      </c>
      <c r="T63" s="25" cm="1">
        <f t="array" ref="T63">M63/$Q63</f>
        <v>3.68568875706481</v>
      </c>
      <c r="U63" s="25" cm="1">
        <f t="array" ref="U63">N63/$Q63</f>
        <v>4.28511282855044</v>
      </c>
      <c r="V63" s="25" cm="1">
        <f t="array" ref="V63">O63/$Q63</f>
        <v>6.00098703747963</v>
      </c>
      <c r="W63" s="2"/>
      <c r="X63" s="25" cm="1">
        <f t="array" ref="X63">S63-X$3-X$67</f>
        <v>9.980689337564479</v>
      </c>
      <c r="Y63" s="25" cm="1">
        <f t="array" ref="Y63">T63-Y$3-Y$67</f>
        <v>-0.04146503879717</v>
      </c>
      <c r="Z63" s="25" cm="1">
        <f t="array" ref="Z63">U63-Z$3-Z$49</f>
        <v>0.79931254811609</v>
      </c>
      <c r="AA63" s="25" cm="1">
        <f t="array" ref="AA63">V63-AA$3-AA$49</f>
        <v>7.55575708081233</v>
      </c>
      <c r="AB63" s="2"/>
      <c r="AC63" s="32" cm="1">
        <f t="array" ref="AC63">X63</f>
        <v>9.980689337564479</v>
      </c>
      <c r="AD63" s="32" cm="1">
        <f t="array" ref="AD63">Y63</f>
        <v>-0.04146503879717</v>
      </c>
      <c r="AE63" s="32" cm="1">
        <f t="array" ref="AE63">Z63</f>
        <v>0.79931254811609</v>
      </c>
      <c r="AF63" s="32" cm="1">
        <f t="array" ref="AF63">AA63</f>
        <v>7.55575708081233</v>
      </c>
    </row>
    <row r="64" ht="17" customHeight="1">
      <c r="A64" s="2"/>
      <c r="B64" t="s" s="24">
        <v>46</v>
      </c>
      <c r="C64" t="s" s="39">
        <v>123</v>
      </c>
      <c r="D64" s="28">
        <v>25.7387910326664</v>
      </c>
      <c r="E64" s="29">
        <v>38.6893027075189</v>
      </c>
      <c r="F64" s="30">
        <v>11.2028120002287</v>
      </c>
      <c r="G64" s="31">
        <v>82.074631839792</v>
      </c>
      <c r="H64" s="2"/>
      <c r="I64" s="25">
        <v>4.7206</v>
      </c>
      <c r="J64" s="25" cm="1">
        <f t="array" ref="J64">I64/1000</f>
        <v>0.0047206</v>
      </c>
      <c r="K64" s="2"/>
      <c r="L64" s="25" cm="1">
        <f t="array" ref="L64">D64*$J64</f>
        <v>0.121502536948805</v>
      </c>
      <c r="M64" s="25" cm="1">
        <f t="array" ref="M64">E64*$J64</f>
        <v>0.182636722361114</v>
      </c>
      <c r="N64" s="25" cm="1">
        <f t="array" ref="N64">F64*$J64</f>
        <v>0.0528839943282796</v>
      </c>
      <c r="O64" s="25" cm="1">
        <f t="array" ref="O64">G64*$J64</f>
        <v>0.387441507062922</v>
      </c>
      <c r="P64" s="2"/>
      <c r="Q64" s="25">
        <v>0.0178999999999991</v>
      </c>
      <c r="R64" s="25">
        <v>1</v>
      </c>
      <c r="S64" s="25" cm="1">
        <f t="array" ref="S64">L64/$Q64</f>
        <v>6.78785122619056</v>
      </c>
      <c r="T64" s="25" cm="1">
        <f t="array" ref="T64">M64/$Q64</f>
        <v>10.2031688469901</v>
      </c>
      <c r="U64" s="25" cm="1">
        <f t="array" ref="U64">N64/$Q64</f>
        <v>2.95441309096549</v>
      </c>
      <c r="V64" s="25" cm="1">
        <f t="array" ref="V64">O64/$Q64</f>
        <v>21.6447769308906</v>
      </c>
      <c r="W64" s="2"/>
      <c r="X64" s="25" cm="1">
        <f t="array" ref="X64">S64-X$3-X$67</f>
        <v>-0.61539150463666</v>
      </c>
      <c r="Y64" s="25" cm="1">
        <f t="array" ref="Y64">T64-Y$3-Y$67</f>
        <v>6.47601505112812</v>
      </c>
      <c r="Z64" s="25" cm="1">
        <f t="array" ref="Z64">U64-Z$3-Z$49</f>
        <v>-0.53138718946886</v>
      </c>
      <c r="AA64" s="25" cm="1">
        <f t="array" ref="AA64">V64-AA$3-AA$49</f>
        <v>23.1995469742233</v>
      </c>
      <c r="AB64" s="2"/>
      <c r="AC64" s="32" cm="1">
        <f t="array" ref="AC64">X64</f>
        <v>-0.61539150463666</v>
      </c>
      <c r="AD64" s="32" cm="1">
        <f t="array" ref="AD64">Y64</f>
        <v>6.47601505112812</v>
      </c>
      <c r="AE64" s="32" cm="1">
        <f t="array" ref="AE64">Z64</f>
        <v>-0.53138718946886</v>
      </c>
      <c r="AF64" s="32" cm="1">
        <f t="array" ref="AF64">AA64</f>
        <v>23.1995469742233</v>
      </c>
    </row>
    <row r="65" ht="17" customHeight="1">
      <c r="A65" s="2"/>
      <c r="B65" t="s" s="24">
        <v>48</v>
      </c>
      <c r="C65" t="s" s="39">
        <v>124</v>
      </c>
      <c r="D65" s="28">
        <v>27.8804902014807</v>
      </c>
      <c r="E65" s="29">
        <v>8.963795930316341</v>
      </c>
      <c r="F65" s="33">
        <v>11.4394303837695</v>
      </c>
      <c r="G65" s="25">
        <v>12.4234091369783</v>
      </c>
      <c r="H65" s="2"/>
      <c r="I65" s="25">
        <v>4.7005</v>
      </c>
      <c r="J65" s="25" cm="1">
        <f t="array" ref="J65">I65/1000</f>
        <v>0.0047005</v>
      </c>
      <c r="K65" s="2"/>
      <c r="L65" s="25" cm="1">
        <f t="array" ref="L65">D65*$J65</f>
        <v>0.13105224419206</v>
      </c>
      <c r="M65" s="25" cm="1">
        <f t="array" ref="M65">E65*$J65</f>
        <v>0.042134322770452</v>
      </c>
      <c r="N65" s="25" cm="1">
        <f t="array" ref="N65">F65*$J65</f>
        <v>0.0537710425189085</v>
      </c>
      <c r="O65" s="25" cm="1">
        <f t="array" ref="O65">G65*$J65</f>
        <v>0.0583962346483665</v>
      </c>
      <c r="P65" s="2"/>
      <c r="Q65" s="25">
        <v>0.0175999999999998</v>
      </c>
      <c r="R65" s="25">
        <v>1</v>
      </c>
      <c r="S65" s="25" cm="1">
        <f t="array" ref="S65">L65/$Q65</f>
        <v>7.44615023818531</v>
      </c>
      <c r="T65" s="25" cm="1">
        <f t="array" ref="T65">M65/$Q65</f>
        <v>2.39399561195753</v>
      </c>
      <c r="U65" s="25" cm="1">
        <f t="array" ref="U65">N65/$Q65</f>
        <v>3.05517287039256</v>
      </c>
      <c r="V65" s="25" cm="1">
        <f t="array" ref="V65">O65/$Q65</f>
        <v>3.31796787774813</v>
      </c>
      <c r="W65" s="2"/>
      <c r="X65" s="25" cm="1">
        <f t="array" ref="X65">S65-X$3-X$67</f>
        <v>0.04290750735809</v>
      </c>
      <c r="Y65" s="25" cm="1">
        <f t="array" ref="Y65">T65-Y$3-Y$67</f>
        <v>-1.33315818390445</v>
      </c>
      <c r="Z65" s="25" cm="1">
        <f t="array" ref="Z65">U65-Z$3-Z$49</f>
        <v>-0.43062741004179</v>
      </c>
      <c r="AA65" s="25" cm="1">
        <f t="array" ref="AA65">V65-AA$3-AA$49</f>
        <v>4.87273792108083</v>
      </c>
      <c r="AB65" s="2"/>
      <c r="AC65" s="32" cm="1">
        <f t="array" ref="AC65">X65</f>
        <v>0.04290750735809</v>
      </c>
      <c r="AD65" s="32" cm="1">
        <f t="array" ref="AD65">Y65</f>
        <v>-1.33315818390445</v>
      </c>
      <c r="AE65" s="32" cm="1">
        <f t="array" ref="AE65">Z65</f>
        <v>-0.43062741004179</v>
      </c>
      <c r="AF65" s="32" cm="1">
        <f t="array" ref="AF65">AA65</f>
        <v>4.87273792108083</v>
      </c>
    </row>
    <row r="66" ht="17" customHeight="1">
      <c r="A66" s="2"/>
      <c r="B66" t="s" s="24">
        <v>50</v>
      </c>
      <c r="C66" t="s" s="39">
        <v>125</v>
      </c>
      <c r="D66" s="28">
        <v>30.5758979188472</v>
      </c>
      <c r="E66" s="29">
        <v>19.2379242731276</v>
      </c>
      <c r="F66" s="30">
        <v>46.5500624252682</v>
      </c>
      <c r="G66" s="31">
        <v>-6.90487394730322</v>
      </c>
      <c r="H66" s="2"/>
      <c r="I66" s="25">
        <v>4.7162</v>
      </c>
      <c r="J66" s="25" cm="1">
        <f t="array" ref="J66">I66/1000</f>
        <v>0.0047162</v>
      </c>
      <c r="K66" s="2"/>
      <c r="L66" s="25" cm="1">
        <f t="array" ref="L66">D66*$J66</f>
        <v>0.144202049764867</v>
      </c>
      <c r="M66" s="25" cm="1">
        <f t="array" ref="M66">E66*$J66</f>
        <v>0.0907298984569244</v>
      </c>
      <c r="N66" s="25" cm="1">
        <f t="array" ref="N66">F66*$J66</f>
        <v>0.21953940441005</v>
      </c>
      <c r="O66" s="25" cm="1">
        <f t="array" ref="O66">G66*$J66</f>
        <v>-0.0325647665102714</v>
      </c>
      <c r="P66" s="2"/>
      <c r="Q66" s="25">
        <v>0.0180000000000007</v>
      </c>
      <c r="R66" s="25">
        <v>1</v>
      </c>
      <c r="S66" s="25" cm="1">
        <f t="array" ref="S66">L66/$Q66</f>
        <v>8.011224986936741</v>
      </c>
      <c r="T66" s="25" cm="1">
        <f t="array" ref="T66">M66/$Q66</f>
        <v>5.04054991427338</v>
      </c>
      <c r="U66" s="25" cm="1">
        <f t="array" ref="U66">N66/$Q66</f>
        <v>12.1966335783356</v>
      </c>
      <c r="V66" s="25" cm="1">
        <f t="array" ref="V66">O66/$Q66</f>
        <v>-1.80915369501501</v>
      </c>
      <c r="W66" s="2"/>
      <c r="X66" s="2"/>
      <c r="Y66" s="2"/>
      <c r="Z66" s="2"/>
      <c r="AA66" s="2"/>
      <c r="AB66" s="2"/>
      <c r="AC66" s="26"/>
      <c r="AD66" s="32" cm="1">
        <f t="array" ref="AD66">Y66</f>
        <v>0</v>
      </c>
      <c r="AE66" s="32" cm="1">
        <f t="array" ref="AE66">Z66</f>
        <v>0</v>
      </c>
      <c r="AF66" s="26"/>
    </row>
    <row r="67" ht="17" customHeight="1">
      <c r="A67" s="2"/>
      <c r="B67" t="s" s="24">
        <v>52</v>
      </c>
      <c r="C67" t="s" s="39">
        <v>126</v>
      </c>
      <c r="D67" s="28">
        <v>15.3847013134825</v>
      </c>
      <c r="E67" s="29">
        <v>11.2091822559581</v>
      </c>
      <c r="F67" s="33">
        <v>7.62105776953383</v>
      </c>
      <c r="G67" s="25">
        <v>-7.13131885742527</v>
      </c>
      <c r="H67" s="2"/>
      <c r="I67" s="25">
        <v>4.8088</v>
      </c>
      <c r="J67" s="25" cm="1">
        <f t="array" ref="J67">I67/1000</f>
        <v>0.0048088</v>
      </c>
      <c r="K67" s="2"/>
      <c r="L67" s="25" cm="1">
        <f t="array" ref="L67">D67*$J67</f>
        <v>0.0739819516762746</v>
      </c>
      <c r="M67" s="25" cm="1">
        <f t="array" ref="M67">E67*$J67</f>
        <v>0.0539027156324513</v>
      </c>
      <c r="N67" s="25" cm="1">
        <f t="array" ref="N67">F67*$J67</f>
        <v>0.0366481426021343</v>
      </c>
      <c r="O67" s="25" cm="1">
        <f t="array" ref="O67">G67*$J67</f>
        <v>-0.0342930861215866</v>
      </c>
      <c r="P67" s="2"/>
      <c r="Q67" s="25">
        <v>0.0183</v>
      </c>
      <c r="R67" s="25">
        <v>1</v>
      </c>
      <c r="S67" s="25" cm="1">
        <f t="array" ref="S67">L67/$Q67</f>
        <v>4.04272959979643</v>
      </c>
      <c r="T67" s="25" cm="1">
        <f t="array" ref="T67">M67/$Q67</f>
        <v>2.94550358647275</v>
      </c>
      <c r="U67" s="25" cm="1">
        <f t="array" ref="U67">N67/$Q67</f>
        <v>2.00263074328603</v>
      </c>
      <c r="V67" s="25" cm="1">
        <f t="array" ref="V67">O67/$Q67</f>
        <v>-1.87393913232714</v>
      </c>
      <c r="W67" s="2"/>
      <c r="X67" s="25" cm="1">
        <f t="array" ref="X67">AVERAGE(S66:S68)</f>
        <v>7.40324273082722</v>
      </c>
      <c r="Y67" s="25" cm="1">
        <f t="array" ref="Y67">AVERAGE(T66:T68)</f>
        <v>3.72715379586198</v>
      </c>
      <c r="Z67" s="25" cm="1">
        <f t="array" ref="Z67">AVERAGE(U66:U68)</f>
        <v>5.77770808321571</v>
      </c>
      <c r="AA67" s="25" cm="1">
        <f t="array" ref="AA67">AVERAGE(V66:V68)</f>
        <v>-1.87618799024082</v>
      </c>
      <c r="AB67" s="2"/>
      <c r="AC67" s="26"/>
      <c r="AD67" s="26"/>
      <c r="AE67" s="26"/>
      <c r="AF67" s="26"/>
    </row>
    <row r="68" ht="17" customHeight="1">
      <c r="A68" s="2"/>
      <c r="B68" t="s" s="24">
        <v>54</v>
      </c>
      <c r="C68" t="s" s="39">
        <v>127</v>
      </c>
      <c r="D68" s="28">
        <v>39.5651565415562</v>
      </c>
      <c r="E68" s="29">
        <v>12.4487624640804</v>
      </c>
      <c r="F68" s="30">
        <v>12.2089821460234</v>
      </c>
      <c r="G68" s="31">
        <v>-7.57922274787149</v>
      </c>
      <c r="H68" s="2"/>
      <c r="I68" s="25">
        <v>4.723</v>
      </c>
      <c r="J68" s="25" cm="1">
        <f t="array" ref="J68">I68/1000</f>
        <v>0.004723</v>
      </c>
      <c r="K68" s="2"/>
      <c r="L68" s="25" cm="1">
        <f t="array" ref="L68">D68*$J68</f>
        <v>0.18686623434577</v>
      </c>
      <c r="M68" s="25" cm="1">
        <f t="array" ref="M68">E68*$J68</f>
        <v>0.0587955051178517</v>
      </c>
      <c r="N68" s="25" cm="1">
        <f t="array" ref="N68">F68*$J68</f>
        <v>0.0576630226756685</v>
      </c>
      <c r="O68" s="25" cm="1">
        <f t="array" ref="O68">G68*$J68</f>
        <v>-0.035796669038197</v>
      </c>
      <c r="P68" s="2"/>
      <c r="Q68" s="25">
        <v>0.0183999999999997</v>
      </c>
      <c r="R68" s="25">
        <v>1</v>
      </c>
      <c r="S68" s="25" cm="1">
        <f t="array" ref="S68">L68/$Q68</f>
        <v>10.1557736057485</v>
      </c>
      <c r="T68" s="25" cm="1">
        <f t="array" ref="T68">M68/$Q68</f>
        <v>3.19540788683982</v>
      </c>
      <c r="U68" s="25" cm="1">
        <f t="array" ref="U68">N68/$Q68</f>
        <v>3.13385992802551</v>
      </c>
      <c r="V68" s="25" cm="1">
        <f t="array" ref="V68">O68/$Q68</f>
        <v>-1.9454711433803</v>
      </c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7" customHeight="1">
      <c r="A69" s="2"/>
      <c r="B69" t="s" s="24">
        <v>56</v>
      </c>
      <c r="C69" t="s" s="39">
        <v>128</v>
      </c>
      <c r="D69" s="28">
        <v>951.676836093376</v>
      </c>
      <c r="E69" s="29">
        <v>593.821391562920</v>
      </c>
      <c r="F69" s="30">
        <v>1065.1719248268</v>
      </c>
      <c r="G69" s="31">
        <v>-6.83122897473137</v>
      </c>
      <c r="H69" s="2"/>
      <c r="I69" s="25">
        <v>4.6507</v>
      </c>
      <c r="J69" s="25" cm="1">
        <f t="array" ref="J69">I69/1000</f>
        <v>0.0046507</v>
      </c>
      <c r="K69" s="2"/>
      <c r="L69" s="25" cm="1">
        <f t="array" ref="L69">D69*$J69</f>
        <v>4.42596346161946</v>
      </c>
      <c r="M69" s="25" cm="1">
        <f t="array" ref="M69">E69*$J69</f>
        <v>2.76168514574167</v>
      </c>
      <c r="N69" s="25" cm="1">
        <f t="array" ref="N69">F69*$J69</f>
        <v>4.953795070792</v>
      </c>
      <c r="O69" s="25" cm="1">
        <f t="array" ref="O69">G69*$J69</f>
        <v>-0.0317699965927832</v>
      </c>
      <c r="P69" s="2"/>
      <c r="Q69" s="25">
        <v>0.0182000000000002</v>
      </c>
      <c r="R69" s="25">
        <v>1</v>
      </c>
      <c r="S69" s="25" cm="1">
        <f t="array" ref="S69">L69/$Q69</f>
        <v>243.184805583484</v>
      </c>
      <c r="T69" s="25" cm="1">
        <f t="array" ref="T69">M69/$Q69</f>
        <v>151.740942073716</v>
      </c>
      <c r="U69" s="25" cm="1">
        <f t="array" ref="U69">N69/$Q69</f>
        <v>272.186542351206</v>
      </c>
      <c r="V69" s="25" cm="1">
        <f t="array" ref="V69">O69/$Q69</f>
        <v>-1.74560420839466</v>
      </c>
      <c r="W69" s="2"/>
      <c r="X69" s="25" cm="1">
        <f t="array" ref="X69">S69-X$3-X$76</f>
        <v>236.888799222953</v>
      </c>
      <c r="Y69" s="25" cm="1">
        <f t="array" ref="Y69">T69-Y$3-Y$76</f>
        <v>151.048119167911</v>
      </c>
      <c r="Z69" s="25" cm="1">
        <f t="array" ref="Z69">U69-Z$3-Z$49</f>
        <v>268.700742070772</v>
      </c>
      <c r="AA69" s="25" cm="1">
        <f t="array" ref="AA69">V69-AA$3-AA$49</f>
        <v>-0.19083416506196</v>
      </c>
      <c r="AB69" s="2"/>
      <c r="AC69" s="32" cm="1">
        <f t="array" ref="AC69">X69</f>
        <v>236.888799222953</v>
      </c>
      <c r="AD69" s="32" cm="1">
        <f t="array" ref="AD69">Y69</f>
        <v>151.048119167911</v>
      </c>
      <c r="AE69" s="32" cm="1">
        <f t="array" ref="AE69">Z69</f>
        <v>268.700742070772</v>
      </c>
      <c r="AF69" s="32" cm="1">
        <f t="array" ref="AF69">AA69</f>
        <v>-0.19083416506196</v>
      </c>
    </row>
    <row r="70" ht="17" customHeight="1">
      <c r="A70" s="2"/>
      <c r="B70" t="s" s="24">
        <v>58</v>
      </c>
      <c r="C70" t="s" s="39">
        <v>129</v>
      </c>
      <c r="D70" s="28">
        <v>799.161429944456</v>
      </c>
      <c r="E70" s="29">
        <v>433.372309826740</v>
      </c>
      <c r="F70" s="33">
        <v>1148.212813664370</v>
      </c>
      <c r="G70" s="25">
        <v>-6.47539076499171</v>
      </c>
      <c r="H70" s="2"/>
      <c r="I70" s="25">
        <v>4.7281</v>
      </c>
      <c r="J70" s="25" cm="1">
        <f t="array" ref="J70">I70/1000</f>
        <v>0.0047281</v>
      </c>
      <c r="K70" s="2"/>
      <c r="L70" s="25" cm="1">
        <f t="array" ref="L70">D70*$J70</f>
        <v>3.77851515692038</v>
      </c>
      <c r="M70" s="25" cm="1">
        <f t="array" ref="M70">E70*$J70</f>
        <v>2.04902761809181</v>
      </c>
      <c r="N70" s="25" cm="1">
        <f t="array" ref="N70">F70*$J70</f>
        <v>5.42886500428651</v>
      </c>
      <c r="O70" s="25" cm="1">
        <f t="array" ref="O70">G70*$J70</f>
        <v>-0.0306162950759573</v>
      </c>
      <c r="P70" s="2"/>
      <c r="Q70" s="25">
        <v>0.0186999999999991</v>
      </c>
      <c r="R70" s="25">
        <v>1</v>
      </c>
      <c r="S70" s="25" cm="1">
        <f t="array" ref="S70">L70/$Q70</f>
        <v>202.059634059923</v>
      </c>
      <c r="T70" s="25" cm="1">
        <f t="array" ref="T70">M70/$Q70</f>
        <v>109.573669416680</v>
      </c>
      <c r="U70" s="25" cm="1">
        <f t="array" ref="U70">N70/$Q70</f>
        <v>290.313636592875</v>
      </c>
      <c r="V70" s="25" cm="1">
        <f t="array" ref="V70">O70/$Q70</f>
        <v>-1.63723503079993</v>
      </c>
      <c r="W70" s="2"/>
      <c r="X70" s="25" cm="1">
        <f t="array" ref="X70">S70-X$3-X$76</f>
        <v>195.763627699392</v>
      </c>
      <c r="Y70" s="25" cm="1">
        <f t="array" ref="Y70">T70-Y$3-Y$76</f>
        <v>108.880846510875</v>
      </c>
      <c r="Z70" s="25" cm="1">
        <f t="array" ref="Z70">U70-Z$3-Z$49</f>
        <v>286.827836312441</v>
      </c>
      <c r="AA70" s="25" cm="1">
        <f t="array" ref="AA70">V70-AA$3-AA$49</f>
        <v>-0.08246498746722999</v>
      </c>
      <c r="AB70" s="2"/>
      <c r="AC70" s="32" cm="1">
        <f t="array" ref="AC70">X70</f>
        <v>195.763627699392</v>
      </c>
      <c r="AD70" s="32" cm="1">
        <f t="array" ref="AD70">Y70</f>
        <v>108.880846510875</v>
      </c>
      <c r="AE70" s="32" cm="1">
        <f t="array" ref="AE70">Z70</f>
        <v>286.827836312441</v>
      </c>
      <c r="AF70" s="32" cm="1">
        <f t="array" ref="AF70">AA70</f>
        <v>-0.08246498746722999</v>
      </c>
    </row>
    <row r="71" ht="17" customHeight="1">
      <c r="A71" s="2"/>
      <c r="B71" t="s" s="24">
        <v>60</v>
      </c>
      <c r="C71" t="s" s="39">
        <v>130</v>
      </c>
      <c r="D71" s="28">
        <v>908.9524432565109</v>
      </c>
      <c r="E71" s="29">
        <v>793.037243234668</v>
      </c>
      <c r="F71" s="30">
        <v>864.3495062472811</v>
      </c>
      <c r="G71" s="31">
        <v>-5.72673587276845</v>
      </c>
      <c r="H71" s="2"/>
      <c r="I71" s="25">
        <v>4.7144</v>
      </c>
      <c r="J71" s="25" cm="1">
        <f t="array" ref="J71">I71/1000</f>
        <v>0.0047144</v>
      </c>
      <c r="K71" s="2"/>
      <c r="L71" s="25" cm="1">
        <f t="array" ref="L71">D71*$J71</f>
        <v>4.2851653984885</v>
      </c>
      <c r="M71" s="25" cm="1">
        <f t="array" ref="M71">E71*$J71</f>
        <v>3.73869477950552</v>
      </c>
      <c r="N71" s="25" cm="1">
        <f t="array" ref="N71">F71*$J71</f>
        <v>4.07488931225218</v>
      </c>
      <c r="O71" s="25" cm="1">
        <f t="array" ref="O71">G71*$J71</f>
        <v>-0.0269981235985796</v>
      </c>
      <c r="P71" s="2"/>
      <c r="Q71" s="25">
        <v>0.0178999999999991</v>
      </c>
      <c r="R71" s="25">
        <v>1</v>
      </c>
      <c r="S71" s="25" cm="1">
        <f t="array" ref="S71">L71/$Q71</f>
        <v>239.394714999370</v>
      </c>
      <c r="T71" s="25" cm="1">
        <f t="array" ref="T71">M71/$Q71</f>
        <v>208.865630139984</v>
      </c>
      <c r="U71" s="25" cm="1">
        <f t="array" ref="U71">N71/$Q71</f>
        <v>227.647447611865</v>
      </c>
      <c r="V71" s="25" cm="1">
        <f t="array" ref="V71">O71/$Q71</f>
        <v>-1.50827506137324</v>
      </c>
      <c r="W71" s="2"/>
      <c r="X71" s="25" cm="1">
        <f t="array" ref="X71">S71-X$3-X$76</f>
        <v>233.098708638839</v>
      </c>
      <c r="Y71" s="25" cm="1">
        <f t="array" ref="Y71">T71-Y$3-Y$76</f>
        <v>208.172807234179</v>
      </c>
      <c r="Z71" s="25" cm="1">
        <f t="array" ref="Z71">U71-Z$3-Z$49</f>
        <v>224.161647331431</v>
      </c>
      <c r="AA71" s="25" cm="1">
        <f t="array" ref="AA71">V71-AA$3-AA$49</f>
        <v>0.04649498195946</v>
      </c>
      <c r="AB71" s="2"/>
      <c r="AC71" s="32" cm="1">
        <f t="array" ref="AC71">X71</f>
        <v>233.098708638839</v>
      </c>
      <c r="AD71" s="32" cm="1">
        <f t="array" ref="AD71">Y71</f>
        <v>208.172807234179</v>
      </c>
      <c r="AE71" s="32" cm="1">
        <f t="array" ref="AE71">Z71</f>
        <v>224.161647331431</v>
      </c>
      <c r="AF71" s="32" cm="1">
        <f t="array" ref="AF71">AA71</f>
        <v>0.04649498195946</v>
      </c>
    </row>
    <row r="72" ht="17" customHeight="1">
      <c r="A72" s="2"/>
      <c r="B72" t="s" s="24">
        <v>62</v>
      </c>
      <c r="C72" t="s" s="39">
        <v>131</v>
      </c>
      <c r="D72" s="28">
        <v>114.681526392145</v>
      </c>
      <c r="E72" s="29">
        <v>8.207083011982871</v>
      </c>
      <c r="F72" s="30">
        <v>8.43166644842997</v>
      </c>
      <c r="G72" s="31">
        <v>85.7300961913337</v>
      </c>
      <c r="H72" s="2"/>
      <c r="I72" s="25">
        <v>4.7697</v>
      </c>
      <c r="J72" s="25" cm="1">
        <f t="array" ref="J72">I72/1000</f>
        <v>0.0047697</v>
      </c>
      <c r="K72" s="2"/>
      <c r="L72" s="25" cm="1">
        <f t="array" ref="L72">D72*$J72</f>
        <v>0.546996476432614</v>
      </c>
      <c r="M72" s="25" cm="1">
        <f t="array" ref="M72">E72*$J72</f>
        <v>0.0391453238422547</v>
      </c>
      <c r="N72" s="25" cm="1">
        <f t="array" ref="N72">F72*$J72</f>
        <v>0.0402165194590764</v>
      </c>
      <c r="O72" s="25" cm="1">
        <f t="array" ref="O72">G72*$J72</f>
        <v>0.408906839803804</v>
      </c>
      <c r="P72" s="2"/>
      <c r="Q72" s="25">
        <v>0.0177999999999994</v>
      </c>
      <c r="R72" s="25">
        <v>1</v>
      </c>
      <c r="S72" s="25" cm="1">
        <f t="array" ref="S72">L72/$Q72</f>
        <v>30.7301391254288</v>
      </c>
      <c r="T72" s="25" cm="1">
        <f t="array" ref="T72">M72/$Q72</f>
        <v>2.19917549675596</v>
      </c>
      <c r="U72" s="25" cm="1">
        <f t="array" ref="U72">N72/$Q72</f>
        <v>2.25935502579089</v>
      </c>
      <c r="V72" s="25" cm="1">
        <f t="array" ref="V72">O72/$Q72</f>
        <v>22.972294371001</v>
      </c>
      <c r="W72" s="2"/>
      <c r="X72" s="25" cm="1">
        <f t="array" ref="X72">S72-X$3-X$76</f>
        <v>24.4341327648979</v>
      </c>
      <c r="Y72" s="25" cm="1">
        <f t="array" ref="Y72">T72-Y$3-Y$76</f>
        <v>1.50635259095061</v>
      </c>
      <c r="Z72" s="25" cm="1">
        <f t="array" ref="Z72">U72-Z$3-Z$49</f>
        <v>-1.22644525464346</v>
      </c>
      <c r="AA72" s="25" cm="1">
        <f t="array" ref="AA72">V72-AA$3-AA$49</f>
        <v>24.5270644143337</v>
      </c>
      <c r="AB72" s="2"/>
      <c r="AC72" s="32" cm="1">
        <f t="array" ref="AC72">X72</f>
        <v>24.4341327648979</v>
      </c>
      <c r="AD72" s="32" cm="1">
        <f t="array" ref="AD72">Y72</f>
        <v>1.50635259095061</v>
      </c>
      <c r="AE72" s="32" cm="1">
        <f t="array" ref="AE72">Z72</f>
        <v>-1.22644525464346</v>
      </c>
      <c r="AF72" s="32" cm="1">
        <f t="array" ref="AF72">AA72</f>
        <v>24.5270644143337</v>
      </c>
    </row>
    <row r="73" ht="17" customHeight="1">
      <c r="A73" s="2"/>
      <c r="B73" t="s" s="24">
        <v>64</v>
      </c>
      <c r="C73" t="s" s="39">
        <v>132</v>
      </c>
      <c r="D73" s="28">
        <v>165.597369201847</v>
      </c>
      <c r="E73" s="29">
        <v>7.49547245558504</v>
      </c>
      <c r="F73" s="33">
        <v>14.1010802785475</v>
      </c>
      <c r="G73" s="25">
        <v>278.599517575508</v>
      </c>
      <c r="H73" s="2"/>
      <c r="I73" s="25">
        <v>4.5657</v>
      </c>
      <c r="J73" s="25" cm="1">
        <f t="array" ref="J73">I73/1000</f>
        <v>0.0045657</v>
      </c>
      <c r="K73" s="2"/>
      <c r="L73" s="25" cm="1">
        <f t="array" ref="L73">D73*$J73</f>
        <v>0.756067908564873</v>
      </c>
      <c r="M73" s="25" cm="1">
        <f t="array" ref="M73">E73*$J73</f>
        <v>0.0342220785904646</v>
      </c>
      <c r="N73" s="25" cm="1">
        <f t="array" ref="N73">F73*$J73</f>
        <v>0.06438130222776429</v>
      </c>
      <c r="O73" s="25" cm="1">
        <f t="array" ref="O73">G73*$J73</f>
        <v>1.2720018173945</v>
      </c>
      <c r="P73" s="2"/>
      <c r="Q73" s="25">
        <v>0.0172999999999988</v>
      </c>
      <c r="R73" s="25">
        <v>1</v>
      </c>
      <c r="S73" s="25" cm="1">
        <f t="array" ref="S73">L73/$Q73</f>
        <v>43.7033473158916</v>
      </c>
      <c r="T73" s="25" cm="1">
        <f t="array" ref="T73">M73/$Q73</f>
        <v>1.9781548318189</v>
      </c>
      <c r="U73" s="25" cm="1">
        <f t="array" ref="U73">N73/$Q73</f>
        <v>3.72146255651843</v>
      </c>
      <c r="V73" s="25" cm="1">
        <f t="array" ref="V73">O73/$Q73</f>
        <v>73.5261166124039</v>
      </c>
      <c r="W73" s="2"/>
      <c r="X73" s="25" cm="1">
        <f t="array" ref="X73">S73-X$3-X$76</f>
        <v>37.4073409553607</v>
      </c>
      <c r="Y73" s="25" cm="1">
        <f t="array" ref="Y73">T73-Y$3-Y$76</f>
        <v>1.28533192601355</v>
      </c>
      <c r="Z73" s="25" cm="1">
        <f t="array" ref="Z73">U73-Z$3-Z$49</f>
        <v>0.23566227608408</v>
      </c>
      <c r="AA73" s="25" cm="1">
        <f t="array" ref="AA73">V73-AA$3-AA$49</f>
        <v>75.08088665573661</v>
      </c>
      <c r="AB73" s="2"/>
      <c r="AC73" s="32" cm="1">
        <f t="array" ref="AC73">X73</f>
        <v>37.4073409553607</v>
      </c>
      <c r="AD73" s="32" cm="1">
        <f t="array" ref="AD73">Y73</f>
        <v>1.28533192601355</v>
      </c>
      <c r="AE73" s="32" cm="1">
        <f t="array" ref="AE73">Z73</f>
        <v>0.23566227608408</v>
      </c>
      <c r="AF73" s="32" cm="1">
        <f t="array" ref="AF73">AA73</f>
        <v>75.08088665573661</v>
      </c>
    </row>
    <row r="74" ht="17" customHeight="1">
      <c r="A74" s="2"/>
      <c r="B74" t="s" s="24">
        <v>66</v>
      </c>
      <c r="C74" t="s" s="39">
        <v>133</v>
      </c>
      <c r="D74" s="28">
        <v>64.108722992270</v>
      </c>
      <c r="E74" s="29">
        <v>4.87199255045965</v>
      </c>
      <c r="F74" s="30">
        <v>7.34537129389037</v>
      </c>
      <c r="G74" s="31">
        <v>167.634187043050</v>
      </c>
      <c r="H74" s="2"/>
      <c r="I74" s="25">
        <v>4.8765</v>
      </c>
      <c r="J74" s="25" cm="1">
        <f t="array" ref="J74">I74/1000</f>
        <v>0.0048765</v>
      </c>
      <c r="K74" s="2"/>
      <c r="L74" s="25" cm="1">
        <f t="array" ref="L74">D74*$J74</f>
        <v>0.312626187671805</v>
      </c>
      <c r="M74" s="25" cm="1">
        <f t="array" ref="M74">E74*$J74</f>
        <v>0.0237582716723165</v>
      </c>
      <c r="N74" s="25" cm="1">
        <f t="array" ref="N74">F74*$J74</f>
        <v>0.0358197031146564</v>
      </c>
      <c r="O74" s="25" cm="1">
        <f t="array" ref="O74">G74*$J74</f>
        <v>0.817468113115433</v>
      </c>
      <c r="P74" s="2"/>
      <c r="Q74" s="25">
        <v>0.0173000000000005</v>
      </c>
      <c r="R74" s="25">
        <v>1</v>
      </c>
      <c r="S74" s="25" cm="1">
        <f t="array" ref="S74">L74/$Q74</f>
        <v>18.0708779001038</v>
      </c>
      <c r="T74" s="25" cm="1">
        <f t="array" ref="T74">M74/$Q74</f>
        <v>1.37331050128993</v>
      </c>
      <c r="U74" s="25" cm="1">
        <f t="array" ref="U74">N74/$Q74</f>
        <v>2.07050307021129</v>
      </c>
      <c r="V74" s="25" cm="1">
        <f t="array" ref="V74">O74/$Q74</f>
        <v>47.2524920875959</v>
      </c>
      <c r="W74" s="2"/>
      <c r="X74" s="25" cm="1">
        <f t="array" ref="X74">S74-X$3-X$76</f>
        <v>11.7748715395729</v>
      </c>
      <c r="Y74" s="25" cm="1">
        <f t="array" ref="Y74">T74-Y$3-Y$76</f>
        <v>0.680487595484584</v>
      </c>
      <c r="Z74" s="25" cm="1">
        <f t="array" ref="Z74">U74-Z$3-Z$49</f>
        <v>-1.41529721022306</v>
      </c>
      <c r="AA74" s="25" cm="1">
        <f t="array" ref="AA74">V74-AA$3-AA$49</f>
        <v>48.8072621309286</v>
      </c>
      <c r="AB74" s="2"/>
      <c r="AC74" s="32" cm="1">
        <f t="array" ref="AC74">X74</f>
        <v>11.7748715395729</v>
      </c>
      <c r="AD74" s="32" cm="1">
        <f t="array" ref="AD74">Y74</f>
        <v>0.680487595484584</v>
      </c>
      <c r="AE74" s="32" cm="1">
        <f t="array" ref="AE74">Z74</f>
        <v>-1.41529721022306</v>
      </c>
      <c r="AF74" s="32" cm="1">
        <f t="array" ref="AF74">AA74</f>
        <v>48.8072621309286</v>
      </c>
    </row>
    <row r="75" ht="17" customHeight="1">
      <c r="A75" s="2"/>
      <c r="B75" t="s" s="24">
        <v>68</v>
      </c>
      <c r="C75" t="s" s="39">
        <v>134</v>
      </c>
      <c r="D75" s="28">
        <v>14.1499092756669</v>
      </c>
      <c r="E75" s="41">
        <v>4.17826959528917</v>
      </c>
      <c r="F75" s="33">
        <v>6.34193874998479</v>
      </c>
      <c r="G75" s="25">
        <v>-7.45989600081979</v>
      </c>
      <c r="H75" s="27"/>
      <c r="I75" s="25">
        <v>4.7</v>
      </c>
      <c r="J75" s="25" cm="1">
        <f t="array" ref="J75">I75/1000</f>
        <v>0.0047</v>
      </c>
      <c r="K75" s="2"/>
      <c r="L75" s="25" cm="1">
        <f t="array" ref="L75">D75*$J75</f>
        <v>0.0665045735956344</v>
      </c>
      <c r="M75" s="25" cm="1">
        <f t="array" ref="M75">E75*$J75</f>
        <v>0.0196378670978591</v>
      </c>
      <c r="N75" s="25" cm="1">
        <f t="array" ref="N75">F75*$J75</f>
        <v>0.0298071121249285</v>
      </c>
      <c r="O75" s="25" cm="1">
        <f t="array" ref="O75">G75*$J75</f>
        <v>-0.035061511203853</v>
      </c>
      <c r="P75" s="2"/>
      <c r="Q75" s="25">
        <v>0.0174000000000003</v>
      </c>
      <c r="R75" s="25">
        <v>1</v>
      </c>
      <c r="S75" s="25" cm="1">
        <f t="array" ref="S75">L75/$Q75</f>
        <v>3.82210193078352</v>
      </c>
      <c r="T75" s="25" cm="1">
        <f t="array" ref="T75">M75/$Q75</f>
        <v>1.12861305160108</v>
      </c>
      <c r="U75" s="25" cm="1">
        <f t="array" ref="U75">N75/$Q75</f>
        <v>1.71305242097287</v>
      </c>
      <c r="V75" s="25" cm="1">
        <f t="array" ref="V75">O75/$Q75</f>
        <v>-2.01502937953175</v>
      </c>
      <c r="W75" s="2"/>
      <c r="X75" s="2"/>
      <c r="Y75" s="2"/>
      <c r="Z75" s="2"/>
      <c r="AA75" s="2"/>
      <c r="AB75" s="2"/>
      <c r="AC75" s="26"/>
      <c r="AD75" s="26"/>
      <c r="AE75" s="26"/>
      <c r="AF75" s="26"/>
    </row>
    <row r="76" ht="17" customHeight="1">
      <c r="A76" s="2"/>
      <c r="B76" t="s" s="24">
        <v>70</v>
      </c>
      <c r="C76" t="s" s="39">
        <v>135</v>
      </c>
      <c r="D76" s="42">
        <v>17.6948214328558</v>
      </c>
      <c r="E76" s="43">
        <v>0.0118922868913612</v>
      </c>
      <c r="F76" s="29">
        <v>4.25273776664476</v>
      </c>
      <c r="G76" s="40">
        <v>-4.4353480593198</v>
      </c>
      <c r="H76" s="35"/>
      <c r="I76" s="25">
        <v>4.7</v>
      </c>
      <c r="J76" s="25" cm="1">
        <f t="array" ref="J76">I76/1000</f>
        <v>0.0047</v>
      </c>
      <c r="K76" s="2"/>
      <c r="L76" s="25" cm="1">
        <f t="array" ref="L76">D76*$J76</f>
        <v>0.0831656607344223</v>
      </c>
      <c r="M76" s="25" cm="1">
        <f t="array" ref="M76">E76*$J76</f>
        <v>5.58937483893976e-05</v>
      </c>
      <c r="N76" s="25" cm="1">
        <f t="array" ref="N76">H76*$J76</f>
        <v>0</v>
      </c>
      <c r="O76" s="25" cm="1">
        <f t="array" ref="O76">G76*$J76</f>
        <v>-0.0208461358788031</v>
      </c>
      <c r="P76" s="2"/>
      <c r="Q76" s="25">
        <v>0.0181999999999984</v>
      </c>
      <c r="R76" s="25">
        <v>1</v>
      </c>
      <c r="S76" s="25" cm="1">
        <f t="array" ref="S76">L76/$Q76</f>
        <v>4.56954179859503</v>
      </c>
      <c r="T76" s="25" cm="1">
        <f t="array" ref="T76">M76/$Q76</f>
        <v>0.0030710850763408</v>
      </c>
      <c r="U76" s="25" cm="1">
        <f t="array" ref="U76">N76/$Q76</f>
        <v>0</v>
      </c>
      <c r="V76" s="25" cm="1">
        <f t="array" ref="V76">O76/$Q76</f>
        <v>-1.14539208125302</v>
      </c>
      <c r="W76" s="2"/>
      <c r="X76" s="25" cm="1">
        <f t="array" ref="X76">AVERAGE(S75:S77)</f>
        <v>6.29600636053095</v>
      </c>
      <c r="Y76" s="25" cm="1">
        <f t="array" ref="Y76">AVERAGE(T75:T77)</f>
        <v>0.692822905805346</v>
      </c>
      <c r="Z76" s="25" cm="1">
        <f t="array" ref="Z76">AVERAGE(U75:U77)</f>
        <v>1.27820362192104</v>
      </c>
      <c r="AA76" s="25" cm="1">
        <f t="array" ref="AA76">AVERAGE(V75:V77)</f>
        <v>-1.52815433074837</v>
      </c>
      <c r="AB76" s="2"/>
      <c r="AC76" s="26"/>
      <c r="AD76" s="26"/>
      <c r="AE76" s="26"/>
      <c r="AF76" s="26"/>
    </row>
    <row r="77" ht="17" customHeight="1">
      <c r="A77" s="2"/>
      <c r="B77" t="s" s="36">
        <v>72</v>
      </c>
      <c r="C77" t="s" s="39">
        <v>136</v>
      </c>
      <c r="D77" s="28">
        <v>42.6554828143176</v>
      </c>
      <c r="E77" s="29">
        <v>3.84757138129946</v>
      </c>
      <c r="F77" s="33">
        <v>8.621652403296521</v>
      </c>
      <c r="G77" s="25">
        <v>-5.78706239380688</v>
      </c>
      <c r="H77" s="2"/>
      <c r="I77" s="25">
        <v>4.7</v>
      </c>
      <c r="J77" s="25" cm="1">
        <f t="array" ref="J77">I77/1000</f>
        <v>0.0047</v>
      </c>
      <c r="K77" s="2"/>
      <c r="L77" s="25" cm="1">
        <f t="array" ref="L77">D77*$J77</f>
        <v>0.200480769227293</v>
      </c>
      <c r="M77" s="25" cm="1">
        <f t="array" ref="M77">E77*$J77</f>
        <v>0.0180835854921075</v>
      </c>
      <c r="N77" s="25" cm="1">
        <f t="array" ref="N77">F77*$J77</f>
        <v>0.0405217662954936</v>
      </c>
      <c r="O77" s="25" cm="1">
        <f t="array" ref="O77">G77*$J77</f>
        <v>-0.0271991932508923</v>
      </c>
      <c r="P77" s="2"/>
      <c r="Q77" s="25">
        <v>0.0190999999999999</v>
      </c>
      <c r="R77" s="25">
        <v>1</v>
      </c>
      <c r="S77" s="25" cm="1">
        <f t="array" ref="S77">L77/$Q77</f>
        <v>10.4963753522143</v>
      </c>
      <c r="T77" s="25" cm="1">
        <f t="array" ref="T77">M77/$Q77</f>
        <v>0.946784580738618</v>
      </c>
      <c r="U77" s="25" cm="1">
        <f t="array" ref="U77">N77/$Q77</f>
        <v>2.12155844479025</v>
      </c>
      <c r="V77" s="25" cm="1">
        <f t="array" ref="V77">O77/$Q77</f>
        <v>-1.42404153146034</v>
      </c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7" customHeight="1">
      <c r="A78" s="2"/>
      <c r="B78" t="s" s="19">
        <v>74</v>
      </c>
      <c r="C78" t="s" s="39">
        <v>137</v>
      </c>
      <c r="D78" s="28">
        <v>26.7694462099258</v>
      </c>
      <c r="E78" s="29">
        <v>31.3906274269078</v>
      </c>
      <c r="F78" s="30">
        <v>64.4850632858011</v>
      </c>
      <c r="G78" s="31">
        <v>-5.97986595918415</v>
      </c>
      <c r="H78" s="2"/>
      <c r="I78" s="25">
        <v>4.7</v>
      </c>
      <c r="J78" s="25" cm="1">
        <f t="array" ref="J78">I78/1000</f>
        <v>0.0047</v>
      </c>
      <c r="K78" s="2"/>
      <c r="L78" s="25" cm="1">
        <f t="array" ref="L78">D78*$J78</f>
        <v>0.125816397186651</v>
      </c>
      <c r="M78" s="25" cm="1">
        <f t="array" ref="M78">E78*$J78</f>
        <v>0.147535948906467</v>
      </c>
      <c r="N78" s="25" cm="1">
        <f t="array" ref="N78">F78*$J78</f>
        <v>0.303079797443265</v>
      </c>
      <c r="O78" s="25" cm="1">
        <f t="array" ref="O78">G78*$J78</f>
        <v>-0.0281053700081655</v>
      </c>
      <c r="P78" s="2"/>
      <c r="Q78" s="25">
        <v>0.0193999999999992</v>
      </c>
      <c r="R78" s="25">
        <v>1</v>
      </c>
      <c r="S78" s="25" cm="1">
        <f t="array" ref="S78">L78/$Q78</f>
        <v>6.48538129828125</v>
      </c>
      <c r="T78" s="25" cm="1">
        <f t="array" ref="T78">M78/$Q78</f>
        <v>7.60494581992129</v>
      </c>
      <c r="U78" s="25" cm="1">
        <f t="array" ref="U78">N78/$Q78</f>
        <v>15.622669971303</v>
      </c>
      <c r="V78" s="25" cm="1">
        <f t="array" ref="V78">O78/$Q78</f>
        <v>-1.4487304127921</v>
      </c>
      <c r="W78" s="2"/>
      <c r="X78" s="25" cm="1">
        <f t="array" ref="X78">S78-X$3-X$85</f>
        <v>0.26463197666687</v>
      </c>
      <c r="Y78" s="25" cm="1">
        <f t="array" ref="Y78">T78-Y$3-Y$85</f>
        <v>6.4761281411765</v>
      </c>
      <c r="Z78" s="25" cm="1">
        <f t="array" ref="Z78">U78-Z$3-Z$85</f>
        <v>12.5091288431093</v>
      </c>
      <c r="AA78" s="25" cm="1">
        <f t="array" ref="AA78">V78-AA$3-AA$85</f>
        <v>0.38262649676837</v>
      </c>
      <c r="AB78" s="2"/>
      <c r="AC78" s="32" cm="1">
        <f t="array" ref="AC78">X78</f>
        <v>0.26463197666687</v>
      </c>
      <c r="AD78" s="32" cm="1">
        <f t="array" ref="AD78">Y78</f>
        <v>6.4761281411765</v>
      </c>
      <c r="AE78" s="32" cm="1">
        <f t="array" ref="AE78">Z78</f>
        <v>12.5091288431093</v>
      </c>
      <c r="AF78" s="32" cm="1">
        <f t="array" ref="AF78">AA78</f>
        <v>0.38262649676837</v>
      </c>
    </row>
    <row r="79" ht="17" customHeight="1">
      <c r="A79" s="2"/>
      <c r="B79" t="s" s="24">
        <v>76</v>
      </c>
      <c r="C79" t="s" s="39">
        <v>138</v>
      </c>
      <c r="D79" s="28">
        <v>22.7101763913273</v>
      </c>
      <c r="E79" s="29">
        <v>38.1395888060115</v>
      </c>
      <c r="F79" s="33">
        <v>61.8060569528692</v>
      </c>
      <c r="G79" s="25">
        <v>-7.34488903105803</v>
      </c>
      <c r="H79" s="2"/>
      <c r="I79" s="25">
        <v>4.7</v>
      </c>
      <c r="J79" s="25" cm="1">
        <f t="array" ref="J79">I79/1000</f>
        <v>0.0047</v>
      </c>
      <c r="K79" s="2"/>
      <c r="L79" s="25" cm="1">
        <f t="array" ref="L79">D79*$J79</f>
        <v>0.106737829039238</v>
      </c>
      <c r="M79" s="25" cm="1">
        <f t="array" ref="M79">E79*$J79</f>
        <v>0.179256067388254</v>
      </c>
      <c r="N79" s="25" cm="1">
        <f t="array" ref="N79">F79*$J79</f>
        <v>0.290488467678485</v>
      </c>
      <c r="O79" s="25" cm="1">
        <f t="array" ref="O79">G79*$J79</f>
        <v>-0.0345209784459727</v>
      </c>
      <c r="P79" s="2"/>
      <c r="Q79" s="25">
        <v>0.019499999999999</v>
      </c>
      <c r="R79" s="25">
        <v>1</v>
      </c>
      <c r="S79" s="25" cm="1">
        <f t="array" ref="S79">L79/$Q79</f>
        <v>5.47373482252531</v>
      </c>
      <c r="T79" s="25" cm="1">
        <f t="array" ref="T79">M79/$Q79</f>
        <v>9.19261884042375</v>
      </c>
      <c r="U79" s="25" cm="1">
        <f t="array" ref="U79">N79/$Q79</f>
        <v>14.8968444963333</v>
      </c>
      <c r="V79" s="25" cm="1">
        <f t="array" ref="V79">O79/$Q79</f>
        <v>-1.77030658697305</v>
      </c>
      <c r="W79" s="2"/>
      <c r="X79" s="25" cm="1">
        <f t="array" ref="X79">S79-X$3-X$85</f>
        <v>-0.74701449908907</v>
      </c>
      <c r="Y79" s="25" cm="1">
        <f t="array" ref="Y79">T79-Y$3-Y$85</f>
        <v>8.06380116167896</v>
      </c>
      <c r="Z79" s="25" cm="1">
        <f t="array" ref="Z79">U79-Z$3-Z$85</f>
        <v>11.7833033681396</v>
      </c>
      <c r="AA79" s="25" cm="1">
        <f t="array" ref="AA79">V79-AA$3-AA$85</f>
        <v>0.06105032258742</v>
      </c>
      <c r="AB79" s="2"/>
      <c r="AC79" s="32" cm="1">
        <f t="array" ref="AC79">X79</f>
        <v>-0.74701449908907</v>
      </c>
      <c r="AD79" s="32" cm="1">
        <f t="array" ref="AD79">Y79</f>
        <v>8.06380116167896</v>
      </c>
      <c r="AE79" s="32" cm="1">
        <f t="array" ref="AE79">Z79</f>
        <v>11.7833033681396</v>
      </c>
      <c r="AF79" s="32" cm="1">
        <f t="array" ref="AF79">AA79</f>
        <v>0.06105032258742</v>
      </c>
    </row>
    <row r="80" ht="17" customHeight="1">
      <c r="A80" s="2"/>
      <c r="B80" t="s" s="24">
        <v>78</v>
      </c>
      <c r="C80" t="s" s="39">
        <v>139</v>
      </c>
      <c r="D80" s="28">
        <v>16.8231727923564</v>
      </c>
      <c r="E80" s="29">
        <v>21.1445564665319</v>
      </c>
      <c r="F80" s="30">
        <v>54.9110207118482</v>
      </c>
      <c r="G80" s="31">
        <v>-7.44298221020348</v>
      </c>
      <c r="H80" s="2"/>
      <c r="I80" s="25">
        <v>4.7</v>
      </c>
      <c r="J80" s="25" cm="1">
        <f t="array" ref="J80">I80/1000</f>
        <v>0.0047</v>
      </c>
      <c r="K80" s="2"/>
      <c r="L80" s="25" cm="1">
        <f t="array" ref="L80">D80*$J80</f>
        <v>0.0790689121240751</v>
      </c>
      <c r="M80" s="25" cm="1">
        <f t="array" ref="M80">E80*$J80</f>
        <v>0.0993794153926999</v>
      </c>
      <c r="N80" s="25" cm="1">
        <f t="array" ref="N80">F80*$J80</f>
        <v>0.258081797345687</v>
      </c>
      <c r="O80" s="25" cm="1">
        <f t="array" ref="O80">G80*$J80</f>
        <v>-0.0349820163879564</v>
      </c>
      <c r="P80" s="2"/>
      <c r="Q80" s="25">
        <v>0.0193999999999992</v>
      </c>
      <c r="R80" s="25">
        <v>1</v>
      </c>
      <c r="S80" s="25" cm="1">
        <f t="array" ref="S80">L80/$Q80</f>
        <v>4.07571711979785</v>
      </c>
      <c r="T80" s="25" cm="1">
        <f t="array" ref="T80">M80/$Q80</f>
        <v>5.12265027797443</v>
      </c>
      <c r="U80" s="25" cm="1">
        <f t="array" ref="U80">N80/$Q80</f>
        <v>13.3031854301906</v>
      </c>
      <c r="V80" s="25" cm="1">
        <f t="array" ref="V80">O80/$Q80</f>
        <v>-1.80319672102875</v>
      </c>
      <c r="W80" s="2"/>
      <c r="X80" s="25" cm="1">
        <f t="array" ref="X80">S80-X$3-X$85</f>
        <v>-2.14503220181653</v>
      </c>
      <c r="Y80" s="25" cm="1">
        <f t="array" ref="Y80">T80-Y$3-Y$85</f>
        <v>3.99383259922964</v>
      </c>
      <c r="Z80" s="25" cm="1">
        <f t="array" ref="Z80">U80-Z$3-Z$85</f>
        <v>10.1896443019969</v>
      </c>
      <c r="AA80" s="25" cm="1">
        <f t="array" ref="AA80">V80-AA$3-AA$85</f>
        <v>0.02816018853172</v>
      </c>
      <c r="AB80" s="2"/>
      <c r="AC80" s="32" cm="1">
        <f t="array" ref="AC80">X80</f>
        <v>-2.14503220181653</v>
      </c>
      <c r="AD80" s="32" cm="1">
        <f t="array" ref="AD80">Y80</f>
        <v>3.99383259922964</v>
      </c>
      <c r="AE80" s="32" cm="1">
        <f t="array" ref="AE80">Z80</f>
        <v>10.1896443019969</v>
      </c>
      <c r="AF80" s="32" cm="1">
        <f t="array" ref="AF80">AA80</f>
        <v>0.02816018853172</v>
      </c>
    </row>
    <row r="81" ht="17" customHeight="1">
      <c r="A81" s="2"/>
      <c r="B81" t="s" s="24">
        <v>80</v>
      </c>
      <c r="C81" t="s" s="39">
        <v>140</v>
      </c>
      <c r="D81" s="28">
        <v>25.1822628245174</v>
      </c>
      <c r="E81" s="29">
        <v>3.36109698774163</v>
      </c>
      <c r="F81" s="33">
        <v>12.9365065937297</v>
      </c>
      <c r="G81" s="25">
        <v>35.2780951102374</v>
      </c>
      <c r="H81" s="2"/>
      <c r="I81" s="25">
        <v>4.7</v>
      </c>
      <c r="J81" s="25" cm="1">
        <f t="array" ref="J81">I81/1000</f>
        <v>0.0047</v>
      </c>
      <c r="K81" s="2"/>
      <c r="L81" s="25" cm="1">
        <f t="array" ref="L81">D81*$J81</f>
        <v>0.118356635275232</v>
      </c>
      <c r="M81" s="25" cm="1">
        <f t="array" ref="M81">E81*$J81</f>
        <v>0.0157971558423857</v>
      </c>
      <c r="N81" s="25" cm="1">
        <f t="array" ref="N81">F81*$J81</f>
        <v>0.0608015809905296</v>
      </c>
      <c r="O81" s="25" cm="1">
        <f t="array" ref="O81">G81*$J81</f>
        <v>0.165807047018116</v>
      </c>
      <c r="P81" s="2"/>
      <c r="Q81" s="25">
        <v>0.0196000000000005</v>
      </c>
      <c r="R81" s="25">
        <v>1</v>
      </c>
      <c r="S81" s="25" cm="1">
        <f t="array" ref="S81">L81/$Q81</f>
        <v>6.03860384057291</v>
      </c>
      <c r="T81" s="25" cm="1">
        <f t="array" ref="T81">M81/$Q81</f>
        <v>0.805977338897209</v>
      </c>
      <c r="U81" s="25" cm="1">
        <f t="array" ref="U81">N81/$Q81</f>
        <v>3.10212147910857</v>
      </c>
      <c r="V81" s="25" cm="1">
        <f t="array" ref="V81">O81/$Q81</f>
        <v>8.459543215209781</v>
      </c>
      <c r="W81" s="2"/>
      <c r="X81" s="25" cm="1">
        <f t="array" ref="X81">S81-X$3-X$85</f>
        <v>-0.18214548104147</v>
      </c>
      <c r="Y81" s="25" cm="1">
        <f t="array" ref="Y81">T81-Y$3-Y$85</f>
        <v>-0.322840339847581</v>
      </c>
      <c r="Z81" s="25" cm="1">
        <f t="array" ref="Z81">U81-Z$3-Z$85</f>
        <v>-0.01141964908518</v>
      </c>
      <c r="AA81" s="25" cm="1">
        <f t="array" ref="AA81">V81-AA$3-AA$85</f>
        <v>10.2909001247703</v>
      </c>
      <c r="AB81" s="2"/>
      <c r="AC81" s="32" cm="1">
        <f t="array" ref="AC81">X81</f>
        <v>-0.18214548104147</v>
      </c>
      <c r="AD81" s="32" cm="1">
        <f t="array" ref="AD81">Y81</f>
        <v>-0.322840339847581</v>
      </c>
      <c r="AE81" s="32" cm="1">
        <f t="array" ref="AE81">Z81</f>
        <v>-0.01141964908518</v>
      </c>
      <c r="AF81" s="32" cm="1">
        <f t="array" ref="AF81">AA81</f>
        <v>10.2909001247703</v>
      </c>
    </row>
    <row r="82" ht="17" customHeight="1">
      <c r="A82" s="2"/>
      <c r="B82" t="s" s="24">
        <v>82</v>
      </c>
      <c r="C82" t="s" s="39">
        <v>141</v>
      </c>
      <c r="D82" s="28">
        <v>16.728086949073</v>
      </c>
      <c r="E82" s="29">
        <v>2.29193835780164</v>
      </c>
      <c r="F82" s="30">
        <v>16.8488416802197</v>
      </c>
      <c r="G82" s="31">
        <v>31.8604632987086</v>
      </c>
      <c r="H82" s="2"/>
      <c r="I82" s="25">
        <v>4.7</v>
      </c>
      <c r="J82" s="25" cm="1">
        <f t="array" ref="J82">I82/1000</f>
        <v>0.0047</v>
      </c>
      <c r="K82" s="2"/>
      <c r="L82" s="25" cm="1">
        <f t="array" ref="L82">D82*$J82</f>
        <v>0.0786220086606431</v>
      </c>
      <c r="M82" s="25" cm="1">
        <f t="array" ref="M82">E82*$J82</f>
        <v>0.0107721102816677</v>
      </c>
      <c r="N82" s="25" cm="1">
        <f t="array" ref="N82">F82*$J82</f>
        <v>0.0791895558970326</v>
      </c>
      <c r="O82" s="25" cm="1">
        <f t="array" ref="O82">G82*$J82</f>
        <v>0.14974417750393</v>
      </c>
      <c r="P82" s="2"/>
      <c r="Q82" s="25">
        <v>0.0193000000000012</v>
      </c>
      <c r="R82" s="25">
        <v>1</v>
      </c>
      <c r="S82" s="25" cm="1">
        <f t="array" ref="S82">L82/$Q82</f>
        <v>4.07367920521442</v>
      </c>
      <c r="T82" s="25" cm="1">
        <f t="array" ref="T82">M82/$Q82</f>
        <v>0.558140429101919</v>
      </c>
      <c r="U82" s="25" cm="1">
        <f t="array" ref="U82">N82/$Q82</f>
        <v>4.10308579777345</v>
      </c>
      <c r="V82" s="25" cm="1">
        <f t="array" ref="V82">O82/$Q82</f>
        <v>7.75876567377827</v>
      </c>
      <c r="W82" s="2"/>
      <c r="X82" s="25" cm="1">
        <f t="array" ref="X82">S82-X$3-X$85</f>
        <v>-2.14707011639996</v>
      </c>
      <c r="Y82" s="25" cm="1">
        <f t="array" ref="Y82">T82-Y$3-Y$85</f>
        <v>-0.570677249642871</v>
      </c>
      <c r="Z82" s="25" cm="1">
        <f t="array" ref="Z82">U82-Z$3-Z$85</f>
        <v>0.9895446695797</v>
      </c>
      <c r="AA82" s="25" cm="1">
        <f t="array" ref="AA82">V82-AA$3-AA$85</f>
        <v>9.59012258333874</v>
      </c>
      <c r="AB82" s="2"/>
      <c r="AC82" s="32" cm="1">
        <f t="array" ref="AC82">X82</f>
        <v>-2.14707011639996</v>
      </c>
      <c r="AD82" s="32" cm="1">
        <f t="array" ref="AD82">Y82</f>
        <v>-0.570677249642871</v>
      </c>
      <c r="AE82" s="32" cm="1">
        <f t="array" ref="AE82">Z82</f>
        <v>0.9895446695797</v>
      </c>
      <c r="AF82" s="32" cm="1">
        <f t="array" ref="AF82">AA82</f>
        <v>9.59012258333874</v>
      </c>
    </row>
    <row r="83" ht="17" customHeight="1">
      <c r="A83" s="2"/>
      <c r="B83" t="s" s="24">
        <v>84</v>
      </c>
      <c r="C83" t="s" s="39">
        <v>142</v>
      </c>
      <c r="D83" s="28">
        <v>63.2599674053437</v>
      </c>
      <c r="E83" s="29">
        <v>2.51137789530949</v>
      </c>
      <c r="F83" s="33">
        <v>12.2286789805895</v>
      </c>
      <c r="G83" s="25">
        <v>37.2251511695673</v>
      </c>
      <c r="H83" s="2"/>
      <c r="I83" s="25">
        <v>4.7</v>
      </c>
      <c r="J83" s="25" cm="1">
        <f t="array" ref="J83">I83/1000</f>
        <v>0.0047</v>
      </c>
      <c r="K83" s="2"/>
      <c r="L83" s="25" cm="1">
        <f t="array" ref="L83">D83*$J83</f>
        <v>0.297321846805115</v>
      </c>
      <c r="M83" s="25" cm="1">
        <f t="array" ref="M83">E83*$J83</f>
        <v>0.0118034761079546</v>
      </c>
      <c r="N83" s="25" cm="1">
        <f t="array" ref="N83">F83*$J83</f>
        <v>0.0574747912087707</v>
      </c>
      <c r="O83" s="25" cm="1">
        <f t="array" ref="O83">G83*$J83</f>
        <v>0.174958210496966</v>
      </c>
      <c r="P83" s="2"/>
      <c r="Q83" s="25">
        <v>0.0197000000000003</v>
      </c>
      <c r="R83" s="25">
        <v>1</v>
      </c>
      <c r="S83" s="25" cm="1">
        <f t="array" ref="S83">L83/$Q83</f>
        <v>15.0924795332543</v>
      </c>
      <c r="T83" s="25" cm="1">
        <f t="array" ref="T83">M83/$Q83</f>
        <v>0.599161223754031</v>
      </c>
      <c r="U83" s="25" cm="1">
        <f t="array" ref="U83">N83/$Q83</f>
        <v>2.91750209181573</v>
      </c>
      <c r="V83" s="25" cm="1">
        <f t="array" ref="V83">O83/$Q83</f>
        <v>8.881127436394079</v>
      </c>
      <c r="W83" s="2"/>
      <c r="X83" s="25" cm="1">
        <f t="array" ref="X83">S83-X$3-X$85</f>
        <v>8.871730211639919</v>
      </c>
      <c r="Y83" s="25" cm="1">
        <f t="array" ref="Y83">T83-Y$3-Y$85</f>
        <v>-0.529656454990759</v>
      </c>
      <c r="Z83" s="25" cm="1">
        <f t="array" ref="Z83">U83-Z$3-Z$85</f>
        <v>-0.19603903637802</v>
      </c>
      <c r="AA83" s="25" cm="1">
        <f t="array" ref="AA83">V83-AA$3-AA$85</f>
        <v>10.7124843459546</v>
      </c>
      <c r="AB83" s="2"/>
      <c r="AC83" s="32" cm="1">
        <f t="array" ref="AC83">X83</f>
        <v>8.871730211639919</v>
      </c>
      <c r="AD83" s="32" cm="1">
        <f t="array" ref="AD83">Y83</f>
        <v>-0.529656454990759</v>
      </c>
      <c r="AE83" s="32" cm="1">
        <f t="array" ref="AE83">Z83</f>
        <v>-0.19603903637802</v>
      </c>
      <c r="AF83" s="32" cm="1">
        <f t="array" ref="AF83">AA83</f>
        <v>10.7124843459546</v>
      </c>
    </row>
    <row r="84" ht="17" customHeight="1">
      <c r="A84" s="2"/>
      <c r="B84" t="s" s="24">
        <v>86</v>
      </c>
      <c r="C84" t="s" s="39">
        <v>143</v>
      </c>
      <c r="D84" s="28">
        <v>49.6202446231435</v>
      </c>
      <c r="E84" s="29">
        <v>2.05924997722498</v>
      </c>
      <c r="F84" s="30">
        <v>13.7568944259943</v>
      </c>
      <c r="G84" s="31">
        <v>-7.54443741717351</v>
      </c>
      <c r="H84" s="2"/>
      <c r="I84" s="25">
        <v>4.7</v>
      </c>
      <c r="J84" s="25" cm="1">
        <f t="array" ref="J84">I84/1000</f>
        <v>0.0047</v>
      </c>
      <c r="K84" s="2"/>
      <c r="L84" s="25" cm="1">
        <f t="array" ref="L84">D84*$J84</f>
        <v>0.233215149728774</v>
      </c>
      <c r="M84" s="25" cm="1">
        <f t="array" ref="M84">E84*$J84</f>
        <v>0.009678474892957411</v>
      </c>
      <c r="N84" s="25" cm="1">
        <f t="array" ref="N84">F84*$J84</f>
        <v>0.06465740380217321</v>
      </c>
      <c r="O84" s="25" cm="1">
        <f t="array" ref="O84">G84*$J84</f>
        <v>-0.0354588558607155</v>
      </c>
      <c r="P84" s="2"/>
      <c r="Q84" s="25">
        <v>0.0192999999999994</v>
      </c>
      <c r="R84" s="25">
        <v>1</v>
      </c>
      <c r="S84" s="25" cm="1">
        <f t="array" ref="S84">L84/$Q84</f>
        <v>12.0836865144446</v>
      </c>
      <c r="T84" s="25" cm="1">
        <f t="array" ref="T84">M84/$Q84</f>
        <v>0.501475383054804</v>
      </c>
      <c r="U84" s="25" cm="1">
        <f t="array" ref="U84">N84/$Q84</f>
        <v>3.3501245493355</v>
      </c>
      <c r="V84" s="25" cm="1">
        <f t="array" ref="V84">O84/$Q84</f>
        <v>-1.83724641765371</v>
      </c>
      <c r="W84" s="2"/>
      <c r="X84" s="2"/>
      <c r="Y84" s="2"/>
      <c r="Z84" s="2"/>
      <c r="AA84" s="2"/>
      <c r="AB84" s="2"/>
      <c r="AC84" s="26"/>
      <c r="AD84" s="26"/>
      <c r="AE84" s="32" cm="1">
        <f t="array" ref="AE84">Z84</f>
        <v>0</v>
      </c>
      <c r="AF84" s="26"/>
    </row>
    <row r="85" ht="17" customHeight="1">
      <c r="A85" s="2"/>
      <c r="B85" t="s" s="24">
        <v>88</v>
      </c>
      <c r="C85" t="s" s="39">
        <v>144</v>
      </c>
      <c r="D85" s="28">
        <v>12.4956439954071</v>
      </c>
      <c r="E85" s="29">
        <v>9.02676763628593</v>
      </c>
      <c r="F85" s="33">
        <v>13.5914804039963</v>
      </c>
      <c r="G85" s="25">
        <v>-7.60631937973548</v>
      </c>
      <c r="H85" s="2"/>
      <c r="I85" s="25">
        <v>4.7</v>
      </c>
      <c r="J85" s="25" cm="1">
        <f t="array" ref="J85">I85/1000</f>
        <v>0.0047</v>
      </c>
      <c r="K85" s="2"/>
      <c r="L85" s="25" cm="1">
        <f t="array" ref="L85">D85*$J85</f>
        <v>0.0587295267784134</v>
      </c>
      <c r="M85" s="25" cm="1">
        <f t="array" ref="M85">E85*$J85</f>
        <v>0.0424258078905439</v>
      </c>
      <c r="N85" s="25" cm="1">
        <f t="array" ref="N85">F85*$J85</f>
        <v>0.0638799578987826</v>
      </c>
      <c r="O85" s="25" cm="1">
        <f t="array" ref="O85">G85*$J85</f>
        <v>-0.0357497010847568</v>
      </c>
      <c r="P85" s="2"/>
      <c r="Q85" s="25">
        <v>0.0193999999999992</v>
      </c>
      <c r="R85" s="25">
        <v>1</v>
      </c>
      <c r="S85" s="25" cm="1">
        <f t="array" ref="S85">L85/$Q85</f>
        <v>3.0272951947637</v>
      </c>
      <c r="T85" s="25" cm="1">
        <f t="array" ref="T85">M85/$Q85</f>
        <v>2.18689731394565</v>
      </c>
      <c r="U85" s="25" cm="1">
        <f t="array" ref="U85">N85/$Q85</f>
        <v>3.29278133498893</v>
      </c>
      <c r="V85" s="25" cm="1">
        <f t="array" ref="V85">O85/$Q85</f>
        <v>-1.84276809715249</v>
      </c>
      <c r="W85" s="2"/>
      <c r="X85" s="25" cm="1">
        <f t="array" ref="X85">AVERAGE(S84:S86)</f>
        <v>6.22074932161438</v>
      </c>
      <c r="Y85" s="25" cm="1">
        <f t="array" ref="Y85">AVERAGE(T84:T86)</f>
        <v>1.12881767874479</v>
      </c>
      <c r="Z85" s="25" cm="1">
        <f t="array" ref="Z85">AVERAGE(U84:U86)</f>
        <v>3.11354112819375</v>
      </c>
      <c r="AA85" s="25" cm="1">
        <f t="array" ref="AA85">AVERAGE(V84:V86)</f>
        <v>-1.83135690956047</v>
      </c>
      <c r="AB85" s="2"/>
      <c r="AC85" s="26"/>
      <c r="AD85" s="26"/>
      <c r="AE85" s="26"/>
      <c r="AF85" s="26"/>
    </row>
    <row r="86" ht="17" customHeight="1">
      <c r="A86" s="2"/>
      <c r="B86" t="s" s="36">
        <v>90</v>
      </c>
      <c r="C86" t="s" s="39">
        <v>145</v>
      </c>
      <c r="D86" s="28">
        <v>14.658418161556</v>
      </c>
      <c r="E86" s="29">
        <v>2.8814379959867</v>
      </c>
      <c r="F86" s="30">
        <v>11.1352594691447</v>
      </c>
      <c r="G86" s="31">
        <v>-7.48780649982502</v>
      </c>
      <c r="H86" s="2"/>
      <c r="I86" s="25">
        <v>4.7</v>
      </c>
      <c r="J86" s="25" cm="1">
        <f t="array" ref="J86">I86/1000</f>
        <v>0.0047</v>
      </c>
      <c r="K86" s="2"/>
      <c r="L86" s="25" cm="1">
        <f t="array" ref="L86">D86*$J86</f>
        <v>0.0688945653593132</v>
      </c>
      <c r="M86" s="25" cm="1">
        <f t="array" ref="M86">E86*$J86</f>
        <v>0.0135427585811375</v>
      </c>
      <c r="N86" s="25" cm="1">
        <f t="array" ref="N86">F86*$J86</f>
        <v>0.0523357195049801</v>
      </c>
      <c r="O86" s="25" cm="1">
        <f t="array" ref="O86">G86*$J86</f>
        <v>-0.0351926905491776</v>
      </c>
      <c r="P86" s="2"/>
      <c r="Q86" s="25">
        <v>0.0193999999999992</v>
      </c>
      <c r="R86" s="25">
        <v>1</v>
      </c>
      <c r="S86" s="25" cm="1">
        <f t="array" ref="S86">L86/$Q86</f>
        <v>3.55126625563485</v>
      </c>
      <c r="T86" s="25" cm="1">
        <f t="array" ref="T86">M86/$Q86</f>
        <v>0.698080339233921</v>
      </c>
      <c r="U86" s="25" cm="1">
        <f t="array" ref="U86">N86/$Q86</f>
        <v>2.69771750025682</v>
      </c>
      <c r="V86" s="25" cm="1">
        <f t="array" ref="V86">O86/$Q86</f>
        <v>-1.81405621387521</v>
      </c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7" customHeight="1">
      <c r="A87" s="2"/>
      <c r="B87" t="s" s="19">
        <v>92</v>
      </c>
      <c r="C87" t="s" s="39">
        <v>146</v>
      </c>
      <c r="D87" s="28">
        <v>23.8086026188899</v>
      </c>
      <c r="E87" s="29">
        <v>43.454807167982</v>
      </c>
      <c r="F87" s="33">
        <v>705.834405305503</v>
      </c>
      <c r="G87" s="25">
        <v>-4.96010135571924</v>
      </c>
      <c r="H87" s="2"/>
      <c r="I87" s="25">
        <v>4.7</v>
      </c>
      <c r="J87" s="25" cm="1">
        <f t="array" ref="J87">I87/1000</f>
        <v>0.0047</v>
      </c>
      <c r="K87" s="2"/>
      <c r="L87" s="25" cm="1">
        <f t="array" ref="L87">D87*$J87</f>
        <v>0.111900432308783</v>
      </c>
      <c r="M87" s="25" cm="1">
        <f t="array" ref="M87">E87*$J87</f>
        <v>0.204237593689515</v>
      </c>
      <c r="N87" s="25" cm="1">
        <f t="array" ref="N87">F87*$J87</f>
        <v>3.31742170493586</v>
      </c>
      <c r="O87" s="25" cm="1">
        <f t="array" ref="O87">G87*$J87</f>
        <v>-0.0233124763718804</v>
      </c>
      <c r="P87" s="2"/>
      <c r="Q87" s="25">
        <v>0.0185999999999993</v>
      </c>
      <c r="R87" s="25">
        <v>1</v>
      </c>
      <c r="S87" s="25" cm="1">
        <f t="array" ref="S87">L87/$Q87</f>
        <v>6.01615227466598</v>
      </c>
      <c r="T87" s="25" cm="1">
        <f t="array" ref="T87">M87/$Q87</f>
        <v>10.9805157897593</v>
      </c>
      <c r="U87" s="25" cm="1">
        <f t="array" ref="U87">N87/$Q87</f>
        <v>178.356005641720</v>
      </c>
      <c r="V87" s="25" cm="1">
        <f t="array" ref="V87">O87/$Q87</f>
        <v>-1.2533589447248</v>
      </c>
      <c r="W87" s="2"/>
      <c r="X87" s="25" cm="1">
        <f t="array" ref="X87">S87-X$3-X$94</f>
        <v>1.22902540819265</v>
      </c>
      <c r="Y87" s="25" cm="1">
        <f t="array" ref="Y87">T87-Y$3-Y$94</f>
        <v>9.456371363356061</v>
      </c>
      <c r="Z87" s="25" cm="1">
        <f t="array" ref="Z87">U87-Z$3-Z$94</f>
        <v>176.642492773398</v>
      </c>
      <c r="AA87" s="25" cm="1">
        <f t="array" ref="AA87">V87-AA$3-AA$94</f>
        <v>0.50553724503509</v>
      </c>
      <c r="AB87" s="2"/>
      <c r="AC87" s="32" cm="1">
        <f t="array" ref="AC87">X87</f>
        <v>1.22902540819265</v>
      </c>
      <c r="AD87" s="32" cm="1">
        <f t="array" ref="AD87">Y87</f>
        <v>9.456371363356061</v>
      </c>
      <c r="AE87" s="32" cm="1">
        <f t="array" ref="AE87">Z87</f>
        <v>176.642492773398</v>
      </c>
      <c r="AF87" s="32" cm="1">
        <f t="array" ref="AF87">AA87</f>
        <v>0.50553724503509</v>
      </c>
    </row>
    <row r="88" ht="17" customHeight="1">
      <c r="A88" s="2"/>
      <c r="B88" t="s" s="24">
        <v>94</v>
      </c>
      <c r="C88" t="s" s="39">
        <v>147</v>
      </c>
      <c r="D88" s="28">
        <v>15.5931360897345</v>
      </c>
      <c r="E88" s="29">
        <v>36.0502094554744</v>
      </c>
      <c r="F88" s="30">
        <v>647.570360054651</v>
      </c>
      <c r="G88" s="31">
        <v>-6.08632972438737</v>
      </c>
      <c r="H88" s="2"/>
      <c r="I88" s="25">
        <v>4.7</v>
      </c>
      <c r="J88" s="25" cm="1">
        <f t="array" ref="J88">I88/1000</f>
        <v>0.0047</v>
      </c>
      <c r="K88" s="2"/>
      <c r="L88" s="25" cm="1">
        <f t="array" ref="L88">D88*$J88</f>
        <v>0.0732877396217522</v>
      </c>
      <c r="M88" s="25" cm="1">
        <f t="array" ref="M88">E88*$J88</f>
        <v>0.16943598444073</v>
      </c>
      <c r="N88" s="25" cm="1">
        <f t="array" ref="N88">F88*$J88</f>
        <v>3.04358069225686</v>
      </c>
      <c r="O88" s="25" cm="1">
        <f t="array" ref="O88">G88*$J88</f>
        <v>-0.0286057497046206</v>
      </c>
      <c r="P88" s="2"/>
      <c r="Q88" s="25">
        <v>0.0193000000000012</v>
      </c>
      <c r="R88" s="25">
        <v>1</v>
      </c>
      <c r="S88" s="25" cm="1">
        <f t="array" ref="S88">L88/$Q88</f>
        <v>3.79729220838071</v>
      </c>
      <c r="T88" s="25" cm="1">
        <f t="array" ref="T88">M88/$Q88</f>
        <v>8.77906655133261</v>
      </c>
      <c r="U88" s="25" cm="1">
        <f t="array" ref="U88">N88/$Q88</f>
        <v>157.698481464076</v>
      </c>
      <c r="V88" s="25" cm="1">
        <f t="array" ref="V88">O88/$Q88</f>
        <v>-1.48216319713051</v>
      </c>
      <c r="W88" s="2"/>
      <c r="X88" s="25" cm="1">
        <f t="array" ref="X88">S88-X$3-X$94</f>
        <v>-0.9898346580926199</v>
      </c>
      <c r="Y88" s="25" cm="1">
        <f t="array" ref="Y88">T88-Y$3-Y$94</f>
        <v>7.25492212492937</v>
      </c>
      <c r="Z88" s="25" cm="1">
        <f t="array" ref="Z88">U88-Z$3-Z$94</f>
        <v>155.984968595754</v>
      </c>
      <c r="AA88" s="25" cm="1">
        <f t="array" ref="AA88">V88-AA$3-AA$94</f>
        <v>0.27673299262938</v>
      </c>
      <c r="AB88" s="2"/>
      <c r="AC88" s="32" cm="1">
        <f t="array" ref="AC88">X88</f>
        <v>-0.9898346580926199</v>
      </c>
      <c r="AD88" s="32" cm="1">
        <f t="array" ref="AD88">Y88</f>
        <v>7.25492212492937</v>
      </c>
      <c r="AE88" s="32" cm="1">
        <f t="array" ref="AE88">Z88</f>
        <v>155.984968595754</v>
      </c>
      <c r="AF88" s="32" cm="1">
        <f t="array" ref="AF88">AA88</f>
        <v>0.27673299262938</v>
      </c>
    </row>
    <row r="89" ht="17" customHeight="1">
      <c r="A89" s="2"/>
      <c r="B89" t="s" s="24">
        <v>96</v>
      </c>
      <c r="C89" t="s" s="39">
        <v>148</v>
      </c>
      <c r="D89" s="28">
        <v>105.090872127954</v>
      </c>
      <c r="E89" s="29">
        <v>34.9519518789279</v>
      </c>
      <c r="F89" s="33">
        <v>691.972194209911</v>
      </c>
      <c r="G89" s="25">
        <v>-5.3227151365388</v>
      </c>
      <c r="H89" s="27"/>
      <c r="I89" s="25">
        <v>4.7</v>
      </c>
      <c r="J89" s="25" cm="1">
        <f t="array" ref="J89">I89/1000</f>
        <v>0.0047</v>
      </c>
      <c r="K89" s="2"/>
      <c r="L89" s="25" cm="1">
        <f t="array" ref="L89">D89*$J89</f>
        <v>0.493927099001384</v>
      </c>
      <c r="M89" s="25" cm="1">
        <f t="array" ref="M89">E89*$J89</f>
        <v>0.164274173830961</v>
      </c>
      <c r="N89" s="25" cm="1">
        <f t="array" ref="N89">F89*$J89</f>
        <v>3.25226931278658</v>
      </c>
      <c r="O89" s="25" cm="1">
        <f t="array" ref="O89">G89*$J89</f>
        <v>-0.0250167611417324</v>
      </c>
      <c r="P89" s="2"/>
      <c r="Q89" s="25">
        <v>0.0188000000000006</v>
      </c>
      <c r="R89" s="25">
        <v>1</v>
      </c>
      <c r="S89" s="25" cm="1">
        <f t="array" ref="S89">L89/$Q89</f>
        <v>26.2727180319877</v>
      </c>
      <c r="T89" s="25" cm="1">
        <f t="array" ref="T89">M89/$Q89</f>
        <v>8.737987969731689</v>
      </c>
      <c r="U89" s="25" cm="1">
        <f t="array" ref="U89">N89/$Q89</f>
        <v>172.993048552472</v>
      </c>
      <c r="V89" s="25" cm="1">
        <f t="array" ref="V89">O89/$Q89</f>
        <v>-1.33067878413466</v>
      </c>
      <c r="W89" s="2"/>
      <c r="X89" s="25" cm="1">
        <f t="array" ref="X89">S89-X$3-X$94</f>
        <v>21.4855911655144</v>
      </c>
      <c r="Y89" s="25" cm="1">
        <f t="array" ref="Y89">T89-Y$3-Y$94</f>
        <v>7.21384354332845</v>
      </c>
      <c r="Z89" s="25" cm="1">
        <f t="array" ref="Z89">U89-Z$3-Z$94</f>
        <v>171.279535684150</v>
      </c>
      <c r="AA89" s="25" cm="1">
        <f t="array" ref="AA89">V89-AA$3-AA$94</f>
        <v>0.42821740562523</v>
      </c>
      <c r="AB89" s="2"/>
      <c r="AC89" s="32" cm="1">
        <f t="array" ref="AC89">X89</f>
        <v>21.4855911655144</v>
      </c>
      <c r="AD89" s="32" cm="1">
        <f t="array" ref="AD89">Y89</f>
        <v>7.21384354332845</v>
      </c>
      <c r="AE89" s="32" cm="1">
        <f t="array" ref="AE89">Z89</f>
        <v>171.279535684150</v>
      </c>
      <c r="AF89" s="32" cm="1">
        <f t="array" ref="AF89">AA89</f>
        <v>0.42821740562523</v>
      </c>
    </row>
    <row r="90" ht="17" customHeight="1">
      <c r="A90" s="2"/>
      <c r="B90" t="s" s="24">
        <v>98</v>
      </c>
      <c r="C90" t="s" s="39">
        <v>149</v>
      </c>
      <c r="D90" s="28">
        <v>17.0051393133724</v>
      </c>
      <c r="E90" s="29">
        <v>2.08867912900293</v>
      </c>
      <c r="F90" s="33">
        <v>3.84274053049767</v>
      </c>
      <c r="G90" s="28">
        <v>59.4745213982182</v>
      </c>
      <c r="H90" s="35"/>
      <c r="I90" s="25">
        <v>4.7</v>
      </c>
      <c r="J90" s="25" cm="1">
        <f t="array" ref="J90">I90/1000</f>
        <v>0.0047</v>
      </c>
      <c r="K90" s="2"/>
      <c r="L90" s="25" cm="1">
        <f t="array" ref="L90">D90*$J90</f>
        <v>0.07992415477285029</v>
      </c>
      <c r="M90" s="25" cm="1">
        <f t="array" ref="M90">E90*$J90</f>
        <v>0.009816791906313771</v>
      </c>
      <c r="N90" s="25" cm="1">
        <f t="array" ref="N90">H90*$J90</f>
        <v>0</v>
      </c>
      <c r="O90" s="25" cm="1">
        <f t="array" ref="O90">G90*$J90</f>
        <v>0.279530250571626</v>
      </c>
      <c r="P90" s="2"/>
      <c r="Q90" s="25">
        <v>0.0184999999999995</v>
      </c>
      <c r="R90" s="25">
        <v>1</v>
      </c>
      <c r="S90" s="25" cm="1">
        <f t="array" ref="S90">L90/$Q90</f>
        <v>4.32022458231635</v>
      </c>
      <c r="T90" s="25" cm="1">
        <f t="array" ref="T90">M90/$Q90</f>
        <v>0.530637400341299</v>
      </c>
      <c r="U90" s="25" cm="1">
        <f t="array" ref="U90">N90/$Q90</f>
        <v>0</v>
      </c>
      <c r="V90" s="25" cm="1">
        <f t="array" ref="V90">O90/$Q90</f>
        <v>15.1097432741424</v>
      </c>
      <c r="W90" s="2"/>
      <c r="X90" s="25" cm="1">
        <f t="array" ref="X90">S90-X$3-X$94</f>
        <v>-0.46690228415698</v>
      </c>
      <c r="Y90" s="25" cm="1">
        <f t="array" ref="Y90">T90-Y$3-Y$94</f>
        <v>-0.993507026061941</v>
      </c>
      <c r="Z90" s="25" cm="1">
        <f t="array" ref="Z90">U90-Z$3-Z$94</f>
        <v>-1.71351286832214</v>
      </c>
      <c r="AA90" s="25" cm="1">
        <f t="array" ref="AA90">V90-AA$3-AA$94</f>
        <v>16.8686394639023</v>
      </c>
      <c r="AB90" s="2"/>
      <c r="AC90" s="32" cm="1">
        <f t="array" ref="AC90">X90</f>
        <v>-0.46690228415698</v>
      </c>
      <c r="AD90" s="32" cm="1">
        <f t="array" ref="AD90">Y90</f>
        <v>-0.993507026061941</v>
      </c>
      <c r="AE90" s="32" cm="1">
        <f t="array" ref="AE90">Z90</f>
        <v>-1.71351286832214</v>
      </c>
      <c r="AF90" s="32" cm="1">
        <f t="array" ref="AF90">AA90</f>
        <v>16.8686394639023</v>
      </c>
    </row>
    <row r="91" ht="17" customHeight="1">
      <c r="A91" s="2"/>
      <c r="B91" t="s" s="24">
        <v>100</v>
      </c>
      <c r="C91" t="s" s="39">
        <v>150</v>
      </c>
      <c r="D91" s="28">
        <v>14.0898279211542</v>
      </c>
      <c r="E91" s="29">
        <v>2.74791178044629</v>
      </c>
      <c r="F91" s="33">
        <v>9.281906187477119</v>
      </c>
      <c r="G91" s="25">
        <v>51.9238555055217</v>
      </c>
      <c r="H91" s="27"/>
      <c r="I91" s="25">
        <v>4.7</v>
      </c>
      <c r="J91" s="25" cm="1">
        <f t="array" ref="J91">I91/1000</f>
        <v>0.0047</v>
      </c>
      <c r="K91" s="2"/>
      <c r="L91" s="25" cm="1">
        <f t="array" ref="L91">D91*$J91</f>
        <v>0.0662221912294247</v>
      </c>
      <c r="M91" s="25" cm="1">
        <f t="array" ref="M91">E91*$J91</f>
        <v>0.0129151853680976</v>
      </c>
      <c r="N91" s="25" cm="1">
        <f t="array" ref="N91">F91*$J91</f>
        <v>0.0436249590811425</v>
      </c>
      <c r="O91" s="25" cm="1">
        <f t="array" ref="O91">G91*$J91</f>
        <v>0.244042120875952</v>
      </c>
      <c r="P91" s="2"/>
      <c r="Q91" s="25">
        <v>0.0190999999999999</v>
      </c>
      <c r="R91" s="25">
        <v>1</v>
      </c>
      <c r="S91" s="25" cm="1">
        <f t="array" ref="S91">L91/$Q91</f>
        <v>3.46713043085995</v>
      </c>
      <c r="T91" s="25" cm="1">
        <f t="array" ref="T91">M91/$Q91</f>
        <v>0.676187715607208</v>
      </c>
      <c r="U91" s="25" cm="1">
        <f t="array" ref="U91">N91/$Q91</f>
        <v>2.28402927126402</v>
      </c>
      <c r="V91" s="25" cm="1">
        <f t="array" ref="V91">O91/$Q91</f>
        <v>12.7770743914112</v>
      </c>
      <c r="W91" s="2"/>
      <c r="X91" s="25" cm="1">
        <f t="array" ref="X91">S91-X$3-X$94</f>
        <v>-1.31999643561338</v>
      </c>
      <c r="Y91" s="25" cm="1">
        <f t="array" ref="Y91">T91-Y$3-Y$94</f>
        <v>-0.847956710796032</v>
      </c>
      <c r="Z91" s="25" cm="1">
        <f t="array" ref="Z91">U91-Z$3-Z$94</f>
        <v>0.57051640294188</v>
      </c>
      <c r="AA91" s="25" cm="1">
        <f t="array" ref="AA91">V91-AA$3-AA$94</f>
        <v>14.5359705811711</v>
      </c>
      <c r="AB91" s="2"/>
      <c r="AC91" s="32" cm="1">
        <f t="array" ref="AC91">X91</f>
        <v>-1.31999643561338</v>
      </c>
      <c r="AD91" s="32" cm="1">
        <f t="array" ref="AD91">Y91</f>
        <v>-0.847956710796032</v>
      </c>
      <c r="AE91" s="32" cm="1">
        <f t="array" ref="AE91">Z91</f>
        <v>0.57051640294188</v>
      </c>
      <c r="AF91" s="32" cm="1">
        <f t="array" ref="AF91">AA91</f>
        <v>14.5359705811711</v>
      </c>
    </row>
    <row r="92" ht="17" customHeight="1">
      <c r="A92" s="2"/>
      <c r="B92" t="s" s="24">
        <v>102</v>
      </c>
      <c r="C92" t="s" s="39">
        <v>151</v>
      </c>
      <c r="D92" s="28">
        <v>58.5062794136546</v>
      </c>
      <c r="E92" s="29">
        <v>3.89922486436758</v>
      </c>
      <c r="F92" s="29">
        <v>7.2549053820873</v>
      </c>
      <c r="G92" s="40">
        <v>87.5741406343776</v>
      </c>
      <c r="H92" s="33"/>
      <c r="I92" s="25">
        <v>4.7</v>
      </c>
      <c r="J92" s="25" cm="1">
        <f t="array" ref="J92">I92/1000</f>
        <v>0.0047</v>
      </c>
      <c r="K92" s="2"/>
      <c r="L92" s="25" cm="1">
        <f t="array" ref="L92">D92*$J92</f>
        <v>0.274979513244177</v>
      </c>
      <c r="M92" s="25" cm="1">
        <f t="array" ref="M92">E92*$J92</f>
        <v>0.0183263568625276</v>
      </c>
      <c r="N92" s="25" cm="1">
        <f t="array" ref="N92">H92*$J92</f>
        <v>0</v>
      </c>
      <c r="O92" s="25" cm="1">
        <f t="array" ref="O92">G92*$J92</f>
        <v>0.411598460981575</v>
      </c>
      <c r="P92" s="2"/>
      <c r="Q92" s="25">
        <v>0.0191999999999997</v>
      </c>
      <c r="R92" s="25">
        <v>1</v>
      </c>
      <c r="S92" s="25" cm="1">
        <f t="array" ref="S92">L92/$Q92</f>
        <v>14.3218496481344</v>
      </c>
      <c r="T92" s="25" cm="1">
        <f t="array" ref="T92">M92/$Q92</f>
        <v>0.954497753256661</v>
      </c>
      <c r="U92" s="25" cm="1">
        <f t="array" ref="U92">N92/$Q92</f>
        <v>0</v>
      </c>
      <c r="V92" s="25" cm="1">
        <f t="array" ref="V92">O92/$Q92</f>
        <v>21.4374198427907</v>
      </c>
      <c r="W92" s="2"/>
      <c r="X92" s="25" cm="1">
        <f t="array" ref="X92">S92-X$3-X$94</f>
        <v>9.53472278166107</v>
      </c>
      <c r="Y92" s="25" cm="1">
        <f t="array" ref="Y92">T92-Y$3-Y$94</f>
        <v>-0.569646673146579</v>
      </c>
      <c r="Z92" s="25" cm="1">
        <f t="array" ref="Z92">U92-Z$3-Z$94</f>
        <v>-1.71351286832214</v>
      </c>
      <c r="AA92" s="25" cm="1">
        <f t="array" ref="AA92">V92-AA$3-AA$94</f>
        <v>23.1963160325506</v>
      </c>
      <c r="AB92" s="2"/>
      <c r="AC92" s="32" cm="1">
        <f t="array" ref="AC92">X92</f>
        <v>9.53472278166107</v>
      </c>
      <c r="AD92" s="32" cm="1">
        <f t="array" ref="AD92">Y92</f>
        <v>-0.569646673146579</v>
      </c>
      <c r="AE92" s="32" cm="1">
        <f t="array" ref="AE92">Z92</f>
        <v>-1.71351286832214</v>
      </c>
      <c r="AF92" s="32" cm="1">
        <f t="array" ref="AF92">AA92</f>
        <v>23.1963160325506</v>
      </c>
    </row>
    <row r="93" ht="17" customHeight="1">
      <c r="A93" s="2"/>
      <c r="B93" t="s" s="24">
        <v>104</v>
      </c>
      <c r="C93" t="s" s="39">
        <v>152</v>
      </c>
      <c r="D93" s="28">
        <v>26.9821169586808</v>
      </c>
      <c r="E93" s="29">
        <v>2.80763568042279</v>
      </c>
      <c r="F93" s="29">
        <v>13.3911702729685</v>
      </c>
      <c r="G93" s="40">
        <v>-7.45523824024136</v>
      </c>
      <c r="H93" s="35"/>
      <c r="I93" s="25">
        <v>4.7</v>
      </c>
      <c r="J93" s="25" cm="1">
        <f t="array" ref="J93">I93/1000</f>
        <v>0.0047</v>
      </c>
      <c r="K93" s="2"/>
      <c r="L93" s="25" cm="1">
        <f t="array" ref="L93">D93*$J93</f>
        <v>0.1268159497058</v>
      </c>
      <c r="M93" s="25" cm="1">
        <f t="array" ref="M93">E93*$J93</f>
        <v>0.0131958876979871</v>
      </c>
      <c r="N93" s="25" cm="1">
        <f t="array" ref="N93">H93*$J93</f>
        <v>0</v>
      </c>
      <c r="O93" s="25" cm="1">
        <f t="array" ref="O93">G93*$J93</f>
        <v>-0.0350396197291344</v>
      </c>
      <c r="P93" s="2"/>
      <c r="Q93" s="25">
        <v>0.0190999999999999</v>
      </c>
      <c r="R93" s="25">
        <v>1</v>
      </c>
      <c r="S93" s="25" cm="1">
        <f t="array" ref="S93">L93/$Q93</f>
        <v>6.63957851862831</v>
      </c>
      <c r="T93" s="25" cm="1">
        <f t="array" ref="T93">M93/$Q93</f>
        <v>0.690884172669485</v>
      </c>
      <c r="U93" s="25" cm="1">
        <f t="array" ref="U93">N93/$Q93</f>
        <v>0</v>
      </c>
      <c r="V93" s="25" cm="1">
        <f t="array" ref="V93">O93/$Q93</f>
        <v>-1.8345350643526</v>
      </c>
      <c r="W93" s="2"/>
      <c r="X93" s="2"/>
      <c r="Y93" s="2"/>
      <c r="Z93" s="2"/>
      <c r="AA93" s="2"/>
      <c r="AB93" s="2"/>
      <c r="AC93" s="26"/>
      <c r="AD93" s="26"/>
      <c r="AE93" s="26"/>
      <c r="AF93" s="26"/>
    </row>
    <row r="94" ht="17" customHeight="1">
      <c r="A94" s="2"/>
      <c r="B94" t="s" s="24">
        <v>106</v>
      </c>
      <c r="C94" t="s" s="39">
        <v>153</v>
      </c>
      <c r="D94" s="28">
        <v>14.2404863503198</v>
      </c>
      <c r="E94" s="29">
        <v>2.33007907357368</v>
      </c>
      <c r="F94" s="30">
        <v>9.04425340533407</v>
      </c>
      <c r="G94" s="31">
        <v>-7.32662166923794</v>
      </c>
      <c r="H94" s="2"/>
      <c r="I94" s="25">
        <v>4.7</v>
      </c>
      <c r="J94" s="25" cm="1">
        <f t="array" ref="J94">I94/1000</f>
        <v>0.0047</v>
      </c>
      <c r="K94" s="2"/>
      <c r="L94" s="25" cm="1">
        <f t="array" ref="L94">D94*$J94</f>
        <v>0.0669302858465031</v>
      </c>
      <c r="M94" s="25" cm="1">
        <f t="array" ref="M94">E94*$J94</f>
        <v>0.0109513716457963</v>
      </c>
      <c r="N94" s="25" cm="1">
        <f t="array" ref="N94">F94*$J94</f>
        <v>0.0425079910050701</v>
      </c>
      <c r="O94" s="25" cm="1">
        <f t="array" ref="O94">G94*$J94</f>
        <v>-0.0344351218454183</v>
      </c>
      <c r="P94" s="2"/>
      <c r="Q94" s="25">
        <v>0.0198</v>
      </c>
      <c r="R94" s="25">
        <v>1</v>
      </c>
      <c r="S94" s="25" cm="1">
        <f t="array" ref="S94">L94/$Q94</f>
        <v>3.38031746699511</v>
      </c>
      <c r="T94" s="25" cm="1">
        <f t="array" ref="T94">M94/$Q94</f>
        <v>0.55309957807052</v>
      </c>
      <c r="U94" s="25" cm="1">
        <f t="array" ref="U94">N94/$Q94</f>
        <v>2.1468682325793</v>
      </c>
      <c r="V94" s="25" cm="1">
        <f t="array" ref="V94">O94/$Q94</f>
        <v>-1.73914756795042</v>
      </c>
      <c r="W94" s="2"/>
      <c r="X94" s="25" cm="1">
        <f t="array" ref="X94">AVERAGE(S93:S95)</f>
        <v>4.78712686647333</v>
      </c>
      <c r="Y94" s="25" cm="1">
        <f t="array" ref="Y94">AVERAGE(T93:T95)</f>
        <v>1.52414442640324</v>
      </c>
      <c r="Z94" s="25" cm="1">
        <f t="array" ref="Z94">AVERAGE(U93:U95)</f>
        <v>1.71351286832214</v>
      </c>
      <c r="AA94" s="25" cm="1">
        <f t="array" ref="AA94">AVERAGE(V93:V95)</f>
        <v>-1.75889618975989</v>
      </c>
      <c r="AB94" s="2"/>
      <c r="AC94" s="26"/>
      <c r="AD94" s="26"/>
      <c r="AE94" s="26"/>
      <c r="AF94" s="26"/>
    </row>
    <row r="95" ht="17" customHeight="1">
      <c r="A95" s="2"/>
      <c r="B95" t="s" s="24">
        <v>108</v>
      </c>
      <c r="C95" t="s" s="39">
        <v>154</v>
      </c>
      <c r="D95" s="28">
        <v>18.4744026118999</v>
      </c>
      <c r="E95" s="29">
        <v>14.1636150147644</v>
      </c>
      <c r="F95" s="33">
        <v>12.7390228612216</v>
      </c>
      <c r="G95" s="25">
        <v>-7.24683377436854</v>
      </c>
      <c r="H95" s="2"/>
      <c r="I95" s="25">
        <v>4.7</v>
      </c>
      <c r="J95" s="25" cm="1">
        <f t="array" ref="J95">I95/1000</f>
        <v>0.0047</v>
      </c>
      <c r="K95" s="2"/>
      <c r="L95" s="25" cm="1">
        <f t="array" ref="L95">D95*$J95</f>
        <v>0.0868296922759295</v>
      </c>
      <c r="M95" s="25" cm="1">
        <f t="array" ref="M95">E95*$J95</f>
        <v>0.06656899056939269</v>
      </c>
      <c r="N95" s="25" cm="1">
        <f t="array" ref="N95">F95*$J95</f>
        <v>0.0598734074477415</v>
      </c>
      <c r="O95" s="25" cm="1">
        <f t="array" ref="O95">G95*$J95</f>
        <v>-0.0340601187395321</v>
      </c>
      <c r="P95" s="2"/>
      <c r="Q95" s="25">
        <v>0.0199999999999996</v>
      </c>
      <c r="R95" s="25">
        <v>1</v>
      </c>
      <c r="S95" s="25" cm="1">
        <f t="array" ref="S95">L95/$Q95</f>
        <v>4.34148461379656</v>
      </c>
      <c r="T95" s="25" cm="1">
        <f t="array" ref="T95">M95/$Q95</f>
        <v>3.3284495284697</v>
      </c>
      <c r="U95" s="25" cm="1">
        <f t="array" ref="U95">N95/$Q95</f>
        <v>2.99367037238713</v>
      </c>
      <c r="V95" s="25" cm="1">
        <f t="array" ref="V95">O95/$Q95</f>
        <v>-1.70300593697664</v>
      </c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7" customHeight="1">
      <c r="A96" s="2"/>
      <c r="B96" t="s" s="24">
        <v>20</v>
      </c>
      <c r="C96" t="s" s="39">
        <v>155</v>
      </c>
      <c r="D96" s="28">
        <v>122.664314120460</v>
      </c>
      <c r="E96" s="29">
        <v>69.4211889170045</v>
      </c>
      <c r="F96" s="30">
        <v>636.546497508751</v>
      </c>
      <c r="G96" s="31">
        <v>8.931332492457161</v>
      </c>
      <c r="H96" s="2"/>
      <c r="I96" s="25">
        <v>4.7</v>
      </c>
      <c r="J96" s="25" cm="1">
        <f t="array" ref="J96">I96/1000</f>
        <v>0.0047</v>
      </c>
      <c r="K96" s="2"/>
      <c r="L96" s="25" cm="1">
        <f t="array" ref="L96">D96*$J96</f>
        <v>0.576522276366162</v>
      </c>
      <c r="M96" s="25" cm="1">
        <f t="array" ref="M96">E96*$J96</f>
        <v>0.326279587909921</v>
      </c>
      <c r="N96" s="25" cm="1">
        <f t="array" ref="N96">F96*$J96</f>
        <v>2.99176853829113</v>
      </c>
      <c r="O96" s="25" cm="1">
        <f t="array" ref="O96">G96*$J96</f>
        <v>0.0419772627145487</v>
      </c>
      <c r="P96" s="2"/>
      <c r="Q96" s="25">
        <v>0.0175999999999998</v>
      </c>
      <c r="R96" s="25">
        <v>1</v>
      </c>
      <c r="S96" s="25" cm="1">
        <f t="array" ref="S96">L96/$Q96</f>
        <v>32.756947520805</v>
      </c>
      <c r="T96" s="25" cm="1">
        <f t="array" ref="T96">M96/$Q96</f>
        <v>18.5386129494275</v>
      </c>
      <c r="U96" s="25" cm="1">
        <f t="array" ref="U96">N96/$Q96</f>
        <v>169.986848766543</v>
      </c>
      <c r="V96" s="25" cm="1">
        <f t="array" ref="V96">O96/$Q96</f>
        <v>2.38507174514484</v>
      </c>
      <c r="W96" s="2"/>
      <c r="X96" s="25" cm="1">
        <f t="array" ref="X96">S96-X$3-X$103</f>
        <v>22.8000735730659</v>
      </c>
      <c r="Y96" s="25" cm="1">
        <f t="array" ref="Y96">T96-Y$3-Y$103</f>
        <v>14.1884617307087</v>
      </c>
      <c r="Z96" s="25" cm="1">
        <f t="array" ref="Z96">U96-Z$3-Z$103</f>
        <v>139.016956326554</v>
      </c>
      <c r="AA96" s="25" cm="1">
        <f t="array" ref="AA96">V96-AA$3-AA$103</f>
        <v>4.10527235091576</v>
      </c>
      <c r="AB96" s="2"/>
      <c r="AC96" s="32" cm="1">
        <f t="array" ref="AC96">X96</f>
        <v>22.8000735730659</v>
      </c>
      <c r="AD96" s="32" cm="1">
        <f t="array" ref="AD96">Y96</f>
        <v>14.1884617307087</v>
      </c>
      <c r="AE96" s="32" cm="1">
        <f t="array" ref="AE96">Z96</f>
        <v>139.016956326554</v>
      </c>
      <c r="AF96" s="32" cm="1">
        <f t="array" ref="AF96">AA96</f>
        <v>4.10527235091576</v>
      </c>
    </row>
    <row r="97" ht="17" customHeight="1">
      <c r="A97" s="2"/>
      <c r="B97" t="s" s="24">
        <v>22</v>
      </c>
      <c r="C97" t="s" s="39">
        <v>156</v>
      </c>
      <c r="D97" s="28">
        <v>68.58807793778431</v>
      </c>
      <c r="E97" s="29">
        <v>19.5397338247463</v>
      </c>
      <c r="F97" s="33">
        <v>350.815122049599</v>
      </c>
      <c r="G97" s="25">
        <v>1.16998673503864</v>
      </c>
      <c r="H97" s="2"/>
      <c r="I97" s="25">
        <v>4.7</v>
      </c>
      <c r="J97" s="25" cm="1">
        <f t="array" ref="J97">I97/1000</f>
        <v>0.0047</v>
      </c>
      <c r="K97" s="2"/>
      <c r="L97" s="25" cm="1">
        <f t="array" ref="L97">D97*$J97</f>
        <v>0.322363966307586</v>
      </c>
      <c r="M97" s="25" cm="1">
        <f t="array" ref="M97">E97*$J97</f>
        <v>0.0918367489763076</v>
      </c>
      <c r="N97" s="25" cm="1">
        <f t="array" ref="N97">F97*$J97</f>
        <v>1.64883107363312</v>
      </c>
      <c r="O97" s="25" cm="1">
        <f t="array" ref="O97">G97*$J97</f>
        <v>0.00549893765468161</v>
      </c>
      <c r="P97" s="2"/>
      <c r="Q97" s="25">
        <v>0.0170000000000012</v>
      </c>
      <c r="R97" s="25">
        <v>1</v>
      </c>
      <c r="S97" s="25" cm="1">
        <f t="array" ref="S97">L97/$Q97</f>
        <v>18.9625862533861</v>
      </c>
      <c r="T97" s="25" cm="1">
        <f t="array" ref="T97">M97/$Q97</f>
        <v>5.4021617044883</v>
      </c>
      <c r="U97" s="25" cm="1">
        <f t="array" ref="U97">N97/$Q97</f>
        <v>96.99006315488261</v>
      </c>
      <c r="V97" s="25" cm="1">
        <f t="array" ref="V97">O97/$Q97</f>
        <v>0.323466920863601</v>
      </c>
      <c r="W97" s="2"/>
      <c r="X97" s="25" cm="1">
        <f t="array" ref="X97">S97-X$3-X$103</f>
        <v>9.005712305646959</v>
      </c>
      <c r="Y97" s="25" cm="1">
        <f t="array" ref="Y97">T97-Y$3-Y$103</f>
        <v>1.05201048576948</v>
      </c>
      <c r="Z97" s="25" cm="1">
        <f t="array" ref="Z97">U97-Z$3-Z$103</f>
        <v>66.0201707148934</v>
      </c>
      <c r="AA97" s="25" cm="1">
        <f t="array" ref="AA97">V97-AA$3-AA$103</f>
        <v>2.04366752663452</v>
      </c>
      <c r="AB97" s="2"/>
      <c r="AC97" s="32" cm="1">
        <f t="array" ref="AC97">X97</f>
        <v>9.005712305646959</v>
      </c>
      <c r="AD97" s="32" cm="1">
        <f t="array" ref="AD97">Y97</f>
        <v>1.05201048576948</v>
      </c>
      <c r="AE97" s="32" cm="1">
        <f t="array" ref="AE97">Z97</f>
        <v>66.0201707148934</v>
      </c>
      <c r="AF97" s="32" cm="1">
        <f t="array" ref="AF97">AA97</f>
        <v>2.04366752663452</v>
      </c>
    </row>
    <row r="98" ht="17" customHeight="1">
      <c r="A98" s="2"/>
      <c r="B98" t="s" s="24">
        <v>24</v>
      </c>
      <c r="C98" t="s" s="39">
        <v>157</v>
      </c>
      <c r="D98" s="28">
        <v>21.7651546684095</v>
      </c>
      <c r="E98" s="29">
        <v>28.8830789665535</v>
      </c>
      <c r="F98" s="30">
        <v>580.874139558455</v>
      </c>
      <c r="G98" s="31">
        <v>13.1687801015741</v>
      </c>
      <c r="H98" s="2"/>
      <c r="I98" s="25">
        <v>4.7</v>
      </c>
      <c r="J98" s="25" cm="1">
        <f t="array" ref="J98">I98/1000</f>
        <v>0.0047</v>
      </c>
      <c r="K98" s="2"/>
      <c r="L98" s="25" cm="1">
        <f t="array" ref="L98">D98*$J98</f>
        <v>0.102296226941525</v>
      </c>
      <c r="M98" s="25" cm="1">
        <f t="array" ref="M98">E98*$J98</f>
        <v>0.135750471142801</v>
      </c>
      <c r="N98" s="25" cm="1">
        <f t="array" ref="N98">F98*$J98</f>
        <v>2.73010845592474</v>
      </c>
      <c r="O98" s="25" cm="1">
        <f t="array" ref="O98">G98*$J98</f>
        <v>0.0618932664773983</v>
      </c>
      <c r="P98" s="2"/>
      <c r="Q98" s="25">
        <v>0.0167999999999999</v>
      </c>
      <c r="R98" s="25">
        <v>1</v>
      </c>
      <c r="S98" s="25" cm="1">
        <f t="array" ref="S98">L98/$Q98</f>
        <v>6.08906112747176</v>
      </c>
      <c r="T98" s="25" cm="1">
        <f t="array" ref="T98">M98/$Q98</f>
        <v>8.08038518707154</v>
      </c>
      <c r="U98" s="25" cm="1">
        <f t="array" ref="U98">N98/$Q98</f>
        <v>162.506455709807</v>
      </c>
      <c r="V98" s="25" cm="1">
        <f t="array" ref="V98">O98/$Q98</f>
        <v>3.68412300460706</v>
      </c>
      <c r="W98" s="2"/>
      <c r="X98" s="25" cm="1">
        <f t="array" ref="X98">S98-X$3-X$103</f>
        <v>-3.86781282026738</v>
      </c>
      <c r="Y98" s="25" cm="1">
        <f t="array" ref="Y98">T98-Y$3-Y$103</f>
        <v>3.73023396835272</v>
      </c>
      <c r="Z98" s="25" cm="1">
        <f t="array" ref="Z98">U98-Z$3-Z$103</f>
        <v>131.536563269818</v>
      </c>
      <c r="AA98" s="25" cm="1">
        <f t="array" ref="AA98">V98-AA$3-AA$103</f>
        <v>5.40432361037798</v>
      </c>
      <c r="AB98" s="2"/>
      <c r="AC98" s="32" cm="1">
        <f t="array" ref="AC98">X98</f>
        <v>-3.86781282026738</v>
      </c>
      <c r="AD98" s="32" cm="1">
        <f t="array" ref="AD98">Y98</f>
        <v>3.73023396835272</v>
      </c>
      <c r="AE98" s="32" cm="1">
        <f t="array" ref="AE98">Z98</f>
        <v>131.536563269818</v>
      </c>
      <c r="AF98" s="32" cm="1">
        <f t="array" ref="AF98">AA98</f>
        <v>5.40432361037798</v>
      </c>
    </row>
    <row r="99" ht="17" customHeight="1">
      <c r="A99" s="2"/>
      <c r="B99" t="s" s="24">
        <v>26</v>
      </c>
      <c r="C99" t="s" s="39">
        <v>158</v>
      </c>
      <c r="D99" s="28">
        <v>568.354311925446</v>
      </c>
      <c r="E99" s="29">
        <v>26.5388028343857</v>
      </c>
      <c r="F99" s="33">
        <v>9.169323153604269</v>
      </c>
      <c r="G99" s="25">
        <v>81.8748495723229</v>
      </c>
      <c r="H99" s="2"/>
      <c r="I99" s="25">
        <v>4.7</v>
      </c>
      <c r="J99" s="25" cm="1">
        <f t="array" ref="J99">I99/1000</f>
        <v>0.0047</v>
      </c>
      <c r="K99" s="2"/>
      <c r="L99" s="25" cm="1">
        <f t="array" ref="L99">D99*$J99</f>
        <v>2.6712652660496</v>
      </c>
      <c r="M99" s="25" cm="1">
        <f t="array" ref="M99">E99*$J99</f>
        <v>0.124732373321613</v>
      </c>
      <c r="N99" s="25" cm="1">
        <f t="array" ref="N99">F99*$J99</f>
        <v>0.0430958188219401</v>
      </c>
      <c r="O99" s="25" cm="1">
        <f t="array" ref="O99">G99*$J99</f>
        <v>0.384811792989918</v>
      </c>
      <c r="P99" s="2"/>
      <c r="Q99" s="25">
        <v>0.017100000000001</v>
      </c>
      <c r="R99" s="25">
        <v>1</v>
      </c>
      <c r="S99" s="25" cm="1">
        <f t="array" ref="S99">L99/$Q99</f>
        <v>156.214343043827</v>
      </c>
      <c r="T99" s="25" cm="1">
        <f t="array" ref="T99">M99/$Q99</f>
        <v>7.2942908375208</v>
      </c>
      <c r="U99" s="25" cm="1">
        <f t="array" ref="U99">N99/$Q99</f>
        <v>2.52022332292033</v>
      </c>
      <c r="V99" s="25" cm="1">
        <f t="array" ref="V99">O99/$Q99</f>
        <v>22.5036136251401</v>
      </c>
      <c r="W99" s="2"/>
      <c r="X99" s="25" cm="1">
        <f t="array" ref="X99">S99-X$3-X$103</f>
        <v>146.257469096088</v>
      </c>
      <c r="Y99" s="25" cm="1">
        <f t="array" ref="Y99">T99-Y$3-Y$103</f>
        <v>2.94413961880198</v>
      </c>
      <c r="Z99" s="25" cm="1">
        <f t="array" ref="Z99">U99-Z$3-Z$103</f>
        <v>-28.4496691170689</v>
      </c>
      <c r="AA99" s="25" cm="1">
        <f t="array" ref="AA99">V99-AA$3-AA$103</f>
        <v>24.223814230911</v>
      </c>
      <c r="AB99" s="2"/>
      <c r="AC99" s="32" cm="1">
        <f t="array" ref="AC99">X99</f>
        <v>146.257469096088</v>
      </c>
      <c r="AD99" s="32" cm="1">
        <f t="array" ref="AD99">Y99</f>
        <v>2.94413961880198</v>
      </c>
      <c r="AE99" s="32" cm="1">
        <f t="array" ref="AE99">Z99</f>
        <v>-28.4496691170689</v>
      </c>
      <c r="AF99" s="32" cm="1">
        <f t="array" ref="AF99">AA99</f>
        <v>24.223814230911</v>
      </c>
    </row>
    <row r="100" ht="17" customHeight="1">
      <c r="A100" s="2"/>
      <c r="B100" t="s" s="24">
        <v>28</v>
      </c>
      <c r="C100" t="s" s="39">
        <v>159</v>
      </c>
      <c r="D100" s="28">
        <v>88.90926460223589</v>
      </c>
      <c r="E100" s="29">
        <v>10.0591899377745</v>
      </c>
      <c r="F100" s="30">
        <v>12.1284614375558</v>
      </c>
      <c r="G100" s="31">
        <v>65.7173691182974</v>
      </c>
      <c r="H100" s="2"/>
      <c r="I100" s="25">
        <v>4.7</v>
      </c>
      <c r="J100" s="25" cm="1">
        <f t="array" ref="J100">I100/1000</f>
        <v>0.0047</v>
      </c>
      <c r="K100" s="2"/>
      <c r="L100" s="25" cm="1">
        <f t="array" ref="L100">D100*$J100</f>
        <v>0.417873543630509</v>
      </c>
      <c r="M100" s="25" cm="1">
        <f t="array" ref="M100">E100*$J100</f>
        <v>0.0472781927075402</v>
      </c>
      <c r="N100" s="25" cm="1">
        <f t="array" ref="N100">F100*$J100</f>
        <v>0.0570037687565123</v>
      </c>
      <c r="O100" s="25" cm="1">
        <f t="array" ref="O100">G100*$J100</f>
        <v>0.308871634855998</v>
      </c>
      <c r="P100" s="2"/>
      <c r="Q100" s="25">
        <v>0.0167000000000002</v>
      </c>
      <c r="R100" s="25">
        <v>1</v>
      </c>
      <c r="S100" s="25" cm="1">
        <f t="array" ref="S100">L100/$Q100</f>
        <v>25.0223678820661</v>
      </c>
      <c r="T100" s="25" cm="1">
        <f t="array" ref="T100">M100/$Q100</f>
        <v>2.83102950344549</v>
      </c>
      <c r="U100" s="25" cm="1">
        <f t="array" ref="U100">N100/$Q100</f>
        <v>3.41339932673722</v>
      </c>
      <c r="V100" s="25" cm="1">
        <f t="array" ref="V100">O100/$Q100</f>
        <v>18.4953074764068</v>
      </c>
      <c r="W100" s="2"/>
      <c r="X100" s="25" cm="1">
        <f t="array" ref="X100">S100-X$3-X$103</f>
        <v>15.065493934327</v>
      </c>
      <c r="Y100" s="25" cm="1">
        <f t="array" ref="Y100">T100-Y$3-Y$103</f>
        <v>-1.51912171527333</v>
      </c>
      <c r="Z100" s="25" cm="1">
        <f t="array" ref="Z100">U100-Z$3-Z$103</f>
        <v>-27.556493113252</v>
      </c>
      <c r="AA100" s="25" cm="1">
        <f t="array" ref="AA100">V100-AA$3-AA$103</f>
        <v>20.2155080821777</v>
      </c>
      <c r="AB100" s="2"/>
      <c r="AC100" s="32" cm="1">
        <f t="array" ref="AC100">X100</f>
        <v>15.065493934327</v>
      </c>
      <c r="AD100" s="32" cm="1">
        <f t="array" ref="AD100">Y100</f>
        <v>-1.51912171527333</v>
      </c>
      <c r="AE100" s="32" cm="1">
        <f t="array" ref="AE100">Z100</f>
        <v>-27.556493113252</v>
      </c>
      <c r="AF100" s="32" cm="1">
        <f t="array" ref="AF100">AA100</f>
        <v>20.2155080821777</v>
      </c>
    </row>
    <row r="101" ht="17" customHeight="1">
      <c r="A101" s="2"/>
      <c r="B101" t="s" s="24">
        <v>30</v>
      </c>
      <c r="C101" t="s" s="39">
        <v>160</v>
      </c>
      <c r="D101" s="28">
        <v>251.986759186874</v>
      </c>
      <c r="E101" s="29">
        <v>22.5109594445294</v>
      </c>
      <c r="F101" s="33">
        <v>17.2195619331859</v>
      </c>
      <c r="G101" s="25">
        <v>113.136166981765</v>
      </c>
      <c r="H101" s="2"/>
      <c r="I101" s="25">
        <v>4.7</v>
      </c>
      <c r="J101" s="25" cm="1">
        <f t="array" ref="J101">I101/1000</f>
        <v>0.0047</v>
      </c>
      <c r="K101" s="2"/>
      <c r="L101" s="25" cm="1">
        <f t="array" ref="L101">D101*$J101</f>
        <v>1.18433776817831</v>
      </c>
      <c r="M101" s="25" cm="1">
        <f t="array" ref="M101">E101*$J101</f>
        <v>0.105801509389288</v>
      </c>
      <c r="N101" s="25" cm="1">
        <f t="array" ref="N101">F101*$J101</f>
        <v>0.08093194108597369</v>
      </c>
      <c r="O101" s="25" cm="1">
        <f t="array" ref="O101">G101*$J101</f>
        <v>0.531739984814296</v>
      </c>
      <c r="P101" s="2"/>
      <c r="Q101" s="25">
        <v>0.0170000000000012</v>
      </c>
      <c r="R101" s="25">
        <v>1</v>
      </c>
      <c r="S101" s="25" cm="1">
        <f t="array" ref="S101">L101/$Q101</f>
        <v>69.6669275398957</v>
      </c>
      <c r="T101" s="25" cm="1">
        <f t="array" ref="T101">M101/$Q101</f>
        <v>6.22361819936944</v>
      </c>
      <c r="U101" s="25" cm="1">
        <f t="array" ref="U101">N101/$Q101</f>
        <v>4.76070241682165</v>
      </c>
      <c r="V101" s="25" cm="1">
        <f t="array" ref="V101">O101/$Q101</f>
        <v>31.2788226361329</v>
      </c>
      <c r="W101" s="2"/>
      <c r="X101" s="25" cm="1">
        <f t="array" ref="X101">S101-X$3-X$103</f>
        <v>59.7100535921566</v>
      </c>
      <c r="Y101" s="25" cm="1">
        <f t="array" ref="Y101">T101-Y$3-Y$103</f>
        <v>1.87346698065062</v>
      </c>
      <c r="Z101" s="25" cm="1">
        <f t="array" ref="Z101">U101-Z$3-Z$103</f>
        <v>-26.2091900231676</v>
      </c>
      <c r="AA101" s="25" cm="1">
        <f t="array" ref="AA101">V101-AA$3-AA$103</f>
        <v>32.9990232419038</v>
      </c>
      <c r="AB101" s="2"/>
      <c r="AC101" s="32" cm="1">
        <f t="array" ref="AC101">X101</f>
        <v>59.7100535921566</v>
      </c>
      <c r="AD101" s="32" cm="1">
        <f t="array" ref="AD101">Y101</f>
        <v>1.87346698065062</v>
      </c>
      <c r="AE101" s="32" cm="1">
        <f t="array" ref="AE101">Z101</f>
        <v>-26.2091900231676</v>
      </c>
      <c r="AF101" s="32" cm="1">
        <f t="array" ref="AF101">AA101</f>
        <v>32.9990232419038</v>
      </c>
    </row>
    <row r="102" ht="17" customHeight="1">
      <c r="A102" s="2"/>
      <c r="B102" t="s" s="24">
        <v>32</v>
      </c>
      <c r="C102" t="s" s="39">
        <v>161</v>
      </c>
      <c r="D102" s="28">
        <v>19.116074148120</v>
      </c>
      <c r="E102" s="29">
        <v>17.2662615228011</v>
      </c>
      <c r="F102" s="30">
        <v>22.1223199496257</v>
      </c>
      <c r="G102" s="31">
        <v>-7.05347264159268</v>
      </c>
      <c r="H102" s="2"/>
      <c r="I102" s="25">
        <v>4.7</v>
      </c>
      <c r="J102" s="25" cm="1">
        <f t="array" ref="J102">I102/1000</f>
        <v>0.0047</v>
      </c>
      <c r="K102" s="2"/>
      <c r="L102" s="25" cm="1">
        <f t="array" ref="L102">D102*$J102</f>
        <v>0.089845548496164</v>
      </c>
      <c r="M102" s="25" cm="1">
        <f t="array" ref="M102">E102*$J102</f>
        <v>0.08115142915716519</v>
      </c>
      <c r="N102" s="25" cm="1">
        <f t="array" ref="N102">F102*$J102</f>
        <v>0.103974903763241</v>
      </c>
      <c r="O102" s="25" cm="1">
        <f t="array" ref="O102">G102*$J102</f>
        <v>-0.0331513214154856</v>
      </c>
      <c r="P102" s="2"/>
      <c r="Q102" s="25">
        <v>0.0174000000000003</v>
      </c>
      <c r="R102" s="25">
        <v>1</v>
      </c>
      <c r="S102" s="25" cm="1">
        <f t="array" ref="S102">L102/$Q102</f>
        <v>5.16353726989439</v>
      </c>
      <c r="T102" s="25" cm="1">
        <f t="array" ref="T102">M102/$Q102</f>
        <v>4.66387523891746</v>
      </c>
      <c r="U102" s="25" cm="1">
        <f t="array" ref="U102">N102/$Q102</f>
        <v>5.97556918179536</v>
      </c>
      <c r="V102" s="25" cm="1">
        <f t="array" ref="V102">O102/$Q102</f>
        <v>-1.90524835721178</v>
      </c>
      <c r="W102" s="2"/>
      <c r="X102" s="2"/>
      <c r="Y102" s="2"/>
      <c r="Z102" s="2"/>
      <c r="AA102" s="2"/>
      <c r="AB102" s="2"/>
      <c r="AC102" s="26"/>
      <c r="AD102" s="32" cm="1">
        <f t="array" ref="AD102">Y102</f>
        <v>0</v>
      </c>
      <c r="AE102" s="26"/>
      <c r="AF102" s="26"/>
    </row>
    <row r="103" ht="17" customHeight="1">
      <c r="A103" s="2"/>
      <c r="B103" t="s" s="24">
        <v>34</v>
      </c>
      <c r="C103" t="s" s="39">
        <v>162</v>
      </c>
      <c r="D103" s="28">
        <v>32.9892582521543</v>
      </c>
      <c r="E103" s="29">
        <v>7.20017075693571</v>
      </c>
      <c r="F103" s="33">
        <v>16.570038170959</v>
      </c>
      <c r="G103" s="25">
        <v>-5.35729562863214</v>
      </c>
      <c r="H103" s="2"/>
      <c r="I103" s="25">
        <v>4.7</v>
      </c>
      <c r="J103" s="25" cm="1">
        <f t="array" ref="J103">I103/1000</f>
        <v>0.0047</v>
      </c>
      <c r="K103" s="2"/>
      <c r="L103" s="25" cm="1">
        <f t="array" ref="L103">D103*$J103</f>
        <v>0.155049513785125</v>
      </c>
      <c r="M103" s="25" cm="1">
        <f t="array" ref="M103">E103*$J103</f>
        <v>0.0338408025575978</v>
      </c>
      <c r="N103" s="25" cm="1">
        <f t="array" ref="N103">F103*$J103</f>
        <v>0.0778791794035073</v>
      </c>
      <c r="O103" s="25" cm="1">
        <f t="array" ref="O103">G103*$J103</f>
        <v>-0.0251792894545711</v>
      </c>
      <c r="P103" s="2"/>
      <c r="Q103" s="25">
        <v>0.0175999999999998</v>
      </c>
      <c r="R103" s="25">
        <v>1</v>
      </c>
      <c r="S103" s="25" cm="1">
        <f t="array" ref="S103">L103/$Q103</f>
        <v>8.809631465064021</v>
      </c>
      <c r="T103" s="25" cm="1">
        <f t="array" ref="T103">M103/$Q103</f>
        <v>1.92277287259081</v>
      </c>
      <c r="U103" s="25" cm="1">
        <f t="array" ref="U103">N103/$Q103</f>
        <v>4.42495337519933</v>
      </c>
      <c r="V103" s="25" cm="1">
        <f t="array" ref="V103">O103/$Q103</f>
        <v>-1.43064144628247</v>
      </c>
      <c r="W103" s="2"/>
      <c r="X103" s="25" cm="1">
        <f t="array" ref="X103">AVERAGE(S102:S104)</f>
        <v>9.95687394773914</v>
      </c>
      <c r="Y103" s="25" cm="1">
        <f t="array" ref="Y103">AVERAGE(T102:T104)</f>
        <v>4.35015121871882</v>
      </c>
      <c r="Z103" s="25" cm="1">
        <f t="array" ref="Z103">AVERAGE(U102:U104)</f>
        <v>30.9698924399892</v>
      </c>
      <c r="AA103" s="25" cm="1">
        <f t="array" ref="AA103">AVERAGE(V102:V104)</f>
        <v>-1.72020060577092</v>
      </c>
      <c r="AB103" s="2"/>
      <c r="AC103" s="26"/>
      <c r="AD103" s="26"/>
      <c r="AE103" s="26"/>
      <c r="AF103" s="26"/>
    </row>
    <row r="104" ht="17" customHeight="1">
      <c r="A104" s="2"/>
      <c r="B104" t="s" s="24">
        <v>36</v>
      </c>
      <c r="C104" t="s" s="39">
        <v>163</v>
      </c>
      <c r="D104" s="28">
        <v>60.2073756014896</v>
      </c>
      <c r="E104" s="29">
        <v>24.4799444031348</v>
      </c>
      <c r="F104" s="30">
        <v>312.481479740610</v>
      </c>
      <c r="G104" s="31">
        <v>-6.91061145658897</v>
      </c>
      <c r="H104" s="2"/>
      <c r="I104" s="25">
        <v>4.7</v>
      </c>
      <c r="J104" s="25" cm="1">
        <f t="array" ref="J104">I104/1000</f>
        <v>0.0047</v>
      </c>
      <c r="K104" s="2"/>
      <c r="L104" s="25" cm="1">
        <f t="array" ref="L104">D104*$J104</f>
        <v>0.282974665327001</v>
      </c>
      <c r="M104" s="25" cm="1">
        <f t="array" ref="M104">E104*$J104</f>
        <v>0.115055738694734</v>
      </c>
      <c r="N104" s="25" cm="1">
        <f t="array" ref="N104">F104*$J104</f>
        <v>1.46866295478087</v>
      </c>
      <c r="O104" s="25" cm="1">
        <f t="array" ref="O104">G104*$J104</f>
        <v>-0.0324798738459682</v>
      </c>
      <c r="P104" s="2"/>
      <c r="Q104" s="25">
        <v>0.0177999999999994</v>
      </c>
      <c r="R104" s="25">
        <v>1</v>
      </c>
      <c r="S104" s="25" cm="1">
        <f t="array" ref="S104">L104/$Q104</f>
        <v>15.897453108259</v>
      </c>
      <c r="T104" s="25" cm="1">
        <f t="array" ref="T104">M104/$Q104</f>
        <v>6.4638055446482</v>
      </c>
      <c r="U104" s="25" cm="1">
        <f t="array" ref="U104">N104/$Q104</f>
        <v>82.509154762973</v>
      </c>
      <c r="V104" s="25" cm="1">
        <f t="array" ref="V104">O104/$Q104</f>
        <v>-1.8247120138185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7" customHeight="1">
      <c r="A105" s="2"/>
      <c r="B105" t="s" s="24">
        <v>38</v>
      </c>
      <c r="C105" t="s" s="39">
        <v>164</v>
      </c>
      <c r="D105" s="28">
        <v>140.950611102006</v>
      </c>
      <c r="E105" s="29">
        <v>364.753137306377</v>
      </c>
      <c r="F105" s="33">
        <v>151.092715165322</v>
      </c>
      <c r="G105" s="25">
        <v>-14.1945781281175</v>
      </c>
      <c r="H105" s="2"/>
      <c r="I105" s="25">
        <v>4.7</v>
      </c>
      <c r="J105" s="25" cm="1">
        <f t="array" ref="J105">I105/1000</f>
        <v>0.0047</v>
      </c>
      <c r="K105" s="2"/>
      <c r="L105" s="25" cm="1">
        <f t="array" ref="L105">D105*$J105</f>
        <v>0.662467872179428</v>
      </c>
      <c r="M105" s="25" cm="1">
        <f t="array" ref="M105">E105*$J105</f>
        <v>1.71433974533997</v>
      </c>
      <c r="N105" s="25" cm="1">
        <f t="array" ref="N105">F105*$J105</f>
        <v>0.7101357612770129</v>
      </c>
      <c r="O105" s="25" cm="1">
        <f t="array" ref="O105">G105*$J105</f>
        <v>-0.0667145172021523</v>
      </c>
      <c r="P105" s="2"/>
      <c r="Q105" s="25">
        <v>0.0175000000000001</v>
      </c>
      <c r="R105" s="25">
        <v>1</v>
      </c>
      <c r="S105" s="25" cm="1">
        <f t="array" ref="S105">L105/$Q105</f>
        <v>37.8553069816814</v>
      </c>
      <c r="T105" s="25" cm="1">
        <f t="array" ref="T105">M105/$Q105</f>
        <v>97.9622711622834</v>
      </c>
      <c r="U105" s="25" cm="1">
        <f t="array" ref="U105">N105/$Q105</f>
        <v>40.5791863586862</v>
      </c>
      <c r="V105" s="25" cm="1">
        <f t="array" ref="V105">O105/$Q105</f>
        <v>-3.81225812583725</v>
      </c>
      <c r="W105" s="2"/>
      <c r="X105" s="25" cm="1">
        <f t="array" ref="X105">S105-X$3-X$112</f>
        <v>27.6920495449643</v>
      </c>
      <c r="Y105" s="25" cm="1">
        <f t="array" ref="Y105">T105-Y$3-Y$112</f>
        <v>94.1400727684472</v>
      </c>
      <c r="Z105" s="25" cm="1">
        <f t="array" ref="Z105">U105-Z$3-Z$112</f>
        <v>16.6392844285518</v>
      </c>
      <c r="AA105" s="25" cm="1">
        <f t="array" ref="AA105">V105-AA$3-AA$112</f>
        <v>-0.94782707283613</v>
      </c>
      <c r="AB105" s="2"/>
      <c r="AC105" s="32" cm="1">
        <f t="array" ref="AC105">X105</f>
        <v>27.6920495449643</v>
      </c>
      <c r="AD105" s="32" cm="1">
        <f t="array" ref="AD105">Y105</f>
        <v>94.1400727684472</v>
      </c>
      <c r="AE105" s="32" cm="1">
        <f t="array" ref="AE105">Z105</f>
        <v>16.6392844285518</v>
      </c>
      <c r="AF105" s="32" cm="1">
        <f t="array" ref="AF105">AA105</f>
        <v>-0.94782707283613</v>
      </c>
    </row>
    <row r="106" ht="17" customHeight="1">
      <c r="A106" s="2"/>
      <c r="B106" t="s" s="24">
        <v>40</v>
      </c>
      <c r="C106" t="s" s="39">
        <v>165</v>
      </c>
      <c r="D106" s="28">
        <v>91.50124533778281</v>
      </c>
      <c r="E106" s="29">
        <v>332.721374082852</v>
      </c>
      <c r="F106" s="30">
        <v>167.138774606533</v>
      </c>
      <c r="G106" s="31">
        <v>-6.04154424217355</v>
      </c>
      <c r="H106" s="2"/>
      <c r="I106" s="25">
        <v>4.7</v>
      </c>
      <c r="J106" s="25" cm="1">
        <f t="array" ref="J106">I106/1000</f>
        <v>0.0047</v>
      </c>
      <c r="K106" s="2"/>
      <c r="L106" s="25" cm="1">
        <f t="array" ref="L106">D106*$J106</f>
        <v>0.430055853087579</v>
      </c>
      <c r="M106" s="25" cm="1">
        <f t="array" ref="M106">E106*$J106</f>
        <v>1.5637904581894</v>
      </c>
      <c r="N106" s="25" cm="1">
        <f t="array" ref="N106">F106*$J106</f>
        <v>0.7855522406507049</v>
      </c>
      <c r="O106" s="25" cm="1">
        <f t="array" ref="O106">G106*$J106</f>
        <v>-0.0283952579382157</v>
      </c>
      <c r="P106" s="2"/>
      <c r="Q106" s="25">
        <v>0.0176999999999996</v>
      </c>
      <c r="R106" s="25">
        <v>1</v>
      </c>
      <c r="S106" s="25" cm="1">
        <f t="array" ref="S106">L106/$Q106</f>
        <v>24.2969408524061</v>
      </c>
      <c r="T106" s="25" cm="1">
        <f t="array" ref="T106">M106/$Q106</f>
        <v>88.3497434005331</v>
      </c>
      <c r="U106" s="25" cm="1">
        <f t="array" ref="U106">N106/$Q106</f>
        <v>44.3814825226397</v>
      </c>
      <c r="V106" s="25" cm="1">
        <f t="array" ref="V106">O106/$Q106</f>
        <v>-1.60425186091618</v>
      </c>
      <c r="W106" s="2"/>
      <c r="X106" s="25" cm="1">
        <f t="array" ref="X106">S106-X$3-X$112</f>
        <v>14.133683415689</v>
      </c>
      <c r="Y106" s="25" cm="1">
        <f t="array" ref="Y106">T106-Y$3-Y$112</f>
        <v>84.5275450066969</v>
      </c>
      <c r="Z106" s="25" cm="1">
        <f t="array" ref="Z106">U106-Z$3-Z$112</f>
        <v>20.4415805925053</v>
      </c>
      <c r="AA106" s="25" cm="1">
        <f t="array" ref="AA106">V106-AA$3-AA$112</f>
        <v>1.26017919208494</v>
      </c>
      <c r="AB106" s="2"/>
      <c r="AC106" s="32" cm="1">
        <f t="array" ref="AC106">X106</f>
        <v>14.133683415689</v>
      </c>
      <c r="AD106" s="32" cm="1">
        <f t="array" ref="AD106">Y106</f>
        <v>84.5275450066969</v>
      </c>
      <c r="AE106" s="32" cm="1">
        <f t="array" ref="AE106">Z106</f>
        <v>20.4415805925053</v>
      </c>
      <c r="AF106" s="32" cm="1">
        <f t="array" ref="AF106">AA106</f>
        <v>1.26017919208494</v>
      </c>
    </row>
    <row r="107" ht="17" customHeight="1">
      <c r="A107" s="2"/>
      <c r="B107" t="s" s="24">
        <v>42</v>
      </c>
      <c r="C107" t="s" s="39">
        <v>166</v>
      </c>
      <c r="D107" s="28">
        <v>259.100202744666</v>
      </c>
      <c r="E107" s="29">
        <v>772.568592327444</v>
      </c>
      <c r="F107" s="33">
        <v>449.752543769091</v>
      </c>
      <c r="G107" s="25">
        <v>-3.99607727721381</v>
      </c>
      <c r="H107" s="2"/>
      <c r="I107" s="25">
        <v>4.7</v>
      </c>
      <c r="J107" s="25" cm="1">
        <f t="array" ref="J107">I107/1000</f>
        <v>0.0047</v>
      </c>
      <c r="K107" s="2"/>
      <c r="L107" s="25" cm="1">
        <f t="array" ref="L107">D107*$J107</f>
        <v>1.21777095289993</v>
      </c>
      <c r="M107" s="25" cm="1">
        <f t="array" ref="M107">E107*$J107</f>
        <v>3.63107238393899</v>
      </c>
      <c r="N107" s="25" cm="1">
        <f t="array" ref="N107">F107*$J107</f>
        <v>2.11383695571473</v>
      </c>
      <c r="O107" s="25" cm="1">
        <f t="array" ref="O107">G107*$J107</f>
        <v>-0.0187815632029049</v>
      </c>
      <c r="P107" s="2"/>
      <c r="Q107" s="25">
        <v>0.0180000000000007</v>
      </c>
      <c r="R107" s="25">
        <v>1</v>
      </c>
      <c r="S107" s="25" cm="1">
        <f t="array" ref="S107">L107/$Q107</f>
        <v>67.65394182777131</v>
      </c>
      <c r="T107" s="25" cm="1">
        <f t="array" ref="T107">M107/$Q107</f>
        <v>201.726243552158</v>
      </c>
      <c r="U107" s="25" cm="1">
        <f t="array" ref="U107">N107/$Q107</f>
        <v>117.435386428592</v>
      </c>
      <c r="V107" s="25" cm="1">
        <f t="array" ref="V107">O107/$Q107</f>
        <v>-1.04342017793912</v>
      </c>
      <c r="W107" s="2"/>
      <c r="X107" s="25" cm="1">
        <f t="array" ref="X107">S107-X$3-X$112</f>
        <v>57.4906843910542</v>
      </c>
      <c r="Y107" s="25" cm="1">
        <f t="array" ref="Y107">T107-Y$3-Y$112</f>
        <v>197.904045158322</v>
      </c>
      <c r="Z107" s="25" cm="1">
        <f t="array" ref="Z107">U107-Z$3-Z$112</f>
        <v>93.4954844984576</v>
      </c>
      <c r="AA107" s="25" cm="1">
        <f t="array" ref="AA107">V107-AA$3-AA$112</f>
        <v>1.821010875062</v>
      </c>
      <c r="AB107" s="2"/>
      <c r="AC107" s="32" cm="1">
        <f t="array" ref="AC107">X107</f>
        <v>57.4906843910542</v>
      </c>
      <c r="AD107" s="32" cm="1">
        <f t="array" ref="AD107">Y107</f>
        <v>197.904045158322</v>
      </c>
      <c r="AE107" s="32" cm="1">
        <f t="array" ref="AE107">Z107</f>
        <v>93.4954844984576</v>
      </c>
      <c r="AF107" s="32" cm="1">
        <f t="array" ref="AF107">AA107</f>
        <v>1.821010875062</v>
      </c>
    </row>
    <row r="108" ht="17" customHeight="1">
      <c r="A108" s="2"/>
      <c r="B108" t="s" s="24">
        <v>44</v>
      </c>
      <c r="C108" t="s" s="39">
        <v>167</v>
      </c>
      <c r="D108" s="28">
        <v>477.133745133622</v>
      </c>
      <c r="E108" s="29">
        <v>9.00877185321734</v>
      </c>
      <c r="F108" s="30">
        <v>34.267459857062</v>
      </c>
      <c r="G108" s="31">
        <v>44.4591262668816</v>
      </c>
      <c r="H108" s="2"/>
      <c r="I108" s="25">
        <v>4.7</v>
      </c>
      <c r="J108" s="25" cm="1">
        <f t="array" ref="J108">I108/1000</f>
        <v>0.0047</v>
      </c>
      <c r="K108" s="2"/>
      <c r="L108" s="25" cm="1">
        <f t="array" ref="L108">D108*$J108</f>
        <v>2.24252860212802</v>
      </c>
      <c r="M108" s="25" cm="1">
        <f t="array" ref="M108">E108*$J108</f>
        <v>0.0423412277101215</v>
      </c>
      <c r="N108" s="25" cm="1">
        <f t="array" ref="N108">F108*$J108</f>
        <v>0.161057061328191</v>
      </c>
      <c r="O108" s="25" cm="1">
        <f t="array" ref="O108">G108*$J108</f>
        <v>0.208957893454344</v>
      </c>
      <c r="P108" s="2"/>
      <c r="Q108" s="25">
        <v>0.0172000000000008</v>
      </c>
      <c r="R108" s="25">
        <v>1</v>
      </c>
      <c r="S108" s="25" cm="1">
        <f t="array" ref="S108">L108/$Q108</f>
        <v>130.379569891158</v>
      </c>
      <c r="T108" s="25" cm="1">
        <f t="array" ref="T108">M108/$Q108</f>
        <v>2.46169928547207</v>
      </c>
      <c r="U108" s="25" cm="1">
        <f t="array" ref="U108">N108/$Q108</f>
        <v>9.363782635359509</v>
      </c>
      <c r="V108" s="25" cm="1">
        <f t="array" ref="V108">O108/$Q108</f>
        <v>12.1487147357171</v>
      </c>
      <c r="W108" s="2"/>
      <c r="X108" s="25" cm="1">
        <f t="array" ref="X108">S108-X$3-X$112</f>
        <v>120.216312454441</v>
      </c>
      <c r="Y108" s="25" cm="1">
        <f t="array" ref="Y108">T108-Y$3-Y$112</f>
        <v>-1.3604991083641</v>
      </c>
      <c r="Z108" s="25" cm="1">
        <f t="array" ref="Z108">U108-Z$3-Z$112</f>
        <v>-14.5761192947749</v>
      </c>
      <c r="AA108" s="25" cm="1">
        <f t="array" ref="AA108">V108-AA$3-AA$112</f>
        <v>15.0131457887182</v>
      </c>
      <c r="AB108" s="2"/>
      <c r="AC108" s="32" cm="1">
        <f t="array" ref="AC108">X108</f>
        <v>120.216312454441</v>
      </c>
      <c r="AD108" s="32" cm="1">
        <f t="array" ref="AD108">Y108</f>
        <v>-1.3604991083641</v>
      </c>
      <c r="AE108" s="32" cm="1">
        <f t="array" ref="AE108">Z108</f>
        <v>-14.5761192947749</v>
      </c>
      <c r="AF108" s="32" cm="1">
        <f t="array" ref="AF108">AA108</f>
        <v>15.0131457887182</v>
      </c>
    </row>
    <row r="109" ht="17" customHeight="1">
      <c r="A109" s="2"/>
      <c r="B109" t="s" s="24">
        <v>46</v>
      </c>
      <c r="C109" t="s" s="39">
        <v>168</v>
      </c>
      <c r="D109" s="28">
        <v>148.067551530201</v>
      </c>
      <c r="E109" s="29">
        <v>41.5329397197403</v>
      </c>
      <c r="F109" s="33">
        <v>93.859942031744</v>
      </c>
      <c r="G109" s="25">
        <v>242.995270398024</v>
      </c>
      <c r="H109" s="2"/>
      <c r="I109" s="25">
        <v>4.7</v>
      </c>
      <c r="J109" s="25" cm="1">
        <f t="array" ref="J109">I109/1000</f>
        <v>0.0047</v>
      </c>
      <c r="K109" s="2"/>
      <c r="L109" s="25" cm="1">
        <f t="array" ref="L109">D109*$J109</f>
        <v>0.695917492191945</v>
      </c>
      <c r="M109" s="25" cm="1">
        <f t="array" ref="M109">E109*$J109</f>
        <v>0.195204816682779</v>
      </c>
      <c r="N109" s="25" cm="1">
        <f t="array" ref="N109">F109*$J109</f>
        <v>0.441141727549197</v>
      </c>
      <c r="O109" s="25" cm="1">
        <f t="array" ref="O109">G109*$J109</f>
        <v>1.14207777087071</v>
      </c>
      <c r="P109" s="2"/>
      <c r="Q109" s="25">
        <v>0.0173000000000005</v>
      </c>
      <c r="R109" s="25">
        <v>1</v>
      </c>
      <c r="S109" s="25" cm="1">
        <f t="array" ref="S109">L109/$Q109</f>
        <v>40.2264446353714</v>
      </c>
      <c r="T109" s="25" cm="1">
        <f t="array" ref="T109">M109/$Q109</f>
        <v>11.2835154151892</v>
      </c>
      <c r="U109" s="25" cm="1">
        <f t="array" ref="U109">N109/$Q109</f>
        <v>25.4995218236523</v>
      </c>
      <c r="V109" s="25" cm="1">
        <f t="array" ref="V109">O109/$Q109</f>
        <v>66.01605611969229</v>
      </c>
      <c r="W109" s="2"/>
      <c r="X109" s="25" cm="1">
        <f t="array" ref="X109">S109-X$3-X$112</f>
        <v>30.0631871986543</v>
      </c>
      <c r="Y109" s="25" cm="1">
        <f t="array" ref="Y109">T109-Y$3-Y$112</f>
        <v>7.46131702135303</v>
      </c>
      <c r="Z109" s="25" cm="1">
        <f t="array" ref="Z109">U109-Z$3-Z$112</f>
        <v>1.5596198935179</v>
      </c>
      <c r="AA109" s="25" cm="1">
        <f t="array" ref="AA109">V109-AA$3-AA$112</f>
        <v>68.88048717269341</v>
      </c>
      <c r="AB109" s="2"/>
      <c r="AC109" s="32" cm="1">
        <f t="array" ref="AC109">X109</f>
        <v>30.0631871986543</v>
      </c>
      <c r="AD109" s="32" cm="1">
        <f t="array" ref="AD109">Y109</f>
        <v>7.46131702135303</v>
      </c>
      <c r="AE109" s="32" cm="1">
        <f t="array" ref="AE109">Z109</f>
        <v>1.5596198935179</v>
      </c>
      <c r="AF109" s="32" cm="1">
        <f t="array" ref="AF109">AA109</f>
        <v>68.88048717269341</v>
      </c>
    </row>
    <row r="110" ht="17" customHeight="1">
      <c r="A110" s="2"/>
      <c r="B110" t="s" s="24">
        <v>48</v>
      </c>
      <c r="C110" t="s" s="39">
        <v>169</v>
      </c>
      <c r="D110" s="28">
        <v>166.202389588867</v>
      </c>
      <c r="E110" s="29">
        <v>13.0919469840279</v>
      </c>
      <c r="F110" s="30">
        <v>39.029122775662</v>
      </c>
      <c r="G110" s="31">
        <v>32.4354273709677</v>
      </c>
      <c r="H110" s="2"/>
      <c r="I110" s="25">
        <v>4.7</v>
      </c>
      <c r="J110" s="25" cm="1">
        <f t="array" ref="J110">I110/1000</f>
        <v>0.0047</v>
      </c>
      <c r="K110" s="2"/>
      <c r="L110" s="25" cm="1">
        <f t="array" ref="L110">D110*$J110</f>
        <v>0.781151231067675</v>
      </c>
      <c r="M110" s="25" cm="1">
        <f t="array" ref="M110">E110*$J110</f>
        <v>0.0615321508249311</v>
      </c>
      <c r="N110" s="25" cm="1">
        <f t="array" ref="N110">F110*$J110</f>
        <v>0.183436877045611</v>
      </c>
      <c r="O110" s="25" cm="1">
        <f t="array" ref="O110">G110*$J110</f>
        <v>0.152446508643548</v>
      </c>
      <c r="P110" s="2"/>
      <c r="Q110" s="25">
        <v>0.0180000000000007</v>
      </c>
      <c r="R110" s="25">
        <v>1</v>
      </c>
      <c r="S110" s="25" cm="1">
        <f t="array" ref="S110">L110/$Q110</f>
        <v>43.3972906148691</v>
      </c>
      <c r="T110" s="25" cm="1">
        <f t="array" ref="T110">M110/$Q110</f>
        <v>3.41845282360715</v>
      </c>
      <c r="U110" s="25" cm="1">
        <f t="array" ref="U110">N110/$Q110</f>
        <v>10.1909376136447</v>
      </c>
      <c r="V110" s="25" cm="1">
        <f t="array" ref="V110">O110/$Q110</f>
        <v>8.469250480196781</v>
      </c>
      <c r="W110" s="2"/>
      <c r="X110" s="25" cm="1">
        <f t="array" ref="X110">S110-X$3-X$112</f>
        <v>33.234033178152</v>
      </c>
      <c r="Y110" s="25" cm="1">
        <f t="array" ref="Y110">T110-Y$3-Y$112</f>
        <v>-0.40374557022902</v>
      </c>
      <c r="Z110" s="25" cm="1">
        <f t="array" ref="Z110">U110-Z$3-Z$112</f>
        <v>-13.7489643164897</v>
      </c>
      <c r="AA110" s="25" cm="1">
        <f t="array" ref="AA110">V110-AA$3-AA$112</f>
        <v>11.3336815331979</v>
      </c>
      <c r="AB110" s="2"/>
      <c r="AC110" s="32" cm="1">
        <f t="array" ref="AC110">X110</f>
        <v>33.234033178152</v>
      </c>
      <c r="AD110" s="32" cm="1">
        <f t="array" ref="AD110">Y110</f>
        <v>-0.40374557022902</v>
      </c>
      <c r="AE110" s="32" cm="1">
        <f t="array" ref="AE110">Z110</f>
        <v>-13.7489643164897</v>
      </c>
      <c r="AF110" s="32" cm="1">
        <f t="array" ref="AF110">AA110</f>
        <v>11.3336815331979</v>
      </c>
    </row>
    <row r="111" ht="17" customHeight="1">
      <c r="A111" s="2"/>
      <c r="B111" t="s" s="24">
        <v>50</v>
      </c>
      <c r="C111" t="s" s="39">
        <v>170</v>
      </c>
      <c r="D111" s="28">
        <v>37.9003215177482</v>
      </c>
      <c r="E111" s="29">
        <v>16.2953778251373</v>
      </c>
      <c r="F111" s="33">
        <v>187.774276263383</v>
      </c>
      <c r="G111" s="25">
        <v>-17.8752392785923</v>
      </c>
      <c r="H111" s="2"/>
      <c r="I111" s="25">
        <v>4.7</v>
      </c>
      <c r="J111" s="25" cm="1">
        <f t="array" ref="J111">I111/1000</f>
        <v>0.0047</v>
      </c>
      <c r="K111" s="2"/>
      <c r="L111" s="25" cm="1">
        <f t="array" ref="L111">D111*$J111</f>
        <v>0.178131511133417</v>
      </c>
      <c r="M111" s="25" cm="1">
        <f t="array" ref="M111">E111*$J111</f>
        <v>0.0765882757781453</v>
      </c>
      <c r="N111" s="25" cm="1">
        <f t="array" ref="N111">F111*$J111</f>
        <v>0.8825390984379</v>
      </c>
      <c r="O111" s="25" cm="1">
        <f t="array" ref="O111">G111*$J111</f>
        <v>-0.0840136246093838</v>
      </c>
      <c r="P111" s="2"/>
      <c r="Q111" s="25">
        <v>0.0181000000000004</v>
      </c>
      <c r="R111" s="25">
        <v>1</v>
      </c>
      <c r="S111" s="25" cm="1">
        <f t="array" ref="S111">L111/$Q111</f>
        <v>9.841519952122271</v>
      </c>
      <c r="T111" s="25" cm="1">
        <f t="array" ref="T111">M111/$Q111</f>
        <v>4.23139645183114</v>
      </c>
      <c r="U111" s="25" cm="1">
        <f t="array" ref="U111">N111/$Q111</f>
        <v>48.7590662120376</v>
      </c>
      <c r="V111" s="25" cm="1">
        <f t="array" ref="V111">O111/$Q111</f>
        <v>-4.64163671875038</v>
      </c>
      <c r="W111" s="2"/>
      <c r="X111" s="2"/>
      <c r="Y111" s="2"/>
      <c r="Z111" s="2"/>
      <c r="AA111" s="2"/>
      <c r="AB111" s="2"/>
      <c r="AC111" s="26"/>
      <c r="AD111" s="32" cm="1">
        <f t="array" ref="AD111">Y111</f>
        <v>0</v>
      </c>
      <c r="AE111" s="26"/>
      <c r="AF111" s="26"/>
    </row>
    <row r="112" ht="17" customHeight="1">
      <c r="A112" s="2"/>
      <c r="B112" t="s" s="24">
        <v>52</v>
      </c>
      <c r="C112" t="s" s="39">
        <v>171</v>
      </c>
      <c r="D112" s="28">
        <v>52.5083430425637</v>
      </c>
      <c r="E112" s="29">
        <v>15.2068510346259</v>
      </c>
      <c r="F112" s="30">
        <v>47.9168255093203</v>
      </c>
      <c r="G112" s="31">
        <v>-7.6324424545504</v>
      </c>
      <c r="H112" s="2"/>
      <c r="I112" s="25">
        <v>4.7</v>
      </c>
      <c r="J112" s="25" cm="1">
        <f t="array" ref="J112">I112/1000</f>
        <v>0.0047</v>
      </c>
      <c r="K112" s="2"/>
      <c r="L112" s="25" cm="1">
        <f t="array" ref="L112">D112*$J112</f>
        <v>0.246789212300049</v>
      </c>
      <c r="M112" s="25" cm="1">
        <f t="array" ref="M112">E112*$J112</f>
        <v>0.0714721998627417</v>
      </c>
      <c r="N112" s="25" cm="1">
        <f t="array" ref="N112">F112*$J112</f>
        <v>0.225209079893805</v>
      </c>
      <c r="O112" s="25" cm="1">
        <f t="array" ref="O112">G112*$J112</f>
        <v>-0.0358724795363869</v>
      </c>
      <c r="P112" s="2"/>
      <c r="Q112" s="25">
        <v>0.0183999999999997</v>
      </c>
      <c r="R112" s="25">
        <v>1</v>
      </c>
      <c r="S112" s="25" cm="1">
        <f t="array" ref="S112">L112/$Q112</f>
        <v>13.4124571902203</v>
      </c>
      <c r="T112" s="25" cm="1">
        <f t="array" ref="T112">M112/$Q112</f>
        <v>3.88435868819255</v>
      </c>
      <c r="U112" s="25" cm="1">
        <f t="array" ref="U112">N112/$Q112</f>
        <v>12.2396239072722</v>
      </c>
      <c r="V112" s="25" cm="1">
        <f t="array" ref="V112">O112/$Q112</f>
        <v>-1.94959127915149</v>
      </c>
      <c r="W112" s="2"/>
      <c r="X112" s="25" cm="1">
        <f t="array" ref="X112">AVERAGE(S111:S113)</f>
        <v>10.1632574367171</v>
      </c>
      <c r="Y112" s="25" cm="1">
        <f t="array" ref="Y112">AVERAGE(T111:T113)</f>
        <v>3.82219839383617</v>
      </c>
      <c r="Z112" s="25" cm="1">
        <f t="array" ref="Z112">AVERAGE(U111:U113)</f>
        <v>23.9399019301344</v>
      </c>
      <c r="AA112" s="25" cm="1">
        <f t="array" ref="AA112">AVERAGE(V111:V113)</f>
        <v>-2.86443105300112</v>
      </c>
      <c r="AB112" s="2"/>
      <c r="AC112" s="26"/>
      <c r="AD112" s="26"/>
      <c r="AE112" s="26"/>
      <c r="AF112" s="26"/>
    </row>
    <row r="113" ht="17" customHeight="1">
      <c r="A113" s="2"/>
      <c r="B113" t="s" s="24">
        <v>54</v>
      </c>
      <c r="C113" t="s" s="39">
        <v>172</v>
      </c>
      <c r="D113" s="28">
        <v>27.8655090504976</v>
      </c>
      <c r="E113" s="29">
        <v>12.9042988831652</v>
      </c>
      <c r="F113" s="33">
        <v>41.6724220525091</v>
      </c>
      <c r="G113" s="25">
        <v>-7.71008072679524</v>
      </c>
      <c r="H113" s="2"/>
      <c r="I113" s="25">
        <v>4.7</v>
      </c>
      <c r="J113" s="25" cm="1">
        <f t="array" ref="J113">I113/1000</f>
        <v>0.0047</v>
      </c>
      <c r="K113" s="2"/>
      <c r="L113" s="25" cm="1">
        <f t="array" ref="L113">D113*$J113</f>
        <v>0.130967892537339</v>
      </c>
      <c r="M113" s="25" cm="1">
        <f t="array" ref="M113">E113*$J113</f>
        <v>0.0606502047508764</v>
      </c>
      <c r="N113" s="25" cm="1">
        <f t="array" ref="N113">F113*$J113</f>
        <v>0.195860383646793</v>
      </c>
      <c r="O113" s="25" cm="1">
        <f t="array" ref="O113">G113*$J113</f>
        <v>-0.0362373794159376</v>
      </c>
      <c r="P113" s="2"/>
      <c r="Q113" s="25">
        <v>0.0181000000000004</v>
      </c>
      <c r="R113" s="25">
        <v>1</v>
      </c>
      <c r="S113" s="25" cm="1">
        <f t="array" ref="S113">L113/$Q113</f>
        <v>7.23579516780862</v>
      </c>
      <c r="T113" s="25" cm="1">
        <f t="array" ref="T113">M113/$Q113</f>
        <v>3.35084004148481</v>
      </c>
      <c r="U113" s="25" cm="1">
        <f t="array" ref="U113">N113/$Q113</f>
        <v>10.8210156710933</v>
      </c>
      <c r="V113" s="25" cm="1">
        <f t="array" ref="V113">O113/$Q113</f>
        <v>-2.00206516110148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7" customHeight="1">
      <c r="A114" s="2"/>
      <c r="B114" t="s" s="24">
        <v>56</v>
      </c>
      <c r="C114" t="s" s="39">
        <v>173</v>
      </c>
      <c r="D114" s="28">
        <v>1746.664531494070</v>
      </c>
      <c r="E114" s="29">
        <v>30074.9491783476</v>
      </c>
      <c r="F114" s="33">
        <v>11523.2732243753</v>
      </c>
      <c r="G114" s="25">
        <v>-7.1498952552909</v>
      </c>
      <c r="H114" s="2"/>
      <c r="I114" s="25">
        <v>4.7</v>
      </c>
      <c r="J114" s="25" cm="1">
        <f t="array" ref="J114">I114/1000</f>
        <v>0.0047</v>
      </c>
      <c r="K114" s="2"/>
      <c r="L114" s="25" cm="1">
        <f t="array" ref="L114">D114*$J114</f>
        <v>8.209323298022129</v>
      </c>
      <c r="M114" s="25" cm="1">
        <f t="array" ref="M114">E114*$J114</f>
        <v>141.352261138234</v>
      </c>
      <c r="N114" s="25" cm="1">
        <f t="array" ref="N114">F114*$J114</f>
        <v>54.1593841545639</v>
      </c>
      <c r="O114" s="25" cm="1">
        <f t="array" ref="O114">G114*$J114</f>
        <v>-0.0336045076998672</v>
      </c>
      <c r="P114" s="2"/>
      <c r="Q114" s="25">
        <v>0.0181000000000004</v>
      </c>
      <c r="R114" s="25">
        <v>1</v>
      </c>
      <c r="S114" s="25" cm="1">
        <f t="array" ref="S114">L114/$Q114</f>
        <v>453.553773371378</v>
      </c>
      <c r="T114" s="25" cm="1">
        <f t="array" ref="T114">M114/$Q114</f>
        <v>7809.517189957510</v>
      </c>
      <c r="U114" s="25" cm="1">
        <f t="array" ref="U114">N114/$Q114</f>
        <v>2992.231168760370</v>
      </c>
      <c r="V114" s="25" cm="1">
        <f t="array" ref="V114">O114/$Q114</f>
        <v>-1.85660263535174</v>
      </c>
      <c r="W114" s="2"/>
      <c r="X114" s="25" cm="1">
        <f t="array" ref="X114">S114-X$3-X$121</f>
        <v>448.790912176599</v>
      </c>
      <c r="Y114" s="25" cm="1">
        <f t="array" ref="Y114">T114-Y$3-Y$121</f>
        <v>7808.168344248030</v>
      </c>
      <c r="Z114" s="25" cm="1">
        <f t="array" ref="Z114">U114-Z$3-Z$121</f>
        <v>2985.009504284420</v>
      </c>
      <c r="AA114" s="25" cm="1">
        <f t="array" ref="AA114">V114-AA$3-AA$121</f>
        <v>1.13221615737454</v>
      </c>
      <c r="AB114" s="2"/>
      <c r="AC114" s="32" cm="1">
        <f t="array" ref="AC114">X114</f>
        <v>448.790912176599</v>
      </c>
      <c r="AD114" s="32" cm="1">
        <f t="array" ref="AD114">Y114</f>
        <v>7808.168344248030</v>
      </c>
      <c r="AE114" s="32" cm="1">
        <f t="array" ref="AE114">Z114</f>
        <v>2985.009504284420</v>
      </c>
      <c r="AF114" s="32" cm="1">
        <f t="array" ref="AF114">AA114</f>
        <v>1.13221615737454</v>
      </c>
    </row>
    <row r="115" ht="17" customHeight="1">
      <c r="A115" s="2"/>
      <c r="B115" t="s" s="24">
        <v>58</v>
      </c>
      <c r="C115" t="s" s="39">
        <v>174</v>
      </c>
      <c r="D115" s="28">
        <v>901.924172798236</v>
      </c>
      <c r="E115" s="29">
        <v>7675.8274935884</v>
      </c>
      <c r="F115" s="30">
        <v>4023.690739791840</v>
      </c>
      <c r="G115" s="31">
        <v>5.61406026963413</v>
      </c>
      <c r="H115" s="2"/>
      <c r="I115" s="25">
        <v>4.7</v>
      </c>
      <c r="J115" s="25" cm="1">
        <f t="array" ref="J115">I115/1000</f>
        <v>0.0047</v>
      </c>
      <c r="K115" s="2"/>
      <c r="L115" s="25" cm="1">
        <f t="array" ref="L115">D115*$J115</f>
        <v>4.23904361215171</v>
      </c>
      <c r="M115" s="25" cm="1">
        <f t="array" ref="M115">E115*$J115</f>
        <v>36.0763892198655</v>
      </c>
      <c r="N115" s="25" cm="1">
        <f t="array" ref="N115">F115*$J115</f>
        <v>18.9113464770216</v>
      </c>
      <c r="O115" s="25" cm="1">
        <f t="array" ref="O115">G115*$J115</f>
        <v>0.0263860832672804</v>
      </c>
      <c r="P115" s="2"/>
      <c r="Q115" s="25">
        <v>0.0180000000000007</v>
      </c>
      <c r="R115" s="25">
        <v>1</v>
      </c>
      <c r="S115" s="25" cm="1">
        <f t="array" ref="S115">L115/$Q115</f>
        <v>235.502422897308</v>
      </c>
      <c r="T115" s="25" cm="1">
        <f t="array" ref="T115">M115/$Q115</f>
        <v>2004.243845548010</v>
      </c>
      <c r="U115" s="25" cm="1">
        <f t="array" ref="U115">N115/$Q115</f>
        <v>1050.630359834490</v>
      </c>
      <c r="V115" s="25" cm="1">
        <f t="array" ref="V115">O115/$Q115</f>
        <v>1.46589351484885</v>
      </c>
      <c r="W115" s="2"/>
      <c r="X115" s="25" cm="1">
        <f t="array" ref="X115">S115-X$3-X$121</f>
        <v>230.739561702529</v>
      </c>
      <c r="Y115" s="25" cm="1">
        <f t="array" ref="Y115">T115-Y$3-Y$121</f>
        <v>2002.894999838530</v>
      </c>
      <c r="Z115" s="25" cm="1">
        <f t="array" ref="Z115">U115-Z$3-Z$121</f>
        <v>1043.408695358540</v>
      </c>
      <c r="AA115" s="25" cm="1">
        <f t="array" ref="AA115">V115-AA$3-AA$121</f>
        <v>4.45471230757513</v>
      </c>
      <c r="AB115" s="2"/>
      <c r="AC115" s="32" cm="1">
        <f t="array" ref="AC115">X115</f>
        <v>230.739561702529</v>
      </c>
      <c r="AD115" s="32" cm="1">
        <f t="array" ref="AD115">Y115</f>
        <v>2002.894999838530</v>
      </c>
      <c r="AE115" s="32" cm="1">
        <f t="array" ref="AE115">Z115</f>
        <v>1043.408695358540</v>
      </c>
      <c r="AF115" s="32" cm="1">
        <f t="array" ref="AF115">AA115</f>
        <v>4.45471230757513</v>
      </c>
    </row>
    <row r="116" ht="17" customHeight="1">
      <c r="A116" s="2"/>
      <c r="B116" t="s" s="24">
        <v>60</v>
      </c>
      <c r="C116" t="s" s="39">
        <v>175</v>
      </c>
      <c r="D116" s="28">
        <v>431.061206652554</v>
      </c>
      <c r="E116" s="29">
        <v>26104.196035269</v>
      </c>
      <c r="F116" s="33">
        <v>9675.290007277750</v>
      </c>
      <c r="G116" s="25">
        <v>-0.640203266551566</v>
      </c>
      <c r="H116" s="2"/>
      <c r="I116" s="25">
        <v>4.7</v>
      </c>
      <c r="J116" s="25" cm="1">
        <f t="array" ref="J116">I116/1000</f>
        <v>0.0047</v>
      </c>
      <c r="K116" s="2"/>
      <c r="L116" s="25" cm="1">
        <f t="array" ref="L116">D116*$J116</f>
        <v>2.025987671267</v>
      </c>
      <c r="M116" s="25" cm="1">
        <f t="array" ref="M116">E116*$J116</f>
        <v>122.689721365764</v>
      </c>
      <c r="N116" s="25" cm="1">
        <f t="array" ref="N116">F116*$J116</f>
        <v>45.4738630342054</v>
      </c>
      <c r="O116" s="25" cm="1">
        <f t="array" ref="O116">G116*$J116</f>
        <v>-0.00300895535279236</v>
      </c>
      <c r="P116" s="2"/>
      <c r="Q116" s="25">
        <v>0.0179000000000009</v>
      </c>
      <c r="R116" s="25">
        <v>1</v>
      </c>
      <c r="S116" s="25" cm="1">
        <f t="array" ref="S116">L116/$Q116</f>
        <v>113.183668785860</v>
      </c>
      <c r="T116" s="25" cm="1">
        <f t="array" ref="T116">M116/$Q116</f>
        <v>6854.1743779753</v>
      </c>
      <c r="U116" s="25" cm="1">
        <f t="array" ref="U116">N116/$Q116</f>
        <v>2540.439275653810</v>
      </c>
      <c r="V116" s="25" cm="1">
        <f t="array" ref="V116">O116/$Q116</f>
        <v>-0.168098064401799</v>
      </c>
      <c r="W116" s="2"/>
      <c r="X116" s="25" cm="1">
        <f t="array" ref="X116">S116-X$3-X$121</f>
        <v>108.420807591081</v>
      </c>
      <c r="Y116" s="25" cm="1">
        <f t="array" ref="Y116">T116-Y$3-Y$121</f>
        <v>6852.825532265820</v>
      </c>
      <c r="Z116" s="25" cm="1">
        <f t="array" ref="Z116">U116-Z$3-Z$121</f>
        <v>2533.217611177860</v>
      </c>
      <c r="AA116" s="25" cm="1">
        <f t="array" ref="AA116">V116-AA$3-AA$121</f>
        <v>2.82072072832448</v>
      </c>
      <c r="AB116" s="2"/>
      <c r="AC116" s="32" cm="1">
        <f t="array" ref="AC116">X116</f>
        <v>108.420807591081</v>
      </c>
      <c r="AD116" s="32" cm="1">
        <f t="array" ref="AD116">Y116</f>
        <v>6852.825532265820</v>
      </c>
      <c r="AE116" s="32" cm="1">
        <f t="array" ref="AE116">Z116</f>
        <v>2533.217611177860</v>
      </c>
      <c r="AF116" s="32" cm="1">
        <f t="array" ref="AF116">AA116</f>
        <v>2.82072072832448</v>
      </c>
    </row>
    <row r="117" ht="17" customHeight="1">
      <c r="A117" s="2"/>
      <c r="B117" t="s" s="24">
        <v>62</v>
      </c>
      <c r="C117" t="s" s="39">
        <v>176</v>
      </c>
      <c r="D117" s="28">
        <v>1746.664531494070</v>
      </c>
      <c r="E117" s="29">
        <v>34.1188197902839</v>
      </c>
      <c r="F117" s="33">
        <v>41.8348731836997</v>
      </c>
      <c r="G117" s="25">
        <v>1106.479601156740</v>
      </c>
      <c r="H117" s="2"/>
      <c r="I117" s="25">
        <v>4.7</v>
      </c>
      <c r="J117" s="25" cm="1">
        <f t="array" ref="J117">I117/1000</f>
        <v>0.0047</v>
      </c>
      <c r="K117" s="2"/>
      <c r="L117" s="25" cm="1">
        <f t="array" ref="L117">D117*$J117</f>
        <v>8.209323298022129</v>
      </c>
      <c r="M117" s="25" cm="1">
        <f t="array" ref="M117">E117*$J117</f>
        <v>0.160358453014334</v>
      </c>
      <c r="N117" s="25" cm="1">
        <f t="array" ref="N117">F117*$J117</f>
        <v>0.196623903963389</v>
      </c>
      <c r="O117" s="25" cm="1">
        <f t="array" ref="O117">G117*$J117</f>
        <v>5.20045412543668</v>
      </c>
      <c r="P117" s="2"/>
      <c r="Q117" s="25">
        <v>0.0173000000000005</v>
      </c>
      <c r="R117" s="25">
        <v>1</v>
      </c>
      <c r="S117" s="25" cm="1">
        <f t="array" ref="S117">L117/$Q117</f>
        <v>474.527358267161</v>
      </c>
      <c r="T117" s="25" cm="1">
        <f t="array" ref="T117">M117/$Q117</f>
        <v>9.26927474071268</v>
      </c>
      <c r="U117" s="25" cm="1">
        <f t="array" ref="U117">N117/$Q117</f>
        <v>11.3655435816985</v>
      </c>
      <c r="V117" s="25" cm="1">
        <f t="array" ref="V117">O117/$Q117</f>
        <v>300.604284707314</v>
      </c>
      <c r="W117" s="2"/>
      <c r="X117" s="25" cm="1">
        <f t="array" ref="X117">S117-X$3-X$121</f>
        <v>469.764497072382</v>
      </c>
      <c r="Y117" s="25" cm="1">
        <f t="array" ref="Y117">T117-Y$3-Y$121</f>
        <v>7.92042903122979</v>
      </c>
      <c r="Z117" s="25" cm="1">
        <f t="array" ref="Z117">U117-Z$3-Z$121</f>
        <v>4.14387910574709</v>
      </c>
      <c r="AA117" s="25" cm="1">
        <f t="array" ref="AA117">V117-AA$3-AA$121</f>
        <v>303.593103500040</v>
      </c>
      <c r="AB117" s="2"/>
      <c r="AC117" s="32" cm="1">
        <f t="array" ref="AC117">X117</f>
        <v>469.764497072382</v>
      </c>
      <c r="AD117" s="32" cm="1">
        <f t="array" ref="AD117">Y117</f>
        <v>7.92042903122979</v>
      </c>
      <c r="AE117" s="32" cm="1">
        <f t="array" ref="AE117">Z117</f>
        <v>4.14387910574709</v>
      </c>
      <c r="AF117" s="32" cm="1">
        <f t="array" ref="AF117">AA117</f>
        <v>303.593103500040</v>
      </c>
    </row>
    <row r="118" ht="17" customHeight="1">
      <c r="A118" s="2"/>
      <c r="B118" t="s" s="24">
        <v>64</v>
      </c>
      <c r="C118" t="s" s="39">
        <v>177</v>
      </c>
      <c r="D118" s="28">
        <v>901.924172798236</v>
      </c>
      <c r="E118" s="29">
        <v>27.5904761495433</v>
      </c>
      <c r="F118" s="30">
        <v>38.5269306759578</v>
      </c>
      <c r="G118" s="31">
        <v>976.026493221097</v>
      </c>
      <c r="H118" s="2"/>
      <c r="I118" s="25">
        <v>4.7</v>
      </c>
      <c r="J118" s="25" cm="1">
        <f t="array" ref="J118">I118/1000</f>
        <v>0.0047</v>
      </c>
      <c r="K118" s="2"/>
      <c r="L118" s="25" cm="1">
        <f t="array" ref="L118">D118*$J118</f>
        <v>4.23904361215171</v>
      </c>
      <c r="M118" s="25" cm="1">
        <f t="array" ref="M118">E118*$J118</f>
        <v>0.129675237902854</v>
      </c>
      <c r="N118" s="25" cm="1">
        <f t="array" ref="N118">F118*$J118</f>
        <v>0.181076574177002</v>
      </c>
      <c r="O118" s="25" cm="1">
        <f t="array" ref="O118">G118*$J118</f>
        <v>4.58732451813916</v>
      </c>
      <c r="P118" s="2"/>
      <c r="Q118" s="25">
        <v>0.0173000000000005</v>
      </c>
      <c r="R118" s="25">
        <v>1</v>
      </c>
      <c r="S118" s="25" cm="1">
        <f t="array" ref="S118">L118/$Q118</f>
        <v>245.031422667722</v>
      </c>
      <c r="T118" s="25" cm="1">
        <f t="array" ref="T118">M118/$Q118</f>
        <v>7.49567849149423</v>
      </c>
      <c r="U118" s="25" cm="1">
        <f t="array" ref="U118">N118/$Q118</f>
        <v>10.4668539986703</v>
      </c>
      <c r="V118" s="25" cm="1">
        <f t="array" ref="V118">O118/$Q118</f>
        <v>265.163266944452</v>
      </c>
      <c r="W118" s="2"/>
      <c r="X118" s="25" cm="1">
        <f t="array" ref="X118">S118-X$3-X$121</f>
        <v>240.268561472943</v>
      </c>
      <c r="Y118" s="25" cm="1">
        <f t="array" ref="Y118">T118-Y$3-Y$121</f>
        <v>6.14683278201134</v>
      </c>
      <c r="Z118" s="25" cm="1">
        <f t="array" ref="Z118">U118-Z$3-Z$121</f>
        <v>3.24518952271889</v>
      </c>
      <c r="AA118" s="25" cm="1">
        <f t="array" ref="AA118">V118-AA$3-AA$121</f>
        <v>268.152085737178</v>
      </c>
      <c r="AB118" s="2"/>
      <c r="AC118" s="32" cm="1">
        <f t="array" ref="AC118">X118</f>
        <v>240.268561472943</v>
      </c>
      <c r="AD118" s="32" cm="1">
        <f t="array" ref="AD118">Y118</f>
        <v>6.14683278201134</v>
      </c>
      <c r="AE118" s="32" cm="1">
        <f t="array" ref="AE118">Z118</f>
        <v>3.24518952271889</v>
      </c>
      <c r="AF118" s="32" cm="1">
        <f t="array" ref="AF118">AA118</f>
        <v>268.152085737178</v>
      </c>
    </row>
    <row r="119" ht="17" customHeight="1">
      <c r="A119" s="2"/>
      <c r="B119" t="s" s="24">
        <v>66</v>
      </c>
      <c r="C119" t="s" s="39">
        <v>178</v>
      </c>
      <c r="D119" s="28">
        <v>431.061206652554</v>
      </c>
      <c r="E119" s="29">
        <v>15.6136947924762</v>
      </c>
      <c r="F119" s="33">
        <v>39.8248482227385</v>
      </c>
      <c r="G119" s="25">
        <v>1319.991185637460</v>
      </c>
      <c r="H119" s="2"/>
      <c r="I119" s="25">
        <v>4.7</v>
      </c>
      <c r="J119" s="25" cm="1">
        <f t="array" ref="J119">I119/1000</f>
        <v>0.0047</v>
      </c>
      <c r="K119" s="2"/>
      <c r="L119" s="25" cm="1">
        <f t="array" ref="L119">D119*$J119</f>
        <v>2.025987671267</v>
      </c>
      <c r="M119" s="25" cm="1">
        <f t="array" ref="M119">E119*$J119</f>
        <v>0.0733843655246381</v>
      </c>
      <c r="N119" s="25" cm="1">
        <f t="array" ref="N119">F119*$J119</f>
        <v>0.187176786646871</v>
      </c>
      <c r="O119" s="25" cm="1">
        <f t="array" ref="O119">G119*$J119</f>
        <v>6.20395857249606</v>
      </c>
      <c r="P119" s="2"/>
      <c r="Q119" s="25">
        <v>0.0169999999999995</v>
      </c>
      <c r="R119" s="25">
        <v>1</v>
      </c>
      <c r="S119" s="25" cm="1">
        <f t="array" ref="S119">L119/$Q119</f>
        <v>119.175745368651</v>
      </c>
      <c r="T119" s="25" cm="1">
        <f t="array" ref="T119">M119/$Q119</f>
        <v>4.31672738380237</v>
      </c>
      <c r="U119" s="25" cm="1">
        <f t="array" ref="U119">N119/$Q119</f>
        <v>11.0103992145221</v>
      </c>
      <c r="V119" s="25" cm="1">
        <f t="array" ref="V119">O119/$Q119</f>
        <v>364.938739558602</v>
      </c>
      <c r="W119" s="2"/>
      <c r="X119" s="25" cm="1">
        <f t="array" ref="X119">S119-X$3-X$121</f>
        <v>114.412884173872</v>
      </c>
      <c r="Y119" s="25" cm="1">
        <f t="array" ref="Y119">T119-Y$3-Y$121</f>
        <v>2.96788167431948</v>
      </c>
      <c r="Z119" s="25" cm="1">
        <f t="array" ref="Z119">U119-Z$3-Z$121</f>
        <v>3.78873473857069</v>
      </c>
      <c r="AA119" s="25" cm="1">
        <f t="array" ref="AA119">V119-AA$3-AA$121</f>
        <v>367.927558351328</v>
      </c>
      <c r="AB119" s="2"/>
      <c r="AC119" s="32" cm="1">
        <f t="array" ref="AC119">X119</f>
        <v>114.412884173872</v>
      </c>
      <c r="AD119" s="32" cm="1">
        <f t="array" ref="AD119">Y119</f>
        <v>2.96788167431948</v>
      </c>
      <c r="AE119" s="32" cm="1">
        <f t="array" ref="AE119">Z119</f>
        <v>3.78873473857069</v>
      </c>
      <c r="AF119" s="32" cm="1">
        <f t="array" ref="AF119">AA119</f>
        <v>367.927558351328</v>
      </c>
    </row>
    <row r="120" ht="17" customHeight="1">
      <c r="A120" s="2"/>
      <c r="B120" t="s" s="24">
        <v>68</v>
      </c>
      <c r="C120" t="s" s="39">
        <v>179</v>
      </c>
      <c r="D120" s="28">
        <v>20.1739379165721</v>
      </c>
      <c r="E120" s="29">
        <v>1.65263065097192</v>
      </c>
      <c r="F120" s="30">
        <v>26.5514733689544</v>
      </c>
      <c r="G120" s="31">
        <v>-16.4206732344218</v>
      </c>
      <c r="H120" s="2"/>
      <c r="I120" s="25">
        <v>4.7</v>
      </c>
      <c r="J120" s="25" cm="1">
        <f t="array" ref="J120">I120/1000</f>
        <v>0.0047</v>
      </c>
      <c r="K120" s="2"/>
      <c r="L120" s="25" cm="1">
        <f t="array" ref="L120">D120*$J120</f>
        <v>0.0948175082078889</v>
      </c>
      <c r="M120" s="25" cm="1">
        <f t="array" ref="M120">E120*$J120</f>
        <v>0.00776736405956802</v>
      </c>
      <c r="N120" s="25" cm="1">
        <f t="array" ref="N120">F120*$J120</f>
        <v>0.124791924834086</v>
      </c>
      <c r="O120" s="25" cm="1">
        <f t="array" ref="O120">G120*$J120</f>
        <v>-0.0771771642017825</v>
      </c>
      <c r="P120" s="2"/>
      <c r="Q120" s="25">
        <v>0.0169999999999995</v>
      </c>
      <c r="R120" s="25">
        <v>1</v>
      </c>
      <c r="S120" s="25" cm="1">
        <f t="array" ref="S120">L120/$Q120</f>
        <v>5.57750048281716</v>
      </c>
      <c r="T120" s="25" cm="1">
        <f t="array" ref="T120">M120/$Q120</f>
        <v>0.456903768209897</v>
      </c>
      <c r="U120" s="25" cm="1">
        <f t="array" ref="U120">N120/$Q120</f>
        <v>7.3407014608288</v>
      </c>
      <c r="V120" s="25" cm="1">
        <f t="array" ref="V120">O120/$Q120</f>
        <v>-4.53983318834028</v>
      </c>
      <c r="W120" s="2"/>
      <c r="X120" s="2"/>
      <c r="Y120" s="2"/>
      <c r="Z120" s="2"/>
      <c r="AA120" s="2"/>
      <c r="AB120" s="2"/>
      <c r="AC120" s="26"/>
      <c r="AD120" s="26"/>
      <c r="AE120" s="26"/>
      <c r="AF120" s="26"/>
    </row>
    <row r="121" ht="17" customHeight="1">
      <c r="A121" s="2"/>
      <c r="B121" t="s" s="24">
        <v>70</v>
      </c>
      <c r="C121" t="s" s="39">
        <v>180</v>
      </c>
      <c r="D121" s="28">
        <v>15.367242152695</v>
      </c>
      <c r="E121" s="29">
        <v>7.74804493576727</v>
      </c>
      <c r="F121" s="33">
        <v>27.1018844631123</v>
      </c>
      <c r="G121" s="25">
        <v>-8.571236809403169</v>
      </c>
      <c r="H121" s="2"/>
      <c r="I121" s="25">
        <v>4.7</v>
      </c>
      <c r="J121" s="25" cm="1">
        <f t="array" ref="J121">I121/1000</f>
        <v>0.0047</v>
      </c>
      <c r="K121" s="2"/>
      <c r="L121" s="25" cm="1">
        <f t="array" ref="L121">D121*$J121</f>
        <v>0.07222603811766649</v>
      </c>
      <c r="M121" s="25" cm="1">
        <f t="array" ref="M121">E121*$J121</f>
        <v>0.0364158111981062</v>
      </c>
      <c r="N121" s="25" cm="1">
        <f t="array" ref="N121">F121*$J121</f>
        <v>0.127378856976628</v>
      </c>
      <c r="O121" s="25" cm="1">
        <f t="array" ref="O121">G121*$J121</f>
        <v>-0.0402848130041949</v>
      </c>
      <c r="P121" s="2"/>
      <c r="Q121" s="25">
        <v>0.0181000000000004</v>
      </c>
      <c r="R121" s="25">
        <v>1</v>
      </c>
      <c r="S121" s="25" cm="1">
        <f t="array" ref="S121">L121/$Q121</f>
        <v>3.99038884627983</v>
      </c>
      <c r="T121" s="25" cm="1">
        <f t="array" ref="T121">M121/$Q121</f>
        <v>2.01192327061356</v>
      </c>
      <c r="U121" s="25" cm="1">
        <f t="array" ref="U121">N121/$Q121</f>
        <v>7.03750591031078</v>
      </c>
      <c r="V121" s="25" cm="1">
        <f t="array" ref="V121">O121/$Q121</f>
        <v>-2.22568027647481</v>
      </c>
      <c r="W121" s="2"/>
      <c r="X121" s="25" cm="1">
        <f t="array" ref="X121">AVERAGE(S120:S122)</f>
        <v>4.76286119477911</v>
      </c>
      <c r="Y121" s="25" cm="1">
        <f t="array" ref="Y121">AVERAGE(T120:T122)</f>
        <v>1.34884570948289</v>
      </c>
      <c r="Z121" s="25" cm="1">
        <f t="array" ref="Z121">AVERAGE(U120:U122)</f>
        <v>7.22166447595141</v>
      </c>
      <c r="AA121" s="25" cm="1">
        <f t="array" ref="AA121">AVERAGE(V120:V122)</f>
        <v>-2.98881879272628</v>
      </c>
      <c r="AB121" s="2"/>
      <c r="AC121" s="26"/>
      <c r="AD121" s="26"/>
      <c r="AE121" s="26"/>
      <c r="AF121" s="26"/>
    </row>
    <row r="122" ht="17" customHeight="1">
      <c r="A122" s="2"/>
      <c r="B122" t="s" s="36">
        <v>72</v>
      </c>
      <c r="C122" t="s" s="39">
        <v>181</v>
      </c>
      <c r="D122" s="28">
        <v>18.1796948978409</v>
      </c>
      <c r="E122" s="29">
        <v>6.07586226004621</v>
      </c>
      <c r="F122" s="30">
        <v>28.0618782184123</v>
      </c>
      <c r="G122" s="31">
        <v>-8.47597164508181</v>
      </c>
      <c r="H122" s="2"/>
      <c r="I122" s="25">
        <v>4.7</v>
      </c>
      <c r="J122" s="25" cm="1">
        <f t="array" ref="J122">I122/1000</f>
        <v>0.0047</v>
      </c>
      <c r="K122" s="2"/>
      <c r="L122" s="25" cm="1">
        <f t="array" ref="L122">D122*$J122</f>
        <v>0.0854445660198522</v>
      </c>
      <c r="M122" s="25" cm="1">
        <f t="array" ref="M122">E122*$J122</f>
        <v>0.0285565526222172</v>
      </c>
      <c r="N122" s="25" cm="1">
        <f t="array" ref="N122">F122*$J122</f>
        <v>0.131890827626538</v>
      </c>
      <c r="O122" s="25" cm="1">
        <f t="array" ref="O122">G122*$J122</f>
        <v>-0.0398370667318845</v>
      </c>
      <c r="P122" s="2"/>
      <c r="Q122" s="25">
        <v>0.0181000000000004</v>
      </c>
      <c r="R122" s="25">
        <v>1</v>
      </c>
      <c r="S122" s="25" cm="1">
        <f t="array" ref="S122">L122/$Q122</f>
        <v>4.72069425524035</v>
      </c>
      <c r="T122" s="25" cm="1">
        <f t="array" ref="T122">M122/$Q122</f>
        <v>1.57771008962522</v>
      </c>
      <c r="U122" s="25" cm="1">
        <f t="array" ref="U122">N122/$Q122</f>
        <v>7.28678605671465</v>
      </c>
      <c r="V122" s="25" cm="1">
        <f t="array" ref="V122">O122/$Q122</f>
        <v>-2.20094291336374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7" customHeight="1">
      <c r="A123" s="2"/>
      <c r="B123" t="s" s="19">
        <v>74</v>
      </c>
      <c r="C123" t="s" s="39">
        <v>182</v>
      </c>
      <c r="D123" s="28">
        <v>32.9403432449927</v>
      </c>
      <c r="E123" s="29">
        <v>45.3046687945934</v>
      </c>
      <c r="F123" s="33">
        <v>91.7589457128781</v>
      </c>
      <c r="G123" s="25">
        <v>-8.210244271070239</v>
      </c>
      <c r="H123" s="2"/>
      <c r="I123" s="25">
        <v>4.7</v>
      </c>
      <c r="J123" s="25" cm="1">
        <f t="array" ref="J123">I123/1000</f>
        <v>0.0047</v>
      </c>
      <c r="K123" s="2"/>
      <c r="L123" s="25" cm="1">
        <f t="array" ref="L123">D123*$J123</f>
        <v>0.154819613251466</v>
      </c>
      <c r="M123" s="25" cm="1">
        <f t="array" ref="M123">E123*$J123</f>
        <v>0.212931943334589</v>
      </c>
      <c r="N123" s="25" cm="1">
        <f t="array" ref="N123">F123*$J123</f>
        <v>0.431267044850527</v>
      </c>
      <c r="O123" s="25" cm="1">
        <f t="array" ref="O123">G123*$J123</f>
        <v>-0.0385881480740301</v>
      </c>
      <c r="P123" s="2"/>
      <c r="Q123" s="25">
        <v>0.0184999999999995</v>
      </c>
      <c r="R123" s="25">
        <v>1</v>
      </c>
      <c r="S123" s="25" cm="1">
        <f t="array" ref="S123">L123/$Q123</f>
        <v>8.36862774332271</v>
      </c>
      <c r="T123" s="25" cm="1">
        <f t="array" ref="T123">M123/$Q123</f>
        <v>11.509834774843</v>
      </c>
      <c r="U123" s="25" cm="1">
        <f t="array" ref="U123">N123/$Q123</f>
        <v>23.3117321540832</v>
      </c>
      <c r="V123" s="25" cm="1">
        <f t="array" ref="V123">O123/$Q123</f>
        <v>-2.08584584183952</v>
      </c>
      <c r="W123" s="2"/>
      <c r="X123" s="25" cm="1">
        <f t="array" ref="X123">S123-X$3-X$130</f>
        <v>1.12404284407843</v>
      </c>
      <c r="Y123" s="25" cm="1">
        <f t="array" ref="Y123">T123-Y$3-Y$130</f>
        <v>10.0702740599599</v>
      </c>
      <c r="Z123" s="25" cm="1">
        <f t="array" ref="Z123">U123-Z$3-Z$130</f>
        <v>-10.3743079784626</v>
      </c>
      <c r="AA123" s="25" cm="1">
        <f t="array" ref="AA123">V123-AA$3-AA$130</f>
        <v>0.91715580661886</v>
      </c>
      <c r="AB123" s="2"/>
      <c r="AC123" s="32" cm="1">
        <f t="array" ref="AC123">X123</f>
        <v>1.12404284407843</v>
      </c>
      <c r="AD123" s="32" cm="1">
        <f t="array" ref="AD123">Y123</f>
        <v>10.0702740599599</v>
      </c>
      <c r="AE123" s="32" cm="1">
        <f t="array" ref="AE123">Z123</f>
        <v>-10.3743079784626</v>
      </c>
      <c r="AF123" s="32" cm="1">
        <f t="array" ref="AF123">AA123</f>
        <v>0.91715580661886</v>
      </c>
    </row>
    <row r="124" ht="17" customHeight="1">
      <c r="A124" s="2"/>
      <c r="B124" t="s" s="24">
        <v>76</v>
      </c>
      <c r="C124" t="s" s="39">
        <v>183</v>
      </c>
      <c r="D124" s="28">
        <v>17.1523539066214</v>
      </c>
      <c r="E124" s="29">
        <v>39.860982542657</v>
      </c>
      <c r="F124" s="30">
        <v>91.2872193124427</v>
      </c>
      <c r="G124" s="31">
        <v>-8.432579631948069</v>
      </c>
      <c r="H124" s="2"/>
      <c r="I124" s="25">
        <v>4.7</v>
      </c>
      <c r="J124" s="25" cm="1">
        <f t="array" ref="J124">I124/1000</f>
        <v>0.0047</v>
      </c>
      <c r="K124" s="2"/>
      <c r="L124" s="25" cm="1">
        <f t="array" ref="L124">D124*$J124</f>
        <v>0.08061606336112059</v>
      </c>
      <c r="M124" s="25" cm="1">
        <f t="array" ref="M124">E124*$J124</f>
        <v>0.187346617950488</v>
      </c>
      <c r="N124" s="25" cm="1">
        <f t="array" ref="N124">F124*$J124</f>
        <v>0.429049930768481</v>
      </c>
      <c r="O124" s="25" cm="1">
        <f t="array" ref="O124">G124*$J124</f>
        <v>-0.0396331242701559</v>
      </c>
      <c r="P124" s="2"/>
      <c r="Q124" s="25">
        <v>0.0176999999999996</v>
      </c>
      <c r="R124" s="25">
        <v>1</v>
      </c>
      <c r="S124" s="25" cm="1">
        <f t="array" ref="S124">L124/$Q124</f>
        <v>4.55457985091087</v>
      </c>
      <c r="T124" s="25" cm="1">
        <f t="array" ref="T124">M124/$Q124</f>
        <v>10.5845546864685</v>
      </c>
      <c r="U124" s="25" cm="1">
        <f t="array" ref="U124">N124/$Q124</f>
        <v>24.2401090829656</v>
      </c>
      <c r="V124" s="25" cm="1">
        <f t="array" ref="V124">O124/$Q124</f>
        <v>-2.23915956328569</v>
      </c>
      <c r="W124" s="2"/>
      <c r="X124" s="25" cm="1">
        <f t="array" ref="X124">S124-X$3-X$130</f>
        <v>-2.69000504833341</v>
      </c>
      <c r="Y124" s="25" cm="1">
        <f t="array" ref="Y124">T124-Y$3-Y$130</f>
        <v>9.144993971585359</v>
      </c>
      <c r="Z124" s="25" cm="1">
        <f t="array" ref="Z124">U124-Z$3-Z$130</f>
        <v>-9.445931049580199</v>
      </c>
      <c r="AA124" s="25" cm="1">
        <f t="array" ref="AA124">V124-AA$3-AA$130</f>
        <v>0.76384208517269</v>
      </c>
      <c r="AB124" s="2"/>
      <c r="AC124" s="32" cm="1">
        <f t="array" ref="AC124">X124</f>
        <v>-2.69000504833341</v>
      </c>
      <c r="AD124" s="32" cm="1">
        <f t="array" ref="AD124">Y124</f>
        <v>9.144993971585359</v>
      </c>
      <c r="AE124" s="32" cm="1">
        <f t="array" ref="AE124">Z124</f>
        <v>-9.445931049580199</v>
      </c>
      <c r="AF124" s="32" cm="1">
        <f t="array" ref="AF124">AA124</f>
        <v>0.76384208517269</v>
      </c>
    </row>
    <row r="125" ht="17" customHeight="1">
      <c r="A125" s="2"/>
      <c r="B125" t="s" s="24">
        <v>78</v>
      </c>
      <c r="C125" t="s" s="39">
        <v>184</v>
      </c>
      <c r="D125" s="28">
        <v>12.4126765498093</v>
      </c>
      <c r="E125" s="29">
        <v>39.4093936143526</v>
      </c>
      <c r="F125" s="33">
        <v>103.409893767888</v>
      </c>
      <c r="G125" s="25">
        <v>-8.037319191274371</v>
      </c>
      <c r="H125" s="2"/>
      <c r="I125" s="25">
        <v>4.7</v>
      </c>
      <c r="J125" s="25" cm="1">
        <f t="array" ref="J125">I125/1000</f>
        <v>0.0047</v>
      </c>
      <c r="K125" s="2"/>
      <c r="L125" s="25" cm="1">
        <f t="array" ref="L125">D125*$J125</f>
        <v>0.0583395797841037</v>
      </c>
      <c r="M125" s="25" cm="1">
        <f t="array" ref="M125">E125*$J125</f>
        <v>0.185224149987457</v>
      </c>
      <c r="N125" s="25" cm="1">
        <f t="array" ref="N125">F125*$J125</f>
        <v>0.486026500709074</v>
      </c>
      <c r="O125" s="25" cm="1">
        <f t="array" ref="O125">G125*$J125</f>
        <v>-0.0377754001989895</v>
      </c>
      <c r="P125" s="2"/>
      <c r="Q125" s="25">
        <v>0.0181000000000004</v>
      </c>
      <c r="R125" s="25">
        <v>1</v>
      </c>
      <c r="S125" s="25" cm="1">
        <f t="array" ref="S125">L125/$Q125</f>
        <v>3.22318120354157</v>
      </c>
      <c r="T125" s="25" cm="1">
        <f t="array" ref="T125">M125/$Q125</f>
        <v>10.2333784523455</v>
      </c>
      <c r="U125" s="25" cm="1">
        <f t="array" ref="U125">N125/$Q125</f>
        <v>26.8522928568543</v>
      </c>
      <c r="V125" s="25" cm="1">
        <f t="array" ref="V125">O125/$Q125</f>
        <v>-2.087038685027</v>
      </c>
      <c r="W125" s="2"/>
      <c r="X125" s="25" cm="1">
        <f t="array" ref="X125">S125-X$3-X$130</f>
        <v>-4.02140369570271</v>
      </c>
      <c r="Y125" s="25" cm="1">
        <f t="array" ref="Y125">T125-Y$3-Y$130</f>
        <v>8.79381773746236</v>
      </c>
      <c r="Z125" s="25" cm="1">
        <f t="array" ref="Z125">U125-Z$3-Z$130</f>
        <v>-6.8337472756915</v>
      </c>
      <c r="AA125" s="25" cm="1">
        <f t="array" ref="AA125">V125-AA$3-AA$130</f>
        <v>0.91596296343138</v>
      </c>
      <c r="AB125" s="2"/>
      <c r="AC125" s="32" cm="1">
        <f t="array" ref="AC125">X125</f>
        <v>-4.02140369570271</v>
      </c>
      <c r="AD125" s="32" cm="1">
        <f t="array" ref="AD125">Y125</f>
        <v>8.79381773746236</v>
      </c>
      <c r="AE125" s="32" cm="1">
        <f t="array" ref="AE125">Z125</f>
        <v>-6.8337472756915</v>
      </c>
      <c r="AF125" s="32" cm="1">
        <f t="array" ref="AF125">AA125</f>
        <v>0.91596296343138</v>
      </c>
    </row>
    <row r="126" ht="17" customHeight="1">
      <c r="A126" s="2"/>
      <c r="B126" t="s" s="24">
        <v>80</v>
      </c>
      <c r="C126" t="s" s="39">
        <v>185</v>
      </c>
      <c r="D126" s="28">
        <v>98.0930605866985</v>
      </c>
      <c r="E126" s="29">
        <v>5.65840989661589</v>
      </c>
      <c r="F126" s="30">
        <v>67.25242791488731</v>
      </c>
      <c r="G126" s="31">
        <v>18.8899947231272</v>
      </c>
      <c r="H126" s="2"/>
      <c r="I126" s="25">
        <v>4.7</v>
      </c>
      <c r="J126" s="25" cm="1">
        <f t="array" ref="J126">I126/1000</f>
        <v>0.0047</v>
      </c>
      <c r="K126" s="2"/>
      <c r="L126" s="25" cm="1">
        <f t="array" ref="L126">D126*$J126</f>
        <v>0.461037384757483</v>
      </c>
      <c r="M126" s="25" cm="1">
        <f t="array" ref="M126">E126*$J126</f>
        <v>0.0265945265140947</v>
      </c>
      <c r="N126" s="25" cm="1">
        <f t="array" ref="N126">F126*$J126</f>
        <v>0.31608641119997</v>
      </c>
      <c r="O126" s="25" cm="1">
        <f t="array" ref="O126">G126*$J126</f>
        <v>0.08878297519869779</v>
      </c>
      <c r="P126" s="2"/>
      <c r="Q126" s="25">
        <v>0.0183</v>
      </c>
      <c r="R126" s="25">
        <v>1</v>
      </c>
      <c r="S126" s="25" cm="1">
        <f t="array" ref="S126">L126/$Q126</f>
        <v>25.1932997135237</v>
      </c>
      <c r="T126" s="25" cm="1">
        <f t="array" ref="T126">M126/$Q126</f>
        <v>1.45325281497785</v>
      </c>
      <c r="U126" s="25" cm="1">
        <f t="array" ref="U126">N126/$Q126</f>
        <v>17.2724814863372</v>
      </c>
      <c r="V126" s="25" cm="1">
        <f t="array" ref="V126">O126/$Q126</f>
        <v>4.85152869938239</v>
      </c>
      <c r="W126" s="2"/>
      <c r="X126" s="25" cm="1">
        <f t="array" ref="X126">S126-X$3-X$130</f>
        <v>17.9487148142794</v>
      </c>
      <c r="Y126" s="25" cm="1">
        <f t="array" ref="Y126">T126-Y$3-Y$130</f>
        <v>0.01369210009471</v>
      </c>
      <c r="Z126" s="25" cm="1">
        <f t="array" ref="Z126">U126-Z$3-Z$130</f>
        <v>-16.4135586462086</v>
      </c>
      <c r="AA126" s="25" cm="1">
        <f t="array" ref="AA126">V126-AA$3-AA$130</f>
        <v>7.85453034784077</v>
      </c>
      <c r="AB126" s="2"/>
      <c r="AC126" s="32" cm="1">
        <f t="array" ref="AC126">X126</f>
        <v>17.9487148142794</v>
      </c>
      <c r="AD126" s="32" cm="1">
        <f t="array" ref="AD126">Y126</f>
        <v>0.01369210009471</v>
      </c>
      <c r="AE126" s="32" cm="1">
        <f t="array" ref="AE126">Z126</f>
        <v>-16.4135586462086</v>
      </c>
      <c r="AF126" s="32" cm="1">
        <f t="array" ref="AF126">AA126</f>
        <v>7.85453034784077</v>
      </c>
    </row>
    <row r="127" ht="17" customHeight="1">
      <c r="A127" s="2"/>
      <c r="B127" t="s" s="24">
        <v>82</v>
      </c>
      <c r="C127" t="s" s="39">
        <v>186</v>
      </c>
      <c r="D127" s="28">
        <v>23.5517155159458</v>
      </c>
      <c r="E127" s="29">
        <v>3.56955722591605</v>
      </c>
      <c r="F127" s="33">
        <v>29.5669270447418</v>
      </c>
      <c r="G127" s="25">
        <v>38.4530317009839</v>
      </c>
      <c r="H127" s="2"/>
      <c r="I127" s="25">
        <v>4.7</v>
      </c>
      <c r="J127" s="25" cm="1">
        <f t="array" ref="J127">I127/1000</f>
        <v>0.0047</v>
      </c>
      <c r="K127" s="2"/>
      <c r="L127" s="25" cm="1">
        <f t="array" ref="L127">D127*$J127</f>
        <v>0.110693062924945</v>
      </c>
      <c r="M127" s="25" cm="1">
        <f t="array" ref="M127">E127*$J127</f>
        <v>0.0167769189618054</v>
      </c>
      <c r="N127" s="25" cm="1">
        <f t="array" ref="N127">F127*$J127</f>
        <v>0.138964557110286</v>
      </c>
      <c r="O127" s="25" cm="1">
        <f t="array" ref="O127">G127*$J127</f>
        <v>0.180729248994624</v>
      </c>
      <c r="P127" s="2"/>
      <c r="Q127" s="25">
        <v>0.0183</v>
      </c>
      <c r="R127" s="25">
        <v>1</v>
      </c>
      <c r="S127" s="25" cm="1">
        <f t="array" ref="S127">L127/$Q127</f>
        <v>6.04880125272923</v>
      </c>
      <c r="T127" s="25" cm="1">
        <f t="array" ref="T127">M127/$Q127</f>
        <v>0.916771527967508</v>
      </c>
      <c r="U127" s="25" cm="1">
        <f t="array" ref="U127">N127/$Q127</f>
        <v>7.59369164537082</v>
      </c>
      <c r="V127" s="25" cm="1">
        <f t="array" ref="V127">O127/$Q127</f>
        <v>9.875915245607869</v>
      </c>
      <c r="W127" s="2"/>
      <c r="X127" s="25" cm="1">
        <f t="array" ref="X127">S127-X$3-X$130</f>
        <v>-1.19578364651505</v>
      </c>
      <c r="Y127" s="25" cm="1">
        <f t="array" ref="Y127">T127-Y$3-Y$130</f>
        <v>-0.522789186915632</v>
      </c>
      <c r="Z127" s="25" cm="1">
        <f t="array" ref="Z127">U127-Z$3-Z$130</f>
        <v>-26.092348487175</v>
      </c>
      <c r="AA127" s="25" cm="1">
        <f t="array" ref="AA127">V127-AA$3-AA$130</f>
        <v>12.8789168940663</v>
      </c>
      <c r="AB127" s="2"/>
      <c r="AC127" s="32" cm="1">
        <f t="array" ref="AC127">X127</f>
        <v>-1.19578364651505</v>
      </c>
      <c r="AD127" s="32" cm="1">
        <f t="array" ref="AD127">Y127</f>
        <v>-0.522789186915632</v>
      </c>
      <c r="AE127" s="32" cm="1">
        <f t="array" ref="AE127">Z127</f>
        <v>-26.092348487175</v>
      </c>
      <c r="AF127" s="32" cm="1">
        <f t="array" ref="AF127">AA127</f>
        <v>12.8789168940663</v>
      </c>
    </row>
    <row r="128" ht="17" customHeight="1">
      <c r="A128" s="2"/>
      <c r="B128" t="s" s="24">
        <v>84</v>
      </c>
      <c r="C128" t="s" s="39">
        <v>187</v>
      </c>
      <c r="D128" s="28">
        <v>26.356760654611</v>
      </c>
      <c r="E128" s="29">
        <v>5.12597739465614</v>
      </c>
      <c r="F128" s="30">
        <v>47.1239920194114</v>
      </c>
      <c r="G128" s="31">
        <v>51.5557693560777</v>
      </c>
      <c r="H128" s="2"/>
      <c r="I128" s="25">
        <v>4.7</v>
      </c>
      <c r="J128" s="25" cm="1">
        <f t="array" ref="J128">I128/1000</f>
        <v>0.0047</v>
      </c>
      <c r="K128" s="2"/>
      <c r="L128" s="25" cm="1">
        <f t="array" ref="L128">D128*$J128</f>
        <v>0.123876775076672</v>
      </c>
      <c r="M128" s="25" cm="1">
        <f t="array" ref="M128">E128*$J128</f>
        <v>0.0240920937548839</v>
      </c>
      <c r="N128" s="25" cm="1">
        <f t="array" ref="N128">F128*$J128</f>
        <v>0.221482762491234</v>
      </c>
      <c r="O128" s="25" cm="1">
        <f t="array" ref="O128">G128*$J128</f>
        <v>0.242312115973565</v>
      </c>
      <c r="P128" s="2"/>
      <c r="Q128" s="25">
        <v>0.0181000000000004</v>
      </c>
      <c r="R128" s="25">
        <v>1</v>
      </c>
      <c r="S128" s="25" cm="1">
        <f t="array" ref="S128">L128/$Q128</f>
        <v>6.84402072246792</v>
      </c>
      <c r="T128" s="25" cm="1">
        <f t="array" ref="T128">M128/$Q128</f>
        <v>1.33105490358472</v>
      </c>
      <c r="U128" s="25" cm="1">
        <f t="array" ref="U128">N128/$Q128</f>
        <v>12.2366167122226</v>
      </c>
      <c r="V128" s="25" cm="1">
        <f t="array" ref="V128">O128/$Q128</f>
        <v>13.3874097222961</v>
      </c>
      <c r="W128" s="2"/>
      <c r="X128" s="25" cm="1">
        <f t="array" ref="X128">S128-X$3-X$130</f>
        <v>-0.40056417677636</v>
      </c>
      <c r="Y128" s="25" cm="1">
        <f t="array" ref="Y128">T128-Y$3-Y$130</f>
        <v>-0.10850581129842</v>
      </c>
      <c r="Z128" s="25" cm="1">
        <f t="array" ref="Z128">U128-Z$3-Z$130</f>
        <v>-21.4494234203232</v>
      </c>
      <c r="AA128" s="25" cm="1">
        <f t="array" ref="AA128">V128-AA$3-AA$130</f>
        <v>16.3904113707545</v>
      </c>
      <c r="AB128" s="2"/>
      <c r="AC128" s="32" cm="1">
        <f t="array" ref="AC128">X128</f>
        <v>-0.40056417677636</v>
      </c>
      <c r="AD128" s="32" cm="1">
        <f t="array" ref="AD128">Y128</f>
        <v>-0.10850581129842</v>
      </c>
      <c r="AE128" s="32" cm="1">
        <f t="array" ref="AE128">Z128</f>
        <v>-21.4494234203232</v>
      </c>
      <c r="AF128" s="32" cm="1">
        <f t="array" ref="AF128">AA128</f>
        <v>16.3904113707545</v>
      </c>
    </row>
    <row r="129" ht="17" customHeight="1">
      <c r="A129" s="2"/>
      <c r="B129" t="s" s="24">
        <v>86</v>
      </c>
      <c r="C129" t="s" s="39">
        <v>188</v>
      </c>
      <c r="D129" s="28">
        <v>37.6533380054285</v>
      </c>
      <c r="E129" s="29">
        <v>5.87045785871056</v>
      </c>
      <c r="F129" s="33">
        <v>233.268830436846</v>
      </c>
      <c r="G129" s="25">
        <v>-17.7257824476037</v>
      </c>
      <c r="H129" s="2"/>
      <c r="I129" s="25">
        <v>4.7</v>
      </c>
      <c r="J129" s="25" cm="1">
        <f t="array" ref="J129">I129/1000</f>
        <v>0.0047</v>
      </c>
      <c r="K129" s="2"/>
      <c r="L129" s="25" cm="1">
        <f t="array" ref="L129">D129*$J129</f>
        <v>0.176970688625514</v>
      </c>
      <c r="M129" s="25" cm="1">
        <f t="array" ref="M129">E129*$J129</f>
        <v>0.0275911519359396</v>
      </c>
      <c r="N129" s="25" cm="1">
        <f t="array" ref="N129">F129*$J129</f>
        <v>1.09636350305318</v>
      </c>
      <c r="O129" s="25" cm="1">
        <f t="array" ref="O129">G129*$J129</f>
        <v>-0.0833111775037374</v>
      </c>
      <c r="P129" s="2"/>
      <c r="Q129" s="25">
        <v>0.0183999999999997</v>
      </c>
      <c r="R129" s="25">
        <v>1</v>
      </c>
      <c r="S129" s="25" cm="1">
        <f t="array" ref="S129">L129/$Q129</f>
        <v>9.617972207908529</v>
      </c>
      <c r="T129" s="25" cm="1">
        <f t="array" ref="T129">M129/$Q129</f>
        <v>1.49951912695326</v>
      </c>
      <c r="U129" s="25" cm="1">
        <f t="array" ref="U129">N129/$Q129</f>
        <v>59.5849729920216</v>
      </c>
      <c r="V129" s="25" cm="1">
        <f t="array" ref="V129">O129/$Q129</f>
        <v>-4.52778138607276</v>
      </c>
      <c r="W129" s="2"/>
      <c r="X129" s="2"/>
      <c r="Y129" s="2"/>
      <c r="Z129" s="2"/>
      <c r="AA129" s="2"/>
      <c r="AB129" s="2"/>
      <c r="AC129" s="26"/>
      <c r="AD129" s="32" cm="1">
        <f t="array" ref="AD129">Y129</f>
        <v>0</v>
      </c>
      <c r="AE129" s="26"/>
      <c r="AF129" s="26"/>
    </row>
    <row r="130" ht="17" customHeight="1">
      <c r="A130" s="2"/>
      <c r="B130" t="s" s="24">
        <v>88</v>
      </c>
      <c r="C130" t="s" s="39">
        <v>189</v>
      </c>
      <c r="D130" s="28">
        <v>20.5156649446061</v>
      </c>
      <c r="E130" s="29">
        <v>4.41407982367024</v>
      </c>
      <c r="F130" s="30">
        <v>32.6210400199522</v>
      </c>
      <c r="G130" s="31">
        <v>-8.55207902933159</v>
      </c>
      <c r="H130" s="2"/>
      <c r="I130" s="25">
        <v>4.7</v>
      </c>
      <c r="J130" s="25" cm="1">
        <f t="array" ref="J130">I130/1000</f>
        <v>0.0047</v>
      </c>
      <c r="K130" s="2"/>
      <c r="L130" s="25" cm="1">
        <f t="array" ref="L130">D130*$J130</f>
        <v>0.0964236252396487</v>
      </c>
      <c r="M130" s="25" cm="1">
        <f t="array" ref="M130">E130*$J130</f>
        <v>0.0207461751712501</v>
      </c>
      <c r="N130" s="25" cm="1">
        <f t="array" ref="N130">F130*$J130</f>
        <v>0.153318888093775</v>
      </c>
      <c r="O130" s="25" cm="1">
        <f t="array" ref="O130">G130*$J130</f>
        <v>-0.0401947714378585</v>
      </c>
      <c r="P130" s="2"/>
      <c r="Q130" s="25">
        <v>0.0186000000000011</v>
      </c>
      <c r="R130" s="25">
        <v>1</v>
      </c>
      <c r="S130" s="25" cm="1">
        <f t="array" ref="S130">L130/$Q130</f>
        <v>5.18406587309909</v>
      </c>
      <c r="T130" s="25" cm="1">
        <f t="array" ref="T130">M130/$Q130</f>
        <v>1.1153857618951</v>
      </c>
      <c r="U130" s="25" cm="1">
        <f t="array" ref="U130">N130/$Q130</f>
        <v>8.24295097278311</v>
      </c>
      <c r="V130" s="25" cm="1">
        <f t="array" ref="V130">O130/$Q130</f>
        <v>-2.16100921708904</v>
      </c>
      <c r="W130" s="2"/>
      <c r="X130" s="25" cm="1">
        <f t="array" ref="X130">AVERAGE(S129:S131)</f>
        <v>7.24458489924428</v>
      </c>
      <c r="Y130" s="25" cm="1">
        <f t="array" ref="Y130">AVERAGE(T129:T131)</f>
        <v>1.43956071488314</v>
      </c>
      <c r="Z130" s="25" cm="1">
        <f t="array" ref="Z130">AVERAGE(U129:U131)</f>
        <v>33.6860401325458</v>
      </c>
      <c r="AA130" s="25" cm="1">
        <f t="array" ref="AA130">AVERAGE(V129:V131)</f>
        <v>-3.00300164845838</v>
      </c>
      <c r="AB130" s="2"/>
      <c r="AC130" s="26"/>
      <c r="AD130" s="26"/>
      <c r="AE130" s="26"/>
      <c r="AF130" s="26"/>
    </row>
    <row r="131" ht="17" customHeight="1">
      <c r="A131" s="2"/>
      <c r="B131" t="s" s="36">
        <v>90</v>
      </c>
      <c r="C131" t="s" s="39">
        <v>190</v>
      </c>
      <c r="D131" s="28">
        <v>25.3671331505675</v>
      </c>
      <c r="E131" s="29">
        <v>6.23509974463334</v>
      </c>
      <c r="F131" s="33">
        <v>121.608378435040</v>
      </c>
      <c r="G131" s="25">
        <v>-8.49099716724827</v>
      </c>
      <c r="H131" s="2"/>
      <c r="I131" s="25">
        <v>4.7</v>
      </c>
      <c r="J131" s="25" cm="1">
        <f t="array" ref="J131">I131/1000</f>
        <v>0.0047</v>
      </c>
      <c r="K131" s="2"/>
      <c r="L131" s="25" cm="1">
        <f t="array" ref="L131">D131*$J131</f>
        <v>0.119225525807667</v>
      </c>
      <c r="M131" s="25" cm="1">
        <f t="array" ref="M131">E131*$J131</f>
        <v>0.0293049687997767</v>
      </c>
      <c r="N131" s="25" cm="1">
        <f t="array" ref="N131">F131*$J131</f>
        <v>0.571559378644688</v>
      </c>
      <c r="O131" s="25" cm="1">
        <f t="array" ref="O131">G131*$J131</f>
        <v>-0.0399076866860669</v>
      </c>
      <c r="P131" s="2"/>
      <c r="Q131" s="25">
        <v>0.017199999999999</v>
      </c>
      <c r="R131" s="25">
        <v>1</v>
      </c>
      <c r="S131" s="25" cm="1">
        <f t="array" ref="S131">L131/$Q131</f>
        <v>6.93171661672523</v>
      </c>
      <c r="T131" s="25" cm="1">
        <f t="array" ref="T131">M131/$Q131</f>
        <v>1.70377725580107</v>
      </c>
      <c r="U131" s="25" cm="1">
        <f t="array" ref="U131">N131/$Q131</f>
        <v>33.2301964328326</v>
      </c>
      <c r="V131" s="25" cm="1">
        <f t="array" ref="V131">O131/$Q131</f>
        <v>-2.32021434221333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7" customHeight="1">
      <c r="A132" s="2"/>
      <c r="B132" t="s" s="19">
        <v>92</v>
      </c>
      <c r="C132" t="s" s="39">
        <v>191</v>
      </c>
      <c r="D132" s="28">
        <v>22.2673731512346</v>
      </c>
      <c r="E132" s="29">
        <v>81.6253430446591</v>
      </c>
      <c r="F132" s="29">
        <v>1889.665465971680</v>
      </c>
      <c r="G132" s="37">
        <v>0.279906107452378</v>
      </c>
      <c r="H132" s="2"/>
      <c r="I132" s="25">
        <v>4.7</v>
      </c>
      <c r="J132" s="25" cm="1">
        <f t="array" ref="J132">I132/1000</f>
        <v>0.0047</v>
      </c>
      <c r="K132" s="2"/>
      <c r="L132" s="25" cm="1">
        <f t="array" ref="L132">D132*$J132</f>
        <v>0.104656653810803</v>
      </c>
      <c r="M132" s="25" cm="1">
        <f t="array" ref="M132">E132*$J132</f>
        <v>0.383639112309898</v>
      </c>
      <c r="N132" s="25" cm="1">
        <f t="array" ref="N132">F132*$J132</f>
        <v>8.8814276900669</v>
      </c>
      <c r="O132" s="25" cm="1">
        <f t="array" ref="O132">G132*$J132</f>
        <v>0.00131555870502618</v>
      </c>
      <c r="P132" s="2"/>
      <c r="Q132" s="25">
        <v>0.0177999999999994</v>
      </c>
      <c r="R132" s="25">
        <v>1</v>
      </c>
      <c r="S132" s="25" cm="1">
        <f t="array" ref="S132">L132/$Q132</f>
        <v>5.87958729274194</v>
      </c>
      <c r="T132" s="25" cm="1">
        <f t="array" ref="T132">M132/$Q132</f>
        <v>21.5527591185343</v>
      </c>
      <c r="U132" s="25" cm="1">
        <f t="array" ref="U132">N132/$Q132</f>
        <v>498.956611801528</v>
      </c>
      <c r="V132" s="25" cm="1">
        <f t="array" ref="V132">O132/$Q132</f>
        <v>0.0739077924172036</v>
      </c>
      <c r="W132" s="2"/>
      <c r="X132" s="25" cm="1">
        <f t="array" ref="X132">S132-X$3-X$139</f>
        <v>-8.40361712841616</v>
      </c>
      <c r="Y132" s="25" cm="1">
        <f t="array" ref="Y132">T132-Y$3-Y$139</f>
        <v>20.8130984008355</v>
      </c>
      <c r="Z132" s="25" cm="1">
        <f t="array" ref="Z132">U132-Z$3-Z$139</f>
        <v>493.169905403509</v>
      </c>
      <c r="AA132" s="25" cm="1">
        <f t="array" ref="AA132">V132-AA$3-AA$139</f>
        <v>1.17854228038547</v>
      </c>
      <c r="AB132" s="2"/>
      <c r="AC132" s="32" cm="1">
        <f t="array" ref="AC132">X132</f>
        <v>-8.40361712841616</v>
      </c>
      <c r="AD132" s="32" cm="1">
        <f t="array" ref="AD132">Y132</f>
        <v>20.8130984008355</v>
      </c>
      <c r="AE132" s="32" cm="1">
        <f t="array" ref="AE132">Z132</f>
        <v>493.169905403509</v>
      </c>
      <c r="AF132" s="32" cm="1">
        <f t="array" ref="AF132">AA132</f>
        <v>1.17854228038547</v>
      </c>
    </row>
    <row r="133" ht="17" customHeight="1">
      <c r="A133" s="2"/>
      <c r="B133" t="s" s="24">
        <v>94</v>
      </c>
      <c r="C133" t="s" s="39">
        <v>192</v>
      </c>
      <c r="D133" s="28">
        <v>24.8739357168458</v>
      </c>
      <c r="E133" s="29">
        <v>68.9222425022428</v>
      </c>
      <c r="F133" s="33">
        <v>845.449752225724</v>
      </c>
      <c r="G133" s="25">
        <v>-5.41336057619613</v>
      </c>
      <c r="H133" s="2"/>
      <c r="I133" s="25">
        <v>4.7</v>
      </c>
      <c r="J133" s="25" cm="1">
        <f t="array" ref="J133">I133/1000</f>
        <v>0.0047</v>
      </c>
      <c r="K133" s="2"/>
      <c r="L133" s="25" cm="1">
        <f t="array" ref="L133">D133*$J133</f>
        <v>0.116907497869175</v>
      </c>
      <c r="M133" s="25" cm="1">
        <f t="array" ref="M133">E133*$J133</f>
        <v>0.323934539760541</v>
      </c>
      <c r="N133" s="25" cm="1">
        <f t="array" ref="N133">F133*$J133</f>
        <v>3.9736138354609</v>
      </c>
      <c r="O133" s="25" cm="1">
        <f t="array" ref="O133">G133*$J133</f>
        <v>-0.0254427947081218</v>
      </c>
      <c r="P133" s="2"/>
      <c r="Q133" s="25">
        <v>0.0167000000000002</v>
      </c>
      <c r="R133" s="25">
        <v>1</v>
      </c>
      <c r="S133" s="25" cm="1">
        <f t="array" ref="S133">L133/$Q133</f>
        <v>7.00044897420201</v>
      </c>
      <c r="T133" s="25" cm="1">
        <f t="array" ref="T133">M133/$Q133</f>
        <v>19.3972778299723</v>
      </c>
      <c r="U133" s="25" cm="1">
        <f t="array" ref="U133">N133/$Q133</f>
        <v>237.940948231189</v>
      </c>
      <c r="V133" s="25" cm="1">
        <f t="array" ref="V133">O133/$Q133</f>
        <v>-1.52352064120488</v>
      </c>
      <c r="W133" s="2"/>
      <c r="X133" s="25" cm="1">
        <f t="array" ref="X133">S133-X$3-X$139</f>
        <v>-7.28275544695609</v>
      </c>
      <c r="Y133" s="25" cm="1">
        <f t="array" ref="Y133">T133-Y$3-Y$139</f>
        <v>18.6576171122735</v>
      </c>
      <c r="Z133" s="25" cm="1">
        <f t="array" ref="Z133">U133-Z$3-Z$139</f>
        <v>232.154241833170</v>
      </c>
      <c r="AA133" s="25" cm="1">
        <f t="array" ref="AA133">V133-AA$3-AA$139</f>
        <v>-0.41888615323661</v>
      </c>
      <c r="AB133" s="2"/>
      <c r="AC133" s="32" cm="1">
        <f t="array" ref="AC133">X133</f>
        <v>-7.28275544695609</v>
      </c>
      <c r="AD133" s="32" cm="1">
        <f t="array" ref="AD133">Y133</f>
        <v>18.6576171122735</v>
      </c>
      <c r="AE133" s="32" cm="1">
        <f t="array" ref="AE133">Z133</f>
        <v>232.154241833170</v>
      </c>
      <c r="AF133" s="32" cm="1">
        <f t="array" ref="AF133">AA133</f>
        <v>-0.41888615323661</v>
      </c>
    </row>
    <row r="134" ht="17" customHeight="1">
      <c r="A134" s="2"/>
      <c r="B134" t="s" s="24">
        <v>96</v>
      </c>
      <c r="C134" t="s" s="39">
        <v>193</v>
      </c>
      <c r="D134" s="28">
        <v>22.8233977741995</v>
      </c>
      <c r="E134" s="29">
        <v>88.7496477696566</v>
      </c>
      <c r="F134" s="30">
        <v>1014.651045708810</v>
      </c>
      <c r="G134" s="31">
        <v>-4.82770458759306</v>
      </c>
      <c r="H134" s="2"/>
      <c r="I134" s="25">
        <v>4.7</v>
      </c>
      <c r="J134" s="25" cm="1">
        <f t="array" ref="J134">I134/1000</f>
        <v>0.0047</v>
      </c>
      <c r="K134" s="2"/>
      <c r="L134" s="25" cm="1">
        <f t="array" ref="L134">D134*$J134</f>
        <v>0.107269969538738</v>
      </c>
      <c r="M134" s="25" cm="1">
        <f t="array" ref="M134">E134*$J134</f>
        <v>0.417123344517386</v>
      </c>
      <c r="N134" s="25" cm="1">
        <f t="array" ref="N134">F134*$J134</f>
        <v>4.76885991483141</v>
      </c>
      <c r="O134" s="25" cm="1">
        <f t="array" ref="O134">G134*$J134</f>
        <v>-0.0226902115616874</v>
      </c>
      <c r="P134" s="2"/>
      <c r="Q134" s="25">
        <v>0.0175999999999998</v>
      </c>
      <c r="R134" s="25">
        <v>1</v>
      </c>
      <c r="S134" s="25" cm="1">
        <f t="array" ref="S134">L134/$Q134</f>
        <v>6.09488463288291</v>
      </c>
      <c r="T134" s="25" cm="1">
        <f t="array" ref="T134">M134/$Q134</f>
        <v>23.7001900293972</v>
      </c>
      <c r="U134" s="25" cm="1">
        <f t="array" ref="U134">N134/$Q134</f>
        <v>270.957949706333</v>
      </c>
      <c r="V134" s="25" cm="1">
        <f t="array" ref="V134">O134/$Q134</f>
        <v>-1.28921656600498</v>
      </c>
      <c r="W134" s="2"/>
      <c r="X134" s="25" cm="1">
        <f t="array" ref="X134">S134-X$3-X$139</f>
        <v>-8.188319788275191</v>
      </c>
      <c r="Y134" s="25" cm="1">
        <f t="array" ref="Y134">T134-Y$3-Y$139</f>
        <v>22.9605293116984</v>
      </c>
      <c r="Z134" s="25" cm="1">
        <f t="array" ref="Z134">U134-Z$3-Z$139</f>
        <v>265.171243308314</v>
      </c>
      <c r="AA134" s="25" cm="1">
        <f t="array" ref="AA134">V134-AA$3-AA$139</f>
        <v>-0.18458207803671</v>
      </c>
      <c r="AB134" s="2"/>
      <c r="AC134" s="32" cm="1">
        <f t="array" ref="AC134">X134</f>
        <v>-8.188319788275191</v>
      </c>
      <c r="AD134" s="32" cm="1">
        <f t="array" ref="AD134">Y134</f>
        <v>22.9605293116984</v>
      </c>
      <c r="AE134" s="32" cm="1">
        <f t="array" ref="AE134">Z134</f>
        <v>265.171243308314</v>
      </c>
      <c r="AF134" s="32" cm="1">
        <f t="array" ref="AF134">AA134</f>
        <v>-0.18458207803671</v>
      </c>
    </row>
    <row r="135" ht="17" customHeight="1">
      <c r="A135" s="2"/>
      <c r="B135" t="s" s="24">
        <v>98</v>
      </c>
      <c r="C135" t="s" s="39">
        <v>194</v>
      </c>
      <c r="D135" s="28">
        <v>20.5944099883549</v>
      </c>
      <c r="E135" s="29">
        <v>3.48332086275589</v>
      </c>
      <c r="F135" s="33">
        <v>28.9297201811736</v>
      </c>
      <c r="G135" s="25">
        <v>72.6297717625129</v>
      </c>
      <c r="H135" s="2"/>
      <c r="I135" s="25">
        <v>4.7</v>
      </c>
      <c r="J135" s="25" cm="1">
        <f t="array" ref="J135">I135/1000</f>
        <v>0.0047</v>
      </c>
      <c r="K135" s="2"/>
      <c r="L135" s="25" cm="1">
        <f t="array" ref="L135">D135*$J135</f>
        <v>0.096793726945268</v>
      </c>
      <c r="M135" s="25" cm="1">
        <f t="array" ref="M135">E135*$J135</f>
        <v>0.0163716080549527</v>
      </c>
      <c r="N135" s="25" cm="1">
        <f t="array" ref="N135">F135*$J135</f>
        <v>0.135969684851516</v>
      </c>
      <c r="O135" s="25" cm="1">
        <f t="array" ref="O135">G135*$J135</f>
        <v>0.341359927283811</v>
      </c>
      <c r="P135" s="2"/>
      <c r="Q135" s="25">
        <v>0.0182000000000002</v>
      </c>
      <c r="R135" s="25">
        <v>1</v>
      </c>
      <c r="S135" s="25" cm="1">
        <f t="array" ref="S135">L135/$Q135</f>
        <v>5.31833664534434</v>
      </c>
      <c r="T135" s="25" cm="1">
        <f t="array" ref="T135">M135/$Q135</f>
        <v>0.89953890411827</v>
      </c>
      <c r="U135" s="25" cm="1">
        <f t="array" ref="U135">N135/$Q135</f>
        <v>7.47086180502827</v>
      </c>
      <c r="V135" s="25" cm="1">
        <f t="array" ref="V135">O135/$Q135</f>
        <v>18.7560399606487</v>
      </c>
      <c r="W135" s="2"/>
      <c r="X135" s="25" cm="1">
        <f t="array" ref="X135">S135-X$3-X$139</f>
        <v>-8.96486777581376</v>
      </c>
      <c r="Y135" s="25" cm="1">
        <f t="array" ref="Y135">T135-Y$3-Y$139</f>
        <v>0.159878186419452</v>
      </c>
      <c r="Z135" s="25" cm="1">
        <f t="array" ref="Z135">U135-Z$3-Z$139</f>
        <v>1.68415540700967</v>
      </c>
      <c r="AA135" s="25" cm="1">
        <f t="array" ref="AA135">V135-AA$3-AA$139</f>
        <v>19.860674448617</v>
      </c>
      <c r="AB135" s="2"/>
      <c r="AC135" s="32" cm="1">
        <f t="array" ref="AC135">X135</f>
        <v>-8.96486777581376</v>
      </c>
      <c r="AD135" s="32" cm="1">
        <f t="array" ref="AD135">Y135</f>
        <v>0.159878186419452</v>
      </c>
      <c r="AE135" s="32" cm="1">
        <f t="array" ref="AE135">Z135</f>
        <v>1.68415540700967</v>
      </c>
      <c r="AF135" s="32" cm="1">
        <f t="array" ref="AF135">AA135</f>
        <v>19.860674448617</v>
      </c>
    </row>
    <row r="136" ht="17" customHeight="1">
      <c r="A136" s="2"/>
      <c r="B136" t="s" s="24">
        <v>100</v>
      </c>
      <c r="C136" t="s" s="39">
        <v>195</v>
      </c>
      <c r="D136" s="28">
        <v>24.3339564807378</v>
      </c>
      <c r="E136" s="29">
        <v>4.17487317968541</v>
      </c>
      <c r="F136" s="30">
        <v>34.485306501125</v>
      </c>
      <c r="G136" s="31">
        <v>60.0914986152363</v>
      </c>
      <c r="H136" s="2"/>
      <c r="I136" s="25">
        <v>4.7</v>
      </c>
      <c r="J136" s="25" cm="1">
        <f t="array" ref="J136">I136/1000</f>
        <v>0.0047</v>
      </c>
      <c r="K136" s="2"/>
      <c r="L136" s="25" cm="1">
        <f t="array" ref="L136">D136*$J136</f>
        <v>0.114369595459468</v>
      </c>
      <c r="M136" s="25" cm="1">
        <f t="array" ref="M136">E136*$J136</f>
        <v>0.0196219039445214</v>
      </c>
      <c r="N136" s="25" cm="1">
        <f t="array" ref="N136">F136*$J136</f>
        <v>0.162080940555288</v>
      </c>
      <c r="O136" s="25" cm="1">
        <f t="array" ref="O136">G136*$J136</f>
        <v>0.282430043491611</v>
      </c>
      <c r="P136" s="2"/>
      <c r="Q136" s="25">
        <v>0.0175999999999998</v>
      </c>
      <c r="R136" s="25">
        <v>1</v>
      </c>
      <c r="S136" s="25" cm="1">
        <f t="array" ref="S136">L136/$Q136</f>
        <v>6.49827246928803</v>
      </c>
      <c r="T136" s="25" cm="1">
        <f t="array" ref="T136">M136/$Q136</f>
        <v>1.11488090593873</v>
      </c>
      <c r="U136" s="25" cm="1">
        <f t="array" ref="U136">N136/$Q136</f>
        <v>9.20914434973238</v>
      </c>
      <c r="V136" s="25" cm="1">
        <f t="array" ref="V136">O136/$Q136</f>
        <v>16.0471615620235</v>
      </c>
      <c r="W136" s="2"/>
      <c r="X136" s="25" cm="1">
        <f t="array" ref="X136">S136-X$3-X$139</f>
        <v>-7.78493195187007</v>
      </c>
      <c r="Y136" s="25" cm="1">
        <f t="array" ref="Y136">T136-Y$3-Y$139</f>
        <v>0.375220188239912</v>
      </c>
      <c r="Z136" s="25" cm="1">
        <f t="array" ref="Z136">U136-Z$3-Z$139</f>
        <v>3.42243795171378</v>
      </c>
      <c r="AA136" s="25" cm="1">
        <f t="array" ref="AA136">V136-AA$3-AA$139</f>
        <v>17.1517960499918</v>
      </c>
      <c r="AB136" s="2"/>
      <c r="AC136" s="32" cm="1">
        <f t="array" ref="AC136">X136</f>
        <v>-7.78493195187007</v>
      </c>
      <c r="AD136" s="32" cm="1">
        <f t="array" ref="AD136">Y136</f>
        <v>0.375220188239912</v>
      </c>
      <c r="AE136" s="32" cm="1">
        <f t="array" ref="AE136">Z136</f>
        <v>3.42243795171378</v>
      </c>
      <c r="AF136" s="32" cm="1">
        <f t="array" ref="AF136">AA136</f>
        <v>17.1517960499918</v>
      </c>
    </row>
    <row r="137" ht="17" customHeight="1">
      <c r="A137" s="2"/>
      <c r="B137" t="s" s="24">
        <v>102</v>
      </c>
      <c r="C137" t="s" s="39">
        <v>196</v>
      </c>
      <c r="D137" s="28">
        <v>48.0274726580997</v>
      </c>
      <c r="E137" s="29">
        <v>3.8872253051239</v>
      </c>
      <c r="F137" s="33">
        <v>26.4413039292974</v>
      </c>
      <c r="G137" s="25">
        <v>106.202238166319</v>
      </c>
      <c r="H137" s="2"/>
      <c r="I137" s="25">
        <v>4.7</v>
      </c>
      <c r="J137" s="25" cm="1">
        <f t="array" ref="J137">I137/1000</f>
        <v>0.0047</v>
      </c>
      <c r="K137" s="2"/>
      <c r="L137" s="25" cm="1">
        <f t="array" ref="L137">D137*$J137</f>
        <v>0.225729121493069</v>
      </c>
      <c r="M137" s="25" cm="1">
        <f t="array" ref="M137">E137*$J137</f>
        <v>0.0182699589340823</v>
      </c>
      <c r="N137" s="25" cm="1">
        <f t="array" ref="N137">F137*$J137</f>
        <v>0.124274128467698</v>
      </c>
      <c r="O137" s="25" cm="1">
        <f t="array" ref="O137">G137*$J137</f>
        <v>0.499150519381699</v>
      </c>
      <c r="P137" s="2"/>
      <c r="Q137" s="25">
        <v>0.0175999999999998</v>
      </c>
      <c r="R137" s="25">
        <v>1</v>
      </c>
      <c r="S137" s="25" cm="1">
        <f t="array" ref="S137">L137/$Q137</f>
        <v>12.8255182666518</v>
      </c>
      <c r="T137" s="25" cm="1">
        <f t="array" ref="T137">M137/$Q137</f>
        <v>1.03806584852742</v>
      </c>
      <c r="U137" s="25" cm="1">
        <f t="array" ref="U137">N137/$Q137</f>
        <v>7.06103002657383</v>
      </c>
      <c r="V137" s="25" cm="1">
        <f t="array" ref="V137">O137/$Q137</f>
        <v>28.3608249648696</v>
      </c>
      <c r="W137" s="2"/>
      <c r="X137" s="25" cm="1">
        <f t="array" ref="X137">S137-X$3-X$139</f>
        <v>-1.4576861545063</v>
      </c>
      <c r="Y137" s="25" cm="1">
        <f t="array" ref="Y137">T137-Y$3-Y$139</f>
        <v>0.298405130828602</v>
      </c>
      <c r="Z137" s="25" cm="1">
        <f t="array" ref="Z137">U137-Z$3-Z$139</f>
        <v>1.27432362855523</v>
      </c>
      <c r="AA137" s="25" cm="1">
        <f t="array" ref="AA137">V137-AA$3-AA$139</f>
        <v>29.4654594528379</v>
      </c>
      <c r="AB137" s="2"/>
      <c r="AC137" s="32" cm="1">
        <f t="array" ref="AC137">X137</f>
        <v>-1.4576861545063</v>
      </c>
      <c r="AD137" s="32" cm="1">
        <f t="array" ref="AD137">Y137</f>
        <v>0.298405130828602</v>
      </c>
      <c r="AE137" s="32" cm="1">
        <f t="array" ref="AE137">Z137</f>
        <v>1.27432362855523</v>
      </c>
      <c r="AF137" s="32" cm="1">
        <f t="array" ref="AF137">AA137</f>
        <v>29.4654594528379</v>
      </c>
    </row>
    <row r="138" ht="17" customHeight="1">
      <c r="A138" s="2"/>
      <c r="B138" t="s" s="24">
        <v>104</v>
      </c>
      <c r="C138" t="s" s="39">
        <v>197</v>
      </c>
      <c r="D138" s="28">
        <v>24.5331717024861</v>
      </c>
      <c r="E138" s="29">
        <v>3.42597239144709</v>
      </c>
      <c r="F138" s="30">
        <v>33.1222346048387</v>
      </c>
      <c r="G138" s="31">
        <v>-8.624261006639131</v>
      </c>
      <c r="H138" s="2"/>
      <c r="I138" s="25">
        <v>4.7</v>
      </c>
      <c r="J138" s="25" cm="1">
        <f t="array" ref="J138">I138/1000</f>
        <v>0.0047</v>
      </c>
      <c r="K138" s="2"/>
      <c r="L138" s="25" cm="1">
        <f t="array" ref="L138">D138*$J138</f>
        <v>0.115305907001685</v>
      </c>
      <c r="M138" s="25" cm="1">
        <f t="array" ref="M138">E138*$J138</f>
        <v>0.0161020702398013</v>
      </c>
      <c r="N138" s="25" cm="1">
        <f t="array" ref="N138">F138*$J138</f>
        <v>0.155674502642742</v>
      </c>
      <c r="O138" s="25" cm="1">
        <f t="array" ref="O138">G138*$J138</f>
        <v>-0.0405340267312039</v>
      </c>
      <c r="P138" s="2"/>
      <c r="Q138" s="25">
        <v>0.175599999999999</v>
      </c>
      <c r="R138" s="25">
        <v>1</v>
      </c>
      <c r="S138" s="25" cm="1">
        <f t="array" ref="S138">L138/$Q138</f>
        <v>0.6566395615130159</v>
      </c>
      <c r="T138" s="25" cm="1">
        <f t="array" ref="T138">M138/$Q138</f>
        <v>0.0916974387232425</v>
      </c>
      <c r="U138" s="25" cm="1">
        <f t="array" ref="U138">N138/$Q138</f>
        <v>0.886529058329971</v>
      </c>
      <c r="V138" s="25" cm="1">
        <f t="array" ref="V138">O138/$Q138</f>
        <v>-0.230831587307541</v>
      </c>
      <c r="W138" s="2"/>
      <c r="X138" s="2"/>
      <c r="Y138" s="2"/>
      <c r="Z138" s="2"/>
      <c r="AA138" s="2"/>
      <c r="AB138" s="2"/>
      <c r="AC138" s="26"/>
      <c r="AD138" s="26"/>
      <c r="AE138" s="26"/>
      <c r="AF138" s="26"/>
    </row>
    <row r="139" ht="17" customHeight="1">
      <c r="A139" s="2"/>
      <c r="B139" t="s" s="24">
        <v>106</v>
      </c>
      <c r="C139" t="s" s="39">
        <v>198</v>
      </c>
      <c r="D139" s="28">
        <v>14.1258532209397</v>
      </c>
      <c r="E139" s="29">
        <v>3.21560084952035</v>
      </c>
      <c r="F139" s="33">
        <v>29.5048413751156</v>
      </c>
      <c r="G139" s="25">
        <v>-3.1940094965506</v>
      </c>
      <c r="H139" s="2"/>
      <c r="I139" s="25">
        <v>4.7</v>
      </c>
      <c r="J139" s="25" cm="1">
        <f t="array" ref="J139">I139/1000</f>
        <v>0.0047</v>
      </c>
      <c r="K139" s="2"/>
      <c r="L139" s="25" cm="1">
        <f t="array" ref="L139">D139*$J139</f>
        <v>0.0663915101384166</v>
      </c>
      <c r="M139" s="25" cm="1">
        <f t="array" ref="M139">E139*$J139</f>
        <v>0.0151133239927456</v>
      </c>
      <c r="N139" s="25" cm="1">
        <f t="array" ref="N139">F139*$J139</f>
        <v>0.138672754463043</v>
      </c>
      <c r="O139" s="25" cm="1">
        <f t="array" ref="O139">G139*$J139</f>
        <v>-0.0150118446337878</v>
      </c>
      <c r="P139" s="2"/>
      <c r="Q139" s="25">
        <v>0.0177000000000014</v>
      </c>
      <c r="R139" s="25">
        <v>1</v>
      </c>
      <c r="S139" s="25" cm="1">
        <f t="array" ref="S139">L139/$Q139</f>
        <v>3.75093277618143</v>
      </c>
      <c r="T139" s="25" cm="1">
        <f t="array" ref="T139">M139/$Q139</f>
        <v>0.85386011258443</v>
      </c>
      <c r="U139" s="25" cm="1">
        <f t="array" ref="U139">N139/$Q139</f>
        <v>7.8346188962165</v>
      </c>
      <c r="V139" s="25" cm="1">
        <f t="array" ref="V139">O139/$Q139</f>
        <v>-0.84812681546817</v>
      </c>
      <c r="W139" s="2"/>
      <c r="X139" s="25" cm="1">
        <f t="array" ref="X139">AVERAGE(S138:S140)</f>
        <v>14.2832044211581</v>
      </c>
      <c r="Y139" s="25" cm="1">
        <f t="array" ref="Y139">AVERAGE(T138:T140)</f>
        <v>0.739660717698818</v>
      </c>
      <c r="Z139" s="25" cm="1">
        <f t="array" ref="Z139">AVERAGE(U138:U140)</f>
        <v>5.7867063980186</v>
      </c>
      <c r="AA139" s="25" cm="1">
        <f t="array" ref="AA139">AVERAGE(V138:V140)</f>
        <v>-1.10463448796827</v>
      </c>
      <c r="AB139" s="2"/>
      <c r="AC139" s="26"/>
      <c r="AD139" s="26"/>
      <c r="AE139" s="26"/>
      <c r="AF139" s="26"/>
    </row>
    <row r="140" ht="17" customHeight="1">
      <c r="A140" s="2"/>
      <c r="B140" t="s" s="24">
        <v>108</v>
      </c>
      <c r="C140" t="s" s="39">
        <v>199</v>
      </c>
      <c r="D140" s="28">
        <v>142.317343001826</v>
      </c>
      <c r="E140" s="29">
        <v>4.71438044066494</v>
      </c>
      <c r="F140" s="30">
        <v>31.9825743760563</v>
      </c>
      <c r="G140" s="31">
        <v>-8.274051928435529</v>
      </c>
      <c r="H140" s="2"/>
      <c r="I140" s="25">
        <v>4.7</v>
      </c>
      <c r="J140" s="25" cm="1">
        <f t="array" ref="J140">I140/1000</f>
        <v>0.0047</v>
      </c>
      <c r="K140" s="2"/>
      <c r="L140" s="25" cm="1">
        <f t="array" ref="L140">D140*$J140</f>
        <v>0.668891512108582</v>
      </c>
      <c r="M140" s="25" cm="1">
        <f t="array" ref="M140">E140*$J140</f>
        <v>0.0221575880711252</v>
      </c>
      <c r="N140" s="25" cm="1">
        <f t="array" ref="N140">F140*$J140</f>
        <v>0.150318099567465</v>
      </c>
      <c r="O140" s="25" cm="1">
        <f t="array" ref="O140">G140*$J140</f>
        <v>-0.038888044063647</v>
      </c>
      <c r="P140" s="2"/>
      <c r="Q140" s="25">
        <v>0.0174000000000003</v>
      </c>
      <c r="R140" s="25">
        <v>1</v>
      </c>
      <c r="S140" s="25" cm="1">
        <f t="array" ref="S140">L140/$Q140</f>
        <v>38.4420409257799</v>
      </c>
      <c r="T140" s="25" cm="1">
        <f t="array" ref="T140">M140/$Q140</f>
        <v>1.27342460178878</v>
      </c>
      <c r="U140" s="25" cm="1">
        <f t="array" ref="U140">N140/$Q140</f>
        <v>8.638971239509329</v>
      </c>
      <c r="V140" s="25" cm="1">
        <f t="array" ref="V140">O140/$Q140</f>
        <v>-2.2349450611291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7" customHeight="1">
      <c r="A141" s="2"/>
      <c r="B141" t="s" s="24">
        <v>20</v>
      </c>
      <c r="C141" t="s" s="39">
        <v>200</v>
      </c>
      <c r="D141" s="28">
        <v>107.059783725299</v>
      </c>
      <c r="E141" s="29">
        <v>96.5516839808368</v>
      </c>
      <c r="F141" s="33">
        <v>640.915697550137</v>
      </c>
      <c r="G141" s="25">
        <v>16.0375744722132</v>
      </c>
      <c r="H141" s="2"/>
      <c r="I141" s="25">
        <v>4.7</v>
      </c>
      <c r="J141" s="25" cm="1">
        <f t="array" ref="J141">I141/1000</f>
        <v>0.0047</v>
      </c>
      <c r="K141" s="2"/>
      <c r="L141" s="25" cm="1">
        <f t="array" ref="L141">D141*$J141</f>
        <v>0.5031809835089051</v>
      </c>
      <c r="M141" s="25" cm="1">
        <f t="array" ref="M141">E141*$J141</f>
        <v>0.453792914709933</v>
      </c>
      <c r="N141" s="25" cm="1">
        <f t="array" ref="N141">F141*$J141</f>
        <v>3.01230377848564</v>
      </c>
      <c r="O141" s="25" cm="1">
        <f t="array" ref="O141">G141*$J141</f>
        <v>0.075376600019402</v>
      </c>
      <c r="P141" s="2"/>
      <c r="Q141" s="25">
        <v>0.0182000000000002</v>
      </c>
      <c r="R141" s="25">
        <v>1</v>
      </c>
      <c r="S141" s="25" cm="1">
        <f t="array" ref="S141">L141/$Q141</f>
        <v>27.6473067862033</v>
      </c>
      <c r="T141" s="25" cm="1">
        <f t="array" ref="T141">M141/$Q141</f>
        <v>24.9336766324136</v>
      </c>
      <c r="U141" s="25" cm="1">
        <f t="array" ref="U141">N141/$Q141</f>
        <v>165.511196620088</v>
      </c>
      <c r="V141" s="25" cm="1">
        <f t="array" ref="V141">O141/$Q141</f>
        <v>4.14157142963743</v>
      </c>
      <c r="W141" s="2"/>
      <c r="X141" s="25" cm="1">
        <f t="array" ref="X141">S141-X$3-X$148</f>
        <v>22.5408283583457</v>
      </c>
      <c r="Y141" s="25" cm="1">
        <f t="array" ref="Y141">T141-Y$3-Y$148</f>
        <v>21.6434735233357</v>
      </c>
      <c r="Z141" s="25" cm="1">
        <f t="array" ref="Z141">U141-Z$3-Z$148</f>
        <v>161.162583334308</v>
      </c>
      <c r="AA141" s="25" cm="1">
        <f t="array" ref="AA141">V141-AA$3-AA$148</f>
        <v>7.13301578718552</v>
      </c>
      <c r="AB141" s="2"/>
      <c r="AC141" s="32" cm="1">
        <f t="array" ref="AC141">X141</f>
        <v>22.5408283583457</v>
      </c>
      <c r="AD141" s="32" cm="1">
        <f t="array" ref="AD141">Y141</f>
        <v>21.6434735233357</v>
      </c>
      <c r="AE141" s="32" cm="1">
        <f t="array" ref="AE141">Z141</f>
        <v>161.162583334308</v>
      </c>
      <c r="AF141" s="32" cm="1">
        <f t="array" ref="AF141">AA141</f>
        <v>7.13301578718552</v>
      </c>
    </row>
    <row r="142" ht="17" customHeight="1">
      <c r="A142" s="2"/>
      <c r="B142" t="s" s="24">
        <v>22</v>
      </c>
      <c r="C142" t="s" s="39">
        <v>201</v>
      </c>
      <c r="D142" s="28">
        <v>17.0555736197845</v>
      </c>
      <c r="E142" s="29">
        <v>54.3538615188909</v>
      </c>
      <c r="F142" s="30">
        <v>950.477923335684</v>
      </c>
      <c r="G142" s="31">
        <v>18.7748588022553</v>
      </c>
      <c r="H142" s="2"/>
      <c r="I142" s="25">
        <v>4.7</v>
      </c>
      <c r="J142" s="25" cm="1">
        <f t="array" ref="J142">I142/1000</f>
        <v>0.0047</v>
      </c>
      <c r="K142" s="2"/>
      <c r="L142" s="25" cm="1">
        <f t="array" ref="L142">D142*$J142</f>
        <v>0.0801611960129872</v>
      </c>
      <c r="M142" s="25" cm="1">
        <f t="array" ref="M142">E142*$J142</f>
        <v>0.255463149138787</v>
      </c>
      <c r="N142" s="25" cm="1">
        <f t="array" ref="N142">F142*$J142</f>
        <v>4.46724623967771</v>
      </c>
      <c r="O142" s="25" cm="1">
        <f t="array" ref="O142">G142*$J142</f>
        <v>0.0882418363705999</v>
      </c>
      <c r="P142" s="2"/>
      <c r="Q142" s="25">
        <v>0.0180000000000007</v>
      </c>
      <c r="R142" s="25">
        <v>1</v>
      </c>
      <c r="S142" s="25" cm="1">
        <f t="array" ref="S142">L142/$Q142</f>
        <v>4.45339977849912</v>
      </c>
      <c r="T142" s="25" cm="1">
        <f t="array" ref="T142">M142/$Q142</f>
        <v>14.1923971743765</v>
      </c>
      <c r="U142" s="25" cm="1">
        <f t="array" ref="U142">N142/$Q142</f>
        <v>248.180346648752</v>
      </c>
      <c r="V142" s="25" cm="1">
        <f t="array" ref="V142">O142/$Q142</f>
        <v>4.90232424281091</v>
      </c>
      <c r="W142" s="2"/>
      <c r="X142" s="25" cm="1">
        <f t="array" ref="X142">S142-X$3-X$148</f>
        <v>-0.6530786493584499</v>
      </c>
      <c r="Y142" s="25" cm="1">
        <f t="array" ref="Y142">T142-Y$3-Y$148</f>
        <v>10.9021940652986</v>
      </c>
      <c r="Z142" s="25" cm="1">
        <f t="array" ref="Z142">U142-Z$3-Z$148</f>
        <v>243.831733362972</v>
      </c>
      <c r="AA142" s="25" cm="1">
        <f t="array" ref="AA142">V142-AA$3-AA$148</f>
        <v>7.893768600359</v>
      </c>
      <c r="AB142" s="2"/>
      <c r="AC142" s="32" cm="1">
        <f t="array" ref="AC142">X142</f>
        <v>-0.6530786493584499</v>
      </c>
      <c r="AD142" s="32" cm="1">
        <f t="array" ref="AD142">Y142</f>
        <v>10.9021940652986</v>
      </c>
      <c r="AE142" s="32" cm="1">
        <f t="array" ref="AE142">Z142</f>
        <v>243.831733362972</v>
      </c>
      <c r="AF142" s="32" cm="1">
        <f t="array" ref="AF142">AA142</f>
        <v>7.893768600359</v>
      </c>
    </row>
    <row r="143" ht="17" customHeight="1">
      <c r="A143" s="2"/>
      <c r="B143" t="s" s="24">
        <v>24</v>
      </c>
      <c r="C143" t="s" s="39">
        <v>202</v>
      </c>
      <c r="D143" s="28">
        <v>32.5618719378527</v>
      </c>
      <c r="E143" s="29">
        <v>62.5453421796604</v>
      </c>
      <c r="F143" s="33">
        <v>560.889034523913</v>
      </c>
      <c r="G143" s="25">
        <v>8.37464258991398</v>
      </c>
      <c r="H143" s="2"/>
      <c r="I143" s="25">
        <v>4.7</v>
      </c>
      <c r="J143" s="25" cm="1">
        <f t="array" ref="J143">I143/1000</f>
        <v>0.0047</v>
      </c>
      <c r="K143" s="2"/>
      <c r="L143" s="25" cm="1">
        <f t="array" ref="L143">D143*$J143</f>
        <v>0.153040798107908</v>
      </c>
      <c r="M143" s="25" cm="1">
        <f t="array" ref="M143">E143*$J143</f>
        <v>0.293963108244404</v>
      </c>
      <c r="N143" s="25" cm="1">
        <f t="array" ref="N143">F143*$J143</f>
        <v>2.63617846226239</v>
      </c>
      <c r="O143" s="25" cm="1">
        <f t="array" ref="O143">G143*$J143</f>
        <v>0.0393608201725957</v>
      </c>
      <c r="P143" s="2"/>
      <c r="Q143" s="25">
        <v>0.0182000000000002</v>
      </c>
      <c r="R143" s="25">
        <v>1</v>
      </c>
      <c r="S143" s="25" cm="1">
        <f t="array" ref="S143">L143/$Q143</f>
        <v>8.408835060873971</v>
      </c>
      <c r="T143" s="25" cm="1">
        <f t="array" ref="T143">M143/$Q143</f>
        <v>16.1518191343077</v>
      </c>
      <c r="U143" s="25" cm="1">
        <f t="array" ref="U143">N143/$Q143</f>
        <v>144.844970453976</v>
      </c>
      <c r="V143" s="25" cm="1">
        <f t="array" ref="V143">O143/$Q143</f>
        <v>2.16268242706567</v>
      </c>
      <c r="W143" s="2"/>
      <c r="X143" s="25" cm="1">
        <f t="array" ref="X143">S143-X$3-X$148</f>
        <v>3.3023566330164</v>
      </c>
      <c r="Y143" s="25" cm="1">
        <f t="array" ref="Y143">T143-Y$3-Y$148</f>
        <v>12.8616160252298</v>
      </c>
      <c r="Z143" s="25" cm="1">
        <f t="array" ref="Z143">U143-Z$3-Z$148</f>
        <v>140.496357168196</v>
      </c>
      <c r="AA143" s="25" cm="1">
        <f t="array" ref="AA143">V143-AA$3-AA$148</f>
        <v>5.15412678461376</v>
      </c>
      <c r="AB143" s="2"/>
      <c r="AC143" s="32" cm="1">
        <f t="array" ref="AC143">X143</f>
        <v>3.3023566330164</v>
      </c>
      <c r="AD143" s="32" cm="1">
        <f t="array" ref="AD143">Y143</f>
        <v>12.8616160252298</v>
      </c>
      <c r="AE143" s="32" cm="1">
        <f t="array" ref="AE143">Z143</f>
        <v>140.496357168196</v>
      </c>
      <c r="AF143" s="32" cm="1">
        <f t="array" ref="AF143">AA143</f>
        <v>5.15412678461376</v>
      </c>
    </row>
    <row r="144" ht="17" customHeight="1">
      <c r="A144" s="2"/>
      <c r="B144" t="s" s="24">
        <v>26</v>
      </c>
      <c r="C144" t="s" s="39">
        <v>203</v>
      </c>
      <c r="D144" s="28">
        <v>7.61863542283758</v>
      </c>
      <c r="E144" s="29">
        <v>53.2955310501237</v>
      </c>
      <c r="F144" s="44">
        <v>0.0137</v>
      </c>
      <c r="G144" s="31">
        <v>77.1576703410351</v>
      </c>
      <c r="H144" s="2"/>
      <c r="I144" s="25">
        <v>4.7</v>
      </c>
      <c r="J144" s="25" cm="1">
        <f t="array" ref="J144">I144/1000</f>
        <v>0.0047</v>
      </c>
      <c r="K144" s="2"/>
      <c r="L144" s="25" cm="1">
        <f t="array" ref="L144">D144*$J144</f>
        <v>0.0358075864873366</v>
      </c>
      <c r="M144" s="25" cm="1">
        <f t="array" ref="M144">E144*$J144</f>
        <v>0.250488995935581</v>
      </c>
      <c r="N144" s="25" cm="1">
        <f t="array" ref="N144">F144*$J144</f>
        <v>6.439e-05</v>
      </c>
      <c r="O144" s="25" cm="1">
        <f t="array" ref="O144">G144*$J144</f>
        <v>0.362641050602865</v>
      </c>
      <c r="P144" s="2"/>
      <c r="Q144" s="25">
        <v>0.0190999999999999</v>
      </c>
      <c r="R144" s="25">
        <v>1</v>
      </c>
      <c r="S144" s="25" cm="1">
        <f t="array" ref="S144">L144/$Q144</f>
        <v>1.8747427480281</v>
      </c>
      <c r="T144" s="25" cm="1">
        <f t="array" ref="T144">M144/$Q144</f>
        <v>13.1146071170462</v>
      </c>
      <c r="U144" s="25" cm="1">
        <f t="array" ref="U144">N144/$Q144</f>
        <v>0.00337120418848169</v>
      </c>
      <c r="V144" s="25" cm="1">
        <f t="array" ref="V144">O144/$Q144</f>
        <v>18.9864424399407</v>
      </c>
      <c r="W144" s="2"/>
      <c r="X144" s="25" cm="1">
        <f t="array" ref="X144">S144-X$3-X$148</f>
        <v>-3.23173567982947</v>
      </c>
      <c r="Y144" s="25" cm="1">
        <f t="array" ref="Y144">T144-Y$3-Y$148</f>
        <v>9.82440400796828</v>
      </c>
      <c r="Z144" s="25" cm="1">
        <f t="array" ref="Z144">U144-Z$3-Z$148</f>
        <v>-4.34524208159116</v>
      </c>
      <c r="AA144" s="25" cm="1">
        <f t="array" ref="AA144">V144-AA$3-AA$148</f>
        <v>21.9778867974888</v>
      </c>
      <c r="AB144" s="2"/>
      <c r="AC144" s="32" cm="1">
        <f t="array" ref="AC144">X144</f>
        <v>-3.23173567982947</v>
      </c>
      <c r="AD144" s="32" cm="1">
        <f t="array" ref="AD144">Y144</f>
        <v>9.82440400796828</v>
      </c>
      <c r="AE144" s="32" cm="1">
        <f t="array" ref="AE144">Z144</f>
        <v>-4.34524208159116</v>
      </c>
      <c r="AF144" s="32" cm="1">
        <f t="array" ref="AF144">AA144</f>
        <v>21.9778867974888</v>
      </c>
    </row>
    <row r="145" ht="17" customHeight="1">
      <c r="A145" s="2"/>
      <c r="B145" t="s" s="24">
        <v>28</v>
      </c>
      <c r="C145" t="s" s="39">
        <v>204</v>
      </c>
      <c r="D145" s="28">
        <v>210.963141467443</v>
      </c>
      <c r="E145" s="29">
        <v>15.3802304100716</v>
      </c>
      <c r="F145" s="33">
        <v>31.4259055148141</v>
      </c>
      <c r="G145" s="25">
        <v>71.30725984253399</v>
      </c>
      <c r="H145" s="2"/>
      <c r="I145" s="25">
        <v>4.7</v>
      </c>
      <c r="J145" s="25" cm="1">
        <f t="array" ref="J145">I145/1000</f>
        <v>0.0047</v>
      </c>
      <c r="K145" s="2"/>
      <c r="L145" s="25" cm="1">
        <f t="array" ref="L145">D145*$J145</f>
        <v>0.991526764896982</v>
      </c>
      <c r="M145" s="25" cm="1">
        <f t="array" ref="M145">E145*$J145</f>
        <v>0.0722870829273365</v>
      </c>
      <c r="N145" s="25" cm="1">
        <f t="array" ref="N145">F145*$J145</f>
        <v>0.147701755919626</v>
      </c>
      <c r="O145" s="25" cm="1">
        <f t="array" ref="O145">G145*$J145</f>
        <v>0.33514412125991</v>
      </c>
      <c r="P145" s="2"/>
      <c r="Q145" s="25">
        <v>0.0187000000000008</v>
      </c>
      <c r="R145" s="25">
        <v>1</v>
      </c>
      <c r="S145" s="25" cm="1">
        <f t="array" ref="S145">L145/$Q145</f>
        <v>53.0228216522428</v>
      </c>
      <c r="T145" s="25" cm="1">
        <f t="array" ref="T145">M145/$Q145</f>
        <v>3.86561940787879</v>
      </c>
      <c r="U145" s="25" cm="1">
        <f t="array" ref="U145">N145/$Q145</f>
        <v>7.89848962137004</v>
      </c>
      <c r="V145" s="25" cm="1">
        <f t="array" ref="V145">O145/$Q145</f>
        <v>17.9221455219196</v>
      </c>
      <c r="W145" s="2"/>
      <c r="X145" s="25" cm="1">
        <f t="array" ref="X145">S145-X$3-X$148</f>
        <v>47.9163432243852</v>
      </c>
      <c r="Y145" s="25" cm="1">
        <f t="array" ref="Y145">T145-Y$3-Y$148</f>
        <v>0.57541629880087</v>
      </c>
      <c r="Z145" s="25" cm="1">
        <f t="array" ref="Z145">U145-Z$3-Z$148</f>
        <v>3.5498763355904</v>
      </c>
      <c r="AA145" s="25" cm="1">
        <f t="array" ref="AA145">V145-AA$3-AA$148</f>
        <v>20.9135898794677</v>
      </c>
      <c r="AB145" s="2"/>
      <c r="AC145" s="32" cm="1">
        <f t="array" ref="AC145">X145</f>
        <v>47.9163432243852</v>
      </c>
      <c r="AD145" s="32" cm="1">
        <f t="array" ref="AD145">Y145</f>
        <v>0.57541629880087</v>
      </c>
      <c r="AE145" s="32" cm="1">
        <f t="array" ref="AE145">Z145</f>
        <v>3.5498763355904</v>
      </c>
      <c r="AF145" s="32" cm="1">
        <f t="array" ref="AF145">AA145</f>
        <v>20.9135898794677</v>
      </c>
    </row>
    <row r="146" ht="17" customHeight="1">
      <c r="A146" s="2"/>
      <c r="B146" t="s" s="24">
        <v>30</v>
      </c>
      <c r="C146" t="s" s="39">
        <v>205</v>
      </c>
      <c r="D146" s="28">
        <v>689.249010201601</v>
      </c>
      <c r="E146" s="29">
        <v>26.667969163683</v>
      </c>
      <c r="F146" s="30">
        <v>10.7901739947876</v>
      </c>
      <c r="G146" s="31">
        <v>87.4279295819572</v>
      </c>
      <c r="H146" s="2"/>
      <c r="I146" s="25">
        <v>4.7</v>
      </c>
      <c r="J146" s="25" cm="1">
        <f t="array" ref="J146">I146/1000</f>
        <v>0.0047</v>
      </c>
      <c r="K146" s="2"/>
      <c r="L146" s="25" cm="1">
        <f t="array" ref="L146">D146*$J146</f>
        <v>3.23947034794752</v>
      </c>
      <c r="M146" s="25" cm="1">
        <f t="array" ref="M146">E146*$J146</f>
        <v>0.12533945506931</v>
      </c>
      <c r="N146" s="25" cm="1">
        <f t="array" ref="N146">F146*$J146</f>
        <v>0.0507138177755017</v>
      </c>
      <c r="O146" s="25" cm="1">
        <f t="array" ref="O146">G146*$J146</f>
        <v>0.410911269035199</v>
      </c>
      <c r="P146" s="2"/>
      <c r="Q146" s="25">
        <v>0.0182000000000002</v>
      </c>
      <c r="R146" s="25">
        <v>1</v>
      </c>
      <c r="S146" s="25" cm="1">
        <f t="array" ref="S146">L146/$Q146</f>
        <v>177.992876260851</v>
      </c>
      <c r="T146" s="25" cm="1">
        <f t="array" ref="T146">M146/$Q146</f>
        <v>6.88678324556641</v>
      </c>
      <c r="U146" s="25" cm="1">
        <f t="array" ref="U146">N146/$Q146</f>
        <v>2.78647350414841</v>
      </c>
      <c r="V146" s="25" cm="1">
        <f t="array" ref="V146">O146/$Q146</f>
        <v>22.577542254681</v>
      </c>
      <c r="W146" s="2"/>
      <c r="X146" s="25" cm="1">
        <f t="array" ref="X146">S146-X$3-X$148</f>
        <v>172.886397832993</v>
      </c>
      <c r="Y146" s="25" cm="1">
        <f t="array" ref="Y146">T146-Y$3-Y$148</f>
        <v>3.59658013648849</v>
      </c>
      <c r="Z146" s="25" cm="1">
        <f t="array" ref="Z146">U146-Z$3-Z$148</f>
        <v>-1.56213978163123</v>
      </c>
      <c r="AA146" s="25" cm="1">
        <f t="array" ref="AA146">V146-AA$3-AA$148</f>
        <v>25.5689866122291</v>
      </c>
      <c r="AB146" s="2"/>
      <c r="AC146" s="32" cm="1">
        <f t="array" ref="AC146">X146</f>
        <v>172.886397832993</v>
      </c>
      <c r="AD146" s="32" cm="1">
        <f t="array" ref="AD146">Y146</f>
        <v>3.59658013648849</v>
      </c>
      <c r="AE146" s="32" cm="1">
        <f t="array" ref="AE146">Z146</f>
        <v>-1.56213978163123</v>
      </c>
      <c r="AF146" s="32" cm="1">
        <f t="array" ref="AF146">AA146</f>
        <v>25.5689866122291</v>
      </c>
    </row>
    <row r="147" ht="17" customHeight="1">
      <c r="A147" s="2"/>
      <c r="B147" t="s" s="24">
        <v>32</v>
      </c>
      <c r="C147" t="s" s="39">
        <v>206</v>
      </c>
      <c r="D147" s="28">
        <v>28.8333574700249</v>
      </c>
      <c r="E147" s="29">
        <v>14.0951959030636</v>
      </c>
      <c r="F147" s="33">
        <v>13.2857354554077</v>
      </c>
      <c r="G147" s="25">
        <v>-17.0991004177121</v>
      </c>
      <c r="H147" s="2"/>
      <c r="I147" s="25">
        <v>4.7</v>
      </c>
      <c r="J147" s="25" cm="1">
        <f t="array" ref="J147">I147/1000</f>
        <v>0.0047</v>
      </c>
      <c r="K147" s="2"/>
      <c r="L147" s="25" cm="1">
        <f t="array" ref="L147">D147*$J147</f>
        <v>0.135516780109117</v>
      </c>
      <c r="M147" s="25" cm="1">
        <f t="array" ref="M147">E147*$J147</f>
        <v>0.0662474207443989</v>
      </c>
      <c r="N147" s="25" cm="1">
        <f t="array" ref="N147">F147*$J147</f>
        <v>0.0624429566404162</v>
      </c>
      <c r="O147" s="25" cm="1">
        <f t="array" ref="O147">G147*$J147</f>
        <v>-0.0803657719632469</v>
      </c>
      <c r="P147" s="2"/>
      <c r="Q147" s="25">
        <v>0.0182000000000002</v>
      </c>
      <c r="R147" s="25">
        <v>1</v>
      </c>
      <c r="S147" s="25" cm="1">
        <f t="array" ref="S147">L147/$Q147</f>
        <v>7.44597692907228</v>
      </c>
      <c r="T147" s="25" cm="1">
        <f t="array" ref="T147">M147/$Q147</f>
        <v>3.63996817276913</v>
      </c>
      <c r="U147" s="25" cm="1">
        <f t="array" ref="U147">N147/$Q147</f>
        <v>3.43093168353931</v>
      </c>
      <c r="V147" s="25" cm="1">
        <f t="array" ref="V147">O147/$Q147</f>
        <v>-4.41570175622231</v>
      </c>
      <c r="W147" s="2"/>
      <c r="X147" s="2"/>
      <c r="Y147" s="2"/>
      <c r="Z147" s="2"/>
      <c r="AA147" s="2"/>
      <c r="AB147" s="2"/>
      <c r="AC147" s="26"/>
      <c r="AD147" s="26"/>
      <c r="AE147" s="26"/>
      <c r="AF147" s="26"/>
    </row>
    <row r="148" ht="17" customHeight="1">
      <c r="A148" s="2"/>
      <c r="B148" t="s" s="24">
        <v>34</v>
      </c>
      <c r="C148" t="s" s="39">
        <v>207</v>
      </c>
      <c r="D148" s="28">
        <v>14.5280656371525</v>
      </c>
      <c r="E148" s="29">
        <v>6.46902310302584</v>
      </c>
      <c r="F148" s="30">
        <v>7.00350279088037</v>
      </c>
      <c r="G148" s="31">
        <v>-8.763357978577339</v>
      </c>
      <c r="H148" s="2"/>
      <c r="I148" s="25">
        <v>4.7</v>
      </c>
      <c r="J148" s="25" cm="1">
        <f t="array" ref="J148">I148/1000</f>
        <v>0.0047</v>
      </c>
      <c r="K148" s="2"/>
      <c r="L148" s="25" cm="1">
        <f t="array" ref="L148">D148*$J148</f>
        <v>0.06828190849461679</v>
      </c>
      <c r="M148" s="25" cm="1">
        <f t="array" ref="M148">E148*$J148</f>
        <v>0.0304044085842214</v>
      </c>
      <c r="N148" s="25" cm="1">
        <f t="array" ref="N148">F148*$J148</f>
        <v>0.0329164631171377</v>
      </c>
      <c r="O148" s="25" cm="1">
        <f t="array" ref="O148">G148*$J148</f>
        <v>-0.0411877824993135</v>
      </c>
      <c r="P148" s="2"/>
      <c r="Q148" s="25">
        <v>0.0176999999999996</v>
      </c>
      <c r="R148" s="25">
        <v>1</v>
      </c>
      <c r="S148" s="25" cm="1">
        <f t="array" ref="S148">L148/$Q148</f>
        <v>3.85773494319878</v>
      </c>
      <c r="T148" s="25" cm="1">
        <f t="array" ref="T148">M148/$Q148</f>
        <v>1.71776319684871</v>
      </c>
      <c r="U148" s="25" cm="1">
        <f t="array" ref="U148">N148/$Q148</f>
        <v>1.85968718175923</v>
      </c>
      <c r="V148" s="25" cm="1">
        <f t="array" ref="V148">O148/$Q148</f>
        <v>-2.32699336154319</v>
      </c>
      <c r="W148" s="2"/>
      <c r="X148" s="25" cm="1">
        <f t="array" ref="X148">AVERAGE(S147:S149)</f>
        <v>5.10647842785757</v>
      </c>
      <c r="Y148" s="25" cm="1">
        <f t="array" ref="Y148">AVERAGE(T147:T149)</f>
        <v>3.29020310907792</v>
      </c>
      <c r="Z148" s="25" cm="1">
        <f t="array" ref="Z148">AVERAGE(U147:U149)</f>
        <v>4.34861328577964</v>
      </c>
      <c r="AA148" s="25" cm="1">
        <f t="array" ref="AA148">AVERAGE(V147:V149)</f>
        <v>-2.99144435754809</v>
      </c>
      <c r="AB148" s="2"/>
      <c r="AC148" s="26"/>
      <c r="AD148" s="26"/>
      <c r="AE148" s="26"/>
      <c r="AF148" s="26"/>
    </row>
    <row r="149" ht="17" customHeight="1">
      <c r="A149" s="2"/>
      <c r="B149" t="s" s="24">
        <v>36</v>
      </c>
      <c r="C149" t="s" s="39">
        <v>208</v>
      </c>
      <c r="D149" s="28">
        <v>15.2939253324049</v>
      </c>
      <c r="E149" s="29">
        <v>17.1873437109211</v>
      </c>
      <c r="F149" s="33">
        <v>29.5358416505382</v>
      </c>
      <c r="G149" s="25">
        <v>-8.49921689198553</v>
      </c>
      <c r="H149" s="2"/>
      <c r="I149" s="25">
        <v>4.7</v>
      </c>
      <c r="J149" s="25" cm="1">
        <f t="array" ref="J149">I149/1000</f>
        <v>0.0047</v>
      </c>
      <c r="K149" s="2"/>
      <c r="L149" s="25" cm="1">
        <f t="array" ref="L149">D149*$J149</f>
        <v>0.071881449062303</v>
      </c>
      <c r="M149" s="25" cm="1">
        <f t="array" ref="M149">E149*$J149</f>
        <v>0.08078051544132921</v>
      </c>
      <c r="N149" s="25" cm="1">
        <f t="array" ref="N149">F149*$J149</f>
        <v>0.13881845575753</v>
      </c>
      <c r="O149" s="25" cm="1">
        <f t="array" ref="O149">G149*$J149</f>
        <v>-0.039946319392332</v>
      </c>
      <c r="P149" s="2"/>
      <c r="Q149" s="25">
        <v>0.0179000000000009</v>
      </c>
      <c r="R149" s="25">
        <v>1</v>
      </c>
      <c r="S149" s="25" cm="1">
        <f t="array" ref="S149">L149/$Q149</f>
        <v>4.01572341130164</v>
      </c>
      <c r="T149" s="25" cm="1">
        <f t="array" ref="T149">M149/$Q149</f>
        <v>4.51287795761593</v>
      </c>
      <c r="U149" s="25" cm="1">
        <f t="array" ref="U149">N149/$Q149</f>
        <v>7.75522099204039</v>
      </c>
      <c r="V149" s="25" cm="1">
        <f t="array" ref="V149">O149/$Q149</f>
        <v>-2.23163795487877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7" customHeight="1">
      <c r="A150" s="2"/>
      <c r="B150" t="s" s="24">
        <v>38</v>
      </c>
      <c r="C150" t="s" s="39">
        <v>209</v>
      </c>
      <c r="D150" s="28">
        <v>331.815540943486</v>
      </c>
      <c r="E150" s="29">
        <v>175.803098627715</v>
      </c>
      <c r="F150" s="30">
        <v>583.477791435732</v>
      </c>
      <c r="G150" s="31">
        <v>-5.17579837652748</v>
      </c>
      <c r="H150" s="2"/>
      <c r="I150" s="25">
        <v>4.7</v>
      </c>
      <c r="J150" s="25" cm="1">
        <f t="array" ref="J150">I150/1000</f>
        <v>0.0047</v>
      </c>
      <c r="K150" s="2"/>
      <c r="L150" s="25" cm="1">
        <f t="array" ref="L150">D150*$J150</f>
        <v>1.55953304243438</v>
      </c>
      <c r="M150" s="25" cm="1">
        <f t="array" ref="M150">E150*$J150</f>
        <v>0.826274563550261</v>
      </c>
      <c r="N150" s="25" cm="1">
        <f t="array" ref="N150">F150*$J150</f>
        <v>2.74234561974794</v>
      </c>
      <c r="O150" s="25" cm="1">
        <f t="array" ref="O150">G150*$J150</f>
        <v>-0.0243262523696792</v>
      </c>
      <c r="P150" s="2"/>
      <c r="Q150" s="25">
        <v>0.0178000000000011</v>
      </c>
      <c r="R150" s="25">
        <v>1</v>
      </c>
      <c r="S150" s="25" cm="1">
        <f t="array" ref="S150">L150/$Q150</f>
        <v>87.6142158670946</v>
      </c>
      <c r="T150" s="25" cm="1">
        <f t="array" ref="T150">M150/$Q150</f>
        <v>46.4199193005736</v>
      </c>
      <c r="U150" s="25" cm="1">
        <f t="array" ref="U150">N150/$Q150</f>
        <v>154.064360659987</v>
      </c>
      <c r="V150" s="25" cm="1">
        <f t="array" ref="V150">O150/$Q150</f>
        <v>-1.36664339155493</v>
      </c>
      <c r="W150" s="2"/>
      <c r="X150" s="25" cm="1">
        <f t="array" ref="X150">S150-X$3-X$157</f>
        <v>82.09469574865891</v>
      </c>
      <c r="Y150" s="25" cm="1">
        <f t="array" ref="Y150">T150-Y$3-Y$157</f>
        <v>43.4579703797193</v>
      </c>
      <c r="Z150" s="25" cm="1">
        <f t="array" ref="Z150">U150-Z$3-Z$157</f>
        <v>150.914255361759</v>
      </c>
      <c r="AA150" s="25" cm="1">
        <f t="array" ref="AA150">V150-AA$3-AA$157</f>
        <v>0.84213253039171</v>
      </c>
      <c r="AB150" s="2"/>
      <c r="AC150" s="32" cm="1">
        <f t="array" ref="AC150">X150</f>
        <v>82.09469574865891</v>
      </c>
      <c r="AD150" s="32" cm="1">
        <f t="array" ref="AD150">Y150</f>
        <v>43.4579703797193</v>
      </c>
      <c r="AE150" s="32" cm="1">
        <f t="array" ref="AE150">Z150</f>
        <v>150.914255361759</v>
      </c>
      <c r="AF150" s="32" cm="1">
        <f t="array" ref="AF150">AA150</f>
        <v>0.84213253039171</v>
      </c>
    </row>
    <row r="151" ht="17" customHeight="1">
      <c r="A151" s="2"/>
      <c r="B151" t="s" s="24">
        <v>40</v>
      </c>
      <c r="C151" t="s" s="39">
        <v>210</v>
      </c>
      <c r="D151" s="28">
        <v>524.100145298179</v>
      </c>
      <c r="E151" s="29">
        <v>204.700485193952</v>
      </c>
      <c r="F151" s="33">
        <v>870.734085696241</v>
      </c>
      <c r="G151" s="25">
        <v>-1.95185914051438</v>
      </c>
      <c r="H151" s="2"/>
      <c r="I151" s="25">
        <v>4.7</v>
      </c>
      <c r="J151" s="25" cm="1">
        <f t="array" ref="J151">I151/1000</f>
        <v>0.0047</v>
      </c>
      <c r="K151" s="2"/>
      <c r="L151" s="25" cm="1">
        <f t="array" ref="L151">D151*$J151</f>
        <v>2.46327068290144</v>
      </c>
      <c r="M151" s="25" cm="1">
        <f t="array" ref="M151">E151*$J151</f>
        <v>0.962092280411574</v>
      </c>
      <c r="N151" s="25" cm="1">
        <f t="array" ref="N151">F151*$J151</f>
        <v>4.09245020277233</v>
      </c>
      <c r="O151" s="25" cm="1">
        <f t="array" ref="O151">G151*$J151</f>
        <v>-0.00917373796041759</v>
      </c>
      <c r="P151" s="2"/>
      <c r="Q151" s="25">
        <v>0.0178000000000011</v>
      </c>
      <c r="R151" s="25">
        <v>1</v>
      </c>
      <c r="S151" s="25" cm="1">
        <f t="array" ref="S151">L151/$Q151</f>
        <v>138.385993421421</v>
      </c>
      <c r="T151" s="25" cm="1">
        <f t="array" ref="T151">M151/$Q151</f>
        <v>54.0501281130064</v>
      </c>
      <c r="U151" s="25" cm="1">
        <f t="array" ref="U151">N151/$Q151</f>
        <v>229.912932740004</v>
      </c>
      <c r="V151" s="25" cm="1">
        <f t="array" ref="V151">O151/$Q151</f>
        <v>-0.51537853710208</v>
      </c>
      <c r="W151" s="2"/>
      <c r="X151" s="25" cm="1">
        <f t="array" ref="X151">S151-X$3-X$157</f>
        <v>132.866473302985</v>
      </c>
      <c r="Y151" s="25" cm="1">
        <f t="array" ref="Y151">T151-Y$3-Y$157</f>
        <v>51.0881791921521</v>
      </c>
      <c r="Z151" s="25" cm="1">
        <f t="array" ref="Z151">U151-Z$3-Z$157</f>
        <v>226.762827441776</v>
      </c>
      <c r="AA151" s="25" cm="1">
        <f t="array" ref="AA151">V151-AA$3-AA$157</f>
        <v>1.69339738484456</v>
      </c>
      <c r="AB151" s="2"/>
      <c r="AC151" s="32" cm="1">
        <f t="array" ref="AC151">X151</f>
        <v>132.866473302985</v>
      </c>
      <c r="AD151" s="32" cm="1">
        <f t="array" ref="AD151">Y151</f>
        <v>51.0881791921521</v>
      </c>
      <c r="AE151" s="32" cm="1">
        <f t="array" ref="AE151">Z151</f>
        <v>226.762827441776</v>
      </c>
      <c r="AF151" s="32" cm="1">
        <f t="array" ref="AF151">AA151</f>
        <v>1.69339738484456</v>
      </c>
    </row>
    <row r="152" ht="17" customHeight="1">
      <c r="A152" s="2"/>
      <c r="B152" t="s" s="24">
        <v>42</v>
      </c>
      <c r="C152" t="s" s="39">
        <v>211</v>
      </c>
      <c r="D152" s="28">
        <v>950.773699273693</v>
      </c>
      <c r="E152" s="29">
        <v>657.230238569987</v>
      </c>
      <c r="F152" s="29">
        <v>1576.040182022180</v>
      </c>
      <c r="G152" s="37">
        <v>-5.27947163866974</v>
      </c>
      <c r="H152" s="2"/>
      <c r="I152" s="25">
        <v>4.7</v>
      </c>
      <c r="J152" s="25" cm="1">
        <f t="array" ref="J152">I152/1000</f>
        <v>0.0047</v>
      </c>
      <c r="K152" s="2"/>
      <c r="L152" s="25" cm="1">
        <f t="array" ref="L152">D152*$J152</f>
        <v>4.46863638658636</v>
      </c>
      <c r="M152" s="25" cm="1">
        <f t="array" ref="M152">E152*$J152</f>
        <v>3.08898212127894</v>
      </c>
      <c r="N152" s="25" cm="1">
        <f t="array" ref="N152">F152*$J152</f>
        <v>7.40738885550425</v>
      </c>
      <c r="O152" s="25" cm="1">
        <f t="array" ref="O152">G152*$J152</f>
        <v>-0.0248135167017478</v>
      </c>
      <c r="P152" s="2"/>
      <c r="Q152" s="25">
        <v>0.0175000000000001</v>
      </c>
      <c r="R152" s="25">
        <v>1</v>
      </c>
      <c r="S152" s="25" cm="1">
        <f t="array" ref="S152">L152/$Q152</f>
        <v>255.350650662076</v>
      </c>
      <c r="T152" s="25" cm="1">
        <f t="array" ref="T152">M152/$Q152</f>
        <v>176.513264073081</v>
      </c>
      <c r="U152" s="25" cm="1">
        <f t="array" ref="U152">N152/$Q152</f>
        <v>423.279363171669</v>
      </c>
      <c r="V152" s="25" cm="1">
        <f t="array" ref="V152">O152/$Q152</f>
        <v>-1.41791524009987</v>
      </c>
      <c r="W152" s="2"/>
      <c r="X152" s="25" cm="1">
        <f t="array" ref="X152">S152-X$3-X$157</f>
        <v>249.831130543640</v>
      </c>
      <c r="Y152" s="25" cm="1">
        <f t="array" ref="Y152">T152-Y$3-Y$157</f>
        <v>173.551315152227</v>
      </c>
      <c r="Z152" s="25" cm="1">
        <f t="array" ref="Z152">U152-Z$3-Z$157</f>
        <v>420.129257873441</v>
      </c>
      <c r="AA152" s="25" cm="1">
        <f t="array" ref="AA152">V152-AA$3-AA$157</f>
        <v>0.7908606818467701</v>
      </c>
      <c r="AB152" s="2"/>
      <c r="AC152" s="32" cm="1">
        <f t="array" ref="AC152">X152</f>
        <v>249.831130543640</v>
      </c>
      <c r="AD152" s="32" cm="1">
        <f t="array" ref="AD152">Y152</f>
        <v>173.551315152227</v>
      </c>
      <c r="AE152" s="32" cm="1">
        <f t="array" ref="AE152">Z152</f>
        <v>420.129257873441</v>
      </c>
      <c r="AF152" s="32" cm="1">
        <f t="array" ref="AF152">AA152</f>
        <v>0.7908606818467701</v>
      </c>
    </row>
    <row r="153" ht="17" customHeight="1">
      <c r="A153" s="2"/>
      <c r="B153" t="s" s="24">
        <v>44</v>
      </c>
      <c r="C153" t="s" s="39">
        <v>212</v>
      </c>
      <c r="D153" s="28">
        <v>1191.039854788990</v>
      </c>
      <c r="E153" s="29">
        <v>30.7887061203164</v>
      </c>
      <c r="F153" s="33">
        <v>10.0409563122282</v>
      </c>
      <c r="G153" s="25">
        <v>173.205529942910</v>
      </c>
      <c r="H153" s="2"/>
      <c r="I153" s="25">
        <v>4.7</v>
      </c>
      <c r="J153" s="25" cm="1">
        <f t="array" ref="J153">I153/1000</f>
        <v>0.0047</v>
      </c>
      <c r="K153" s="2"/>
      <c r="L153" s="25" cm="1">
        <f t="array" ref="L153">D153*$J153</f>
        <v>5.59788731750825</v>
      </c>
      <c r="M153" s="25" cm="1">
        <f t="array" ref="M153">E153*$J153</f>
        <v>0.144706918765487</v>
      </c>
      <c r="N153" s="25" cm="1">
        <f t="array" ref="N153">F153*$J153</f>
        <v>0.0471924946674725</v>
      </c>
      <c r="O153" s="25" cm="1">
        <f t="array" ref="O153">G153*$J153</f>
        <v>0.814065990731677</v>
      </c>
      <c r="P153" s="2"/>
      <c r="Q153" s="25">
        <v>0.0180000000000007</v>
      </c>
      <c r="R153" s="25">
        <v>1</v>
      </c>
      <c r="S153" s="25" cm="1">
        <f t="array" ref="S153">L153/$Q153</f>
        <v>310.993739861557</v>
      </c>
      <c r="T153" s="25" cm="1">
        <f t="array" ref="T153">M153/$Q153</f>
        <v>8.039273264748971</v>
      </c>
      <c r="U153" s="25" cm="1">
        <f t="array" ref="U153">N153/$Q153</f>
        <v>2.62180525930393</v>
      </c>
      <c r="V153" s="25" cm="1">
        <f t="array" ref="V153">O153/$Q153</f>
        <v>45.2258883739803</v>
      </c>
      <c r="W153" s="2"/>
      <c r="X153" s="25" cm="1">
        <f t="array" ref="X153">S153-X$3-X$157</f>
        <v>305.474219743121</v>
      </c>
      <c r="Y153" s="25" cm="1">
        <f t="array" ref="Y153">T153-Y$3-Y$157</f>
        <v>5.07732434389462</v>
      </c>
      <c r="Z153" s="25" cm="1">
        <f t="array" ref="Z153">U153-Z$3-Z$157</f>
        <v>-0.52830003892433</v>
      </c>
      <c r="AA153" s="25" cm="1">
        <f t="array" ref="AA153">V153-AA$3-AA$157</f>
        <v>47.4346642959269</v>
      </c>
      <c r="AB153" s="2"/>
      <c r="AC153" s="32" cm="1">
        <f t="array" ref="AC153">X153</f>
        <v>305.474219743121</v>
      </c>
      <c r="AD153" s="32" cm="1">
        <f t="array" ref="AD153">Y153</f>
        <v>5.07732434389462</v>
      </c>
      <c r="AE153" s="32" cm="1">
        <f t="array" ref="AE153">Z153</f>
        <v>-0.52830003892433</v>
      </c>
      <c r="AF153" s="32" cm="1">
        <f t="array" ref="AF153">AA153</f>
        <v>47.4346642959269</v>
      </c>
    </row>
    <row r="154" ht="17" customHeight="1">
      <c r="A154" s="2"/>
      <c r="B154" t="s" s="24">
        <v>46</v>
      </c>
      <c r="C154" t="s" s="39">
        <v>213</v>
      </c>
      <c r="D154" s="28">
        <v>4209.339376106250</v>
      </c>
      <c r="E154" s="29">
        <v>58.2864558839615</v>
      </c>
      <c r="F154" s="30">
        <v>32.9670297612392</v>
      </c>
      <c r="G154" s="31">
        <v>517.909105604347</v>
      </c>
      <c r="H154" s="2"/>
      <c r="I154" s="25">
        <v>4.7</v>
      </c>
      <c r="J154" s="25" cm="1">
        <f t="array" ref="J154">I154/1000</f>
        <v>0.0047</v>
      </c>
      <c r="K154" s="2"/>
      <c r="L154" s="25" cm="1">
        <f t="array" ref="L154">D154*$J154</f>
        <v>19.7838950676994</v>
      </c>
      <c r="M154" s="25" cm="1">
        <f t="array" ref="M154">E154*$J154</f>
        <v>0.273946342654619</v>
      </c>
      <c r="N154" s="25" cm="1">
        <f t="array" ref="N154">F154*$J154</f>
        <v>0.154945039877824</v>
      </c>
      <c r="O154" s="25" cm="1">
        <f t="array" ref="O154">G154*$J154</f>
        <v>2.43417279634043</v>
      </c>
      <c r="P154" s="2"/>
      <c r="Q154" s="25">
        <v>0.0178999999999991</v>
      </c>
      <c r="R154" s="25">
        <v>1</v>
      </c>
      <c r="S154" s="25" cm="1">
        <f t="array" ref="S154">L154/$Q154</f>
        <v>1105.2455345084</v>
      </c>
      <c r="T154" s="25" cm="1">
        <f t="array" ref="T154">M154/$Q154</f>
        <v>15.3042649527728</v>
      </c>
      <c r="U154" s="25" cm="1">
        <f t="array" ref="U154">N154/$Q154</f>
        <v>8.65614747920848</v>
      </c>
      <c r="V154" s="25" cm="1">
        <f t="array" ref="V154">O154/$Q154</f>
        <v>135.987307058131</v>
      </c>
      <c r="W154" s="2"/>
      <c r="X154" s="25" cm="1">
        <f t="array" ref="X154">S154-X$3-X$157</f>
        <v>1099.726014389960</v>
      </c>
      <c r="Y154" s="25" cm="1">
        <f t="array" ref="Y154">T154-Y$3-Y$157</f>
        <v>12.3423160319185</v>
      </c>
      <c r="Z154" s="25" cm="1">
        <f t="array" ref="Z154">U154-Z$3-Z$157</f>
        <v>5.50604218098022</v>
      </c>
      <c r="AA154" s="25" cm="1">
        <f t="array" ref="AA154">V154-AA$3-AA$157</f>
        <v>138.196082980078</v>
      </c>
      <c r="AB154" s="2"/>
      <c r="AC154" s="32" cm="1">
        <f t="array" ref="AC154">X154</f>
        <v>1099.726014389960</v>
      </c>
      <c r="AD154" s="32" cm="1">
        <f t="array" ref="AD154">Y154</f>
        <v>12.3423160319185</v>
      </c>
      <c r="AE154" s="32" cm="1">
        <f t="array" ref="AE154">Z154</f>
        <v>5.50604218098022</v>
      </c>
      <c r="AF154" s="32" cm="1">
        <f t="array" ref="AF154">AA154</f>
        <v>138.196082980078</v>
      </c>
    </row>
    <row r="155" ht="17" customHeight="1">
      <c r="A155" s="2"/>
      <c r="B155" t="s" s="24">
        <v>48</v>
      </c>
      <c r="C155" t="s" s="39">
        <v>214</v>
      </c>
      <c r="D155" s="28">
        <v>509.699552240633</v>
      </c>
      <c r="E155" s="29">
        <v>23.0957571796332</v>
      </c>
      <c r="F155" s="33">
        <v>31.104940728411</v>
      </c>
      <c r="G155" s="25">
        <v>51.9114294798486</v>
      </c>
      <c r="H155" s="2"/>
      <c r="I155" s="25">
        <v>4.7</v>
      </c>
      <c r="J155" s="25" cm="1">
        <f t="array" ref="J155">I155/1000</f>
        <v>0.0047</v>
      </c>
      <c r="K155" s="2"/>
      <c r="L155" s="25" cm="1">
        <f t="array" ref="L155">D155*$J155</f>
        <v>2.39558789553098</v>
      </c>
      <c r="M155" s="25" cm="1">
        <f t="array" ref="M155">E155*$J155</f>
        <v>0.108550058744276</v>
      </c>
      <c r="N155" s="25" cm="1">
        <f t="array" ref="N155">F155*$J155</f>
        <v>0.146193221423532</v>
      </c>
      <c r="O155" s="25" cm="1">
        <f t="array" ref="O155">G155*$J155</f>
        <v>0.243983718555288</v>
      </c>
      <c r="P155" s="2"/>
      <c r="Q155" s="25">
        <v>0.0174000000000003</v>
      </c>
      <c r="R155" s="25">
        <v>1</v>
      </c>
      <c r="S155" s="25" cm="1">
        <f t="array" ref="S155">L155/$Q155</f>
        <v>137.677465260399</v>
      </c>
      <c r="T155" s="25" cm="1">
        <f t="array" ref="T155">M155/$Q155</f>
        <v>6.23850912323415</v>
      </c>
      <c r="U155" s="25" cm="1">
        <f t="array" ref="U155">N155/$Q155</f>
        <v>8.40190927721434</v>
      </c>
      <c r="V155" s="25" cm="1">
        <f t="array" ref="V155">O155/$Q155</f>
        <v>14.0220527905336</v>
      </c>
      <c r="W155" s="2"/>
      <c r="X155" s="25" cm="1">
        <f t="array" ref="X155">S155-X$3-X$157</f>
        <v>132.157945141963</v>
      </c>
      <c r="Y155" s="25" cm="1">
        <f t="array" ref="Y155">T155-Y$3-Y$157</f>
        <v>3.2765602023798</v>
      </c>
      <c r="Z155" s="25" cm="1">
        <f t="array" ref="Z155">U155-Z$3-Z$157</f>
        <v>5.25180397898608</v>
      </c>
      <c r="AA155" s="25" cm="1">
        <f t="array" ref="AA155">V155-AA$3-AA$157</f>
        <v>16.2308287124802</v>
      </c>
      <c r="AB155" s="2"/>
      <c r="AC155" s="32" cm="1">
        <f t="array" ref="AC155">X155</f>
        <v>132.157945141963</v>
      </c>
      <c r="AD155" s="32" cm="1">
        <f t="array" ref="AD155">Y155</f>
        <v>3.2765602023798</v>
      </c>
      <c r="AE155" s="32" cm="1">
        <f t="array" ref="AE155">Z155</f>
        <v>5.25180397898608</v>
      </c>
      <c r="AF155" s="32" cm="1">
        <f t="array" ref="AF155">AA155</f>
        <v>16.2308287124802</v>
      </c>
    </row>
    <row r="156" ht="17" customHeight="1">
      <c r="A156" s="2"/>
      <c r="B156" t="s" s="24">
        <v>50</v>
      </c>
      <c r="C156" t="s" s="39">
        <v>215</v>
      </c>
      <c r="D156" s="28">
        <v>18.4791684067489</v>
      </c>
      <c r="E156" s="29">
        <v>13.1013155318566</v>
      </c>
      <c r="F156" s="30">
        <v>9.21437986158419</v>
      </c>
      <c r="G156" s="31">
        <v>-8.67922169516093</v>
      </c>
      <c r="H156" s="2"/>
      <c r="I156" s="25">
        <v>4.7</v>
      </c>
      <c r="J156" s="25" cm="1">
        <f t="array" ref="J156">I156/1000</f>
        <v>0.0047</v>
      </c>
      <c r="K156" s="2"/>
      <c r="L156" s="25" cm="1">
        <f t="array" ref="L156">D156*$J156</f>
        <v>0.0868520915117198</v>
      </c>
      <c r="M156" s="25" cm="1">
        <f t="array" ref="M156">E156*$J156</f>
        <v>0.061576182999726</v>
      </c>
      <c r="N156" s="25" cm="1">
        <f t="array" ref="N156">F156*$J156</f>
        <v>0.0433075853494457</v>
      </c>
      <c r="O156" s="25" cm="1">
        <f t="array" ref="O156">G156*$J156</f>
        <v>-0.0407923419672564</v>
      </c>
      <c r="P156" s="2"/>
      <c r="Q156" s="25">
        <v>0.0182000000000002</v>
      </c>
      <c r="R156" s="25">
        <v>1</v>
      </c>
      <c r="S156" s="25" cm="1">
        <f t="array" ref="S156">L156/$Q156</f>
        <v>4.77209294020433</v>
      </c>
      <c r="T156" s="25" cm="1">
        <f t="array" ref="T156">M156/$Q156</f>
        <v>3.38330675822667</v>
      </c>
      <c r="U156" s="25" cm="1">
        <f t="array" ref="U156">N156/$Q156</f>
        <v>2.37953765656292</v>
      </c>
      <c r="V156" s="25" cm="1">
        <f t="array" ref="V156">O156/$Q156</f>
        <v>-2.24133747072835</v>
      </c>
      <c r="W156" s="2"/>
      <c r="X156" s="2"/>
      <c r="Y156" s="2"/>
      <c r="Z156" s="2"/>
      <c r="AA156" s="2"/>
      <c r="AB156" s="2"/>
      <c r="AC156" s="26"/>
      <c r="AD156" s="26"/>
      <c r="AE156" s="26"/>
      <c r="AF156" s="26"/>
    </row>
    <row r="157" ht="17" customHeight="1">
      <c r="A157" s="2"/>
      <c r="B157" t="s" s="24">
        <v>52</v>
      </c>
      <c r="C157" t="s" s="39">
        <v>216</v>
      </c>
      <c r="D157" s="28">
        <v>18.6201239118382</v>
      </c>
      <c r="E157" s="29">
        <v>10.8945469666495</v>
      </c>
      <c r="F157" s="33">
        <v>9.41346869594434</v>
      </c>
      <c r="G157" s="25">
        <v>-8.63903384141206</v>
      </c>
      <c r="H157" s="2"/>
      <c r="I157" s="25">
        <v>4.7</v>
      </c>
      <c r="J157" s="25" cm="1">
        <f t="array" ref="J157">I157/1000</f>
        <v>0.0047</v>
      </c>
      <c r="K157" s="2"/>
      <c r="L157" s="25" cm="1">
        <f t="array" ref="L157">D157*$J157</f>
        <v>0.0875145823856395</v>
      </c>
      <c r="M157" s="25" cm="1">
        <f t="array" ref="M157">E157*$J157</f>
        <v>0.0512043707432527</v>
      </c>
      <c r="N157" s="25" cm="1">
        <f t="array" ref="N157">F157*$J157</f>
        <v>0.0442433028709384</v>
      </c>
      <c r="O157" s="25" cm="1">
        <f t="array" ref="O157">G157*$J157</f>
        <v>-0.0406034590546367</v>
      </c>
      <c r="P157" s="2"/>
      <c r="Q157" s="25">
        <v>0.0180000000000007</v>
      </c>
      <c r="R157" s="25">
        <v>1</v>
      </c>
      <c r="S157" s="25" cm="1">
        <f t="array" ref="S157">L157/$Q157</f>
        <v>4.86192124364645</v>
      </c>
      <c r="T157" s="25" cm="1">
        <f t="array" ref="T157">M157/$Q157</f>
        <v>2.84468726351393</v>
      </c>
      <c r="U157" s="25" cm="1">
        <f t="array" ref="U157">N157/$Q157</f>
        <v>2.45796127060759</v>
      </c>
      <c r="V157" s="25" cm="1">
        <f t="array" ref="V157">O157/$Q157</f>
        <v>-2.25574772525751</v>
      </c>
      <c r="W157" s="2"/>
      <c r="X157" s="25" cm="1">
        <f t="array" ref="X157">AVERAGE(S156:S158)</f>
        <v>5.51952011843571</v>
      </c>
      <c r="Y157" s="25" cm="1">
        <f t="array" ref="Y157">AVERAGE(T156:T158)</f>
        <v>2.96194892085435</v>
      </c>
      <c r="Z157" s="25" cm="1">
        <f t="array" ref="Z157">AVERAGE(U156:U158)</f>
        <v>3.15010529822826</v>
      </c>
      <c r="AA157" s="25" cm="1">
        <f t="array" ref="AA157">AVERAGE(V156:V158)</f>
        <v>-2.20877592194664</v>
      </c>
      <c r="AB157" s="2"/>
      <c r="AC157" s="26"/>
      <c r="AD157" s="26"/>
      <c r="AE157" s="26"/>
      <c r="AF157" s="26"/>
    </row>
    <row r="158" ht="17" customHeight="1">
      <c r="A158" s="2"/>
      <c r="B158" t="s" s="24">
        <v>54</v>
      </c>
      <c r="C158" t="s" s="39">
        <v>217</v>
      </c>
      <c r="D158" s="28">
        <v>27.4035231466135</v>
      </c>
      <c r="E158" s="29">
        <v>10.5183108466587</v>
      </c>
      <c r="F158" s="30">
        <v>18.2549777863324</v>
      </c>
      <c r="G158" s="31">
        <v>-8.42636421261369</v>
      </c>
      <c r="H158" s="2"/>
      <c r="I158" s="25">
        <v>4.7</v>
      </c>
      <c r="J158" s="25" cm="1">
        <f t="array" ref="J158">I158/1000</f>
        <v>0.0047</v>
      </c>
      <c r="K158" s="2"/>
      <c r="L158" s="25" cm="1">
        <f t="array" ref="L158">D158*$J158</f>
        <v>0.128796558789083</v>
      </c>
      <c r="M158" s="25" cm="1">
        <f t="array" ref="M158">E158*$J158</f>
        <v>0.0494360609792959</v>
      </c>
      <c r="N158" s="25" cm="1">
        <f t="array" ref="N158">F158*$J158</f>
        <v>0.0857983955957623</v>
      </c>
      <c r="O158" s="25" cm="1">
        <f t="array" ref="O158">G158*$J158</f>
        <v>-0.0396039117992843</v>
      </c>
      <c r="P158" s="2"/>
      <c r="Q158" s="25">
        <v>0.0185999999999993</v>
      </c>
      <c r="R158" s="25">
        <v>1</v>
      </c>
      <c r="S158" s="25" cm="1">
        <f t="array" ref="S158">L158/$Q158</f>
        <v>6.92454617145634</v>
      </c>
      <c r="T158" s="25" cm="1">
        <f t="array" ref="T158">M158/$Q158</f>
        <v>2.65785274082246</v>
      </c>
      <c r="U158" s="25" cm="1">
        <f t="array" ref="U158">N158/$Q158</f>
        <v>4.61281696751428</v>
      </c>
      <c r="V158" s="25" cm="1">
        <f t="array" ref="V158">O158/$Q158</f>
        <v>-2.12924256985407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7" customHeight="1">
      <c r="A159" s="2"/>
      <c r="B159" t="s" s="24">
        <v>56</v>
      </c>
      <c r="C159" t="s" s="39">
        <v>218</v>
      </c>
      <c r="D159" s="28">
        <v>14258.7491069623</v>
      </c>
      <c r="E159" s="29">
        <v>81305.0064040413</v>
      </c>
      <c r="F159" s="33">
        <v>30400.656091747</v>
      </c>
      <c r="G159" s="25">
        <v>26.0550880504886</v>
      </c>
      <c r="H159" s="2"/>
      <c r="I159" s="25">
        <v>4.7</v>
      </c>
      <c r="J159" s="25" cm="1">
        <f t="array" ref="J159">I159/1000</f>
        <v>0.0047</v>
      </c>
      <c r="K159" s="2"/>
      <c r="L159" s="25" cm="1">
        <f t="array" ref="L159">D159*$J159</f>
        <v>67.0161208027228</v>
      </c>
      <c r="M159" s="25" cm="1">
        <f t="array" ref="M159">E159*$J159</f>
        <v>382.133530098994</v>
      </c>
      <c r="N159" s="25" cm="1">
        <f t="array" ref="N159">F159*$J159</f>
        <v>142.883083631211</v>
      </c>
      <c r="O159" s="25" cm="1">
        <f t="array" ref="O159">G159*$J159</f>
        <v>0.122458913837296</v>
      </c>
      <c r="P159" s="2"/>
      <c r="Q159" s="25">
        <v>0.0189000000000004</v>
      </c>
      <c r="R159" s="25">
        <v>1</v>
      </c>
      <c r="S159" s="25" cm="1">
        <f t="array" ref="S159">L159/$Q159</f>
        <v>3545.826497498490</v>
      </c>
      <c r="T159" s="25" cm="1">
        <f t="array" ref="T159">M159/$Q159</f>
        <v>20218.7052962426</v>
      </c>
      <c r="U159" s="25" cm="1">
        <f t="array" ref="U159">N159/$Q159</f>
        <v>7559.951514878730</v>
      </c>
      <c r="V159" s="25" cm="1">
        <f t="array" ref="V159">O159/$Q159</f>
        <v>6.4793076104388</v>
      </c>
      <c r="W159" s="2"/>
      <c r="X159" s="25" cm="1">
        <f t="array" ref="X159">S159-X$3-X$166</f>
        <v>3533.896723627210</v>
      </c>
      <c r="Y159" s="25" cm="1">
        <f t="array" ref="Y159">T159-Y$3-Y$166</f>
        <v>20213.7690430845</v>
      </c>
      <c r="Z159" s="25" cm="1">
        <f t="array" ref="Z159">U159-Z$3-Z$166</f>
        <v>7556.919756170060</v>
      </c>
      <c r="AA159" s="25" cm="1">
        <f t="array" ref="AA159">V159-AA$3-AA$166</f>
        <v>8.66077861163093</v>
      </c>
      <c r="AB159" s="2"/>
      <c r="AC159" s="32" cm="1">
        <f t="array" ref="AC159">X159</f>
        <v>3533.896723627210</v>
      </c>
      <c r="AD159" s="32" cm="1">
        <f t="array" ref="AD159">Y159</f>
        <v>20213.7690430845</v>
      </c>
      <c r="AE159" s="32" cm="1">
        <f t="array" ref="AE159">Z159</f>
        <v>7556.919756170060</v>
      </c>
      <c r="AF159" s="32" cm="1">
        <f t="array" ref="AF159">AA159</f>
        <v>8.66077861163093</v>
      </c>
    </row>
    <row r="160" ht="17" customHeight="1">
      <c r="A160" s="2"/>
      <c r="B160" t="s" s="24">
        <v>58</v>
      </c>
      <c r="C160" t="s" s="39">
        <v>219</v>
      </c>
      <c r="D160" s="28">
        <v>6381.5152337221</v>
      </c>
      <c r="E160" s="29">
        <v>57080.2442309391</v>
      </c>
      <c r="F160" s="29">
        <v>20287.9670161353</v>
      </c>
      <c r="G160" s="37">
        <v>14.7613658248872</v>
      </c>
      <c r="H160" s="2"/>
      <c r="I160" s="25">
        <v>4.7</v>
      </c>
      <c r="J160" s="25" cm="1">
        <f t="array" ref="J160">I160/1000</f>
        <v>0.0047</v>
      </c>
      <c r="K160" s="2"/>
      <c r="L160" s="25" cm="1">
        <f t="array" ref="L160">D160*$J160</f>
        <v>29.9931215984939</v>
      </c>
      <c r="M160" s="25" cm="1">
        <f t="array" ref="M160">E160*$J160</f>
        <v>268.277147885414</v>
      </c>
      <c r="N160" s="25" cm="1">
        <f t="array" ref="N160">F160*$J160</f>
        <v>95.3534449758359</v>
      </c>
      <c r="O160" s="25" cm="1">
        <f t="array" ref="O160">G160*$J160</f>
        <v>0.0693784193769698</v>
      </c>
      <c r="P160" s="2"/>
      <c r="Q160" s="25">
        <v>0.0185999999999993</v>
      </c>
      <c r="R160" s="25">
        <v>1</v>
      </c>
      <c r="S160" s="25" cm="1">
        <f t="array" ref="S160">L160/$Q160</f>
        <v>1612.533419273930</v>
      </c>
      <c r="T160" s="25" cm="1">
        <f t="array" ref="T160">M160/$Q160</f>
        <v>14423.5025744852</v>
      </c>
      <c r="U160" s="25" cm="1">
        <f t="array" ref="U160">N160/$Q160</f>
        <v>5126.529299776320</v>
      </c>
      <c r="V160" s="25" cm="1">
        <f t="array" ref="V160">O160/$Q160</f>
        <v>3.73002254714905</v>
      </c>
      <c r="W160" s="2"/>
      <c r="X160" s="25" cm="1">
        <f t="array" ref="X160">S160-X$3-X$166</f>
        <v>1600.603645402650</v>
      </c>
      <c r="Y160" s="25" cm="1">
        <f t="array" ref="Y160">T160-Y$3-Y$166</f>
        <v>14418.5663213271</v>
      </c>
      <c r="Z160" s="25" cm="1">
        <f t="array" ref="Z160">U160-Z$3-Z$166</f>
        <v>5123.497541067650</v>
      </c>
      <c r="AA160" s="25" cm="1">
        <f t="array" ref="AA160">V160-AA$3-AA$166</f>
        <v>5.91149354834118</v>
      </c>
      <c r="AB160" s="2"/>
      <c r="AC160" s="32" cm="1">
        <f t="array" ref="AC160">X160</f>
        <v>1600.603645402650</v>
      </c>
      <c r="AD160" s="32" cm="1">
        <f t="array" ref="AD160">Y160</f>
        <v>14418.5663213271</v>
      </c>
      <c r="AE160" s="32" cm="1">
        <f t="array" ref="AE160">Z160</f>
        <v>5123.497541067650</v>
      </c>
      <c r="AF160" s="32" cm="1">
        <f t="array" ref="AF160">AA160</f>
        <v>5.91149354834118</v>
      </c>
    </row>
    <row r="161" ht="17" customHeight="1">
      <c r="A161" s="2"/>
      <c r="B161" t="s" s="24">
        <v>60</v>
      </c>
      <c r="C161" t="s" s="39">
        <v>220</v>
      </c>
      <c r="D161" s="28">
        <v>48227.355358988</v>
      </c>
      <c r="E161" s="29">
        <v>63495.1800273953</v>
      </c>
      <c r="F161" s="33">
        <v>31456.6200360716</v>
      </c>
      <c r="G161" s="25">
        <v>-9.557322251987779</v>
      </c>
      <c r="H161" s="2"/>
      <c r="I161" s="25">
        <v>4.7</v>
      </c>
      <c r="J161" s="25" cm="1">
        <f t="array" ref="J161">I161/1000</f>
        <v>0.0047</v>
      </c>
      <c r="K161" s="2"/>
      <c r="L161" s="25" cm="1">
        <f t="array" ref="L161">D161*$J161</f>
        <v>226.668570187244</v>
      </c>
      <c r="M161" s="25" cm="1">
        <f t="array" ref="M161">E161*$J161</f>
        <v>298.427346128758</v>
      </c>
      <c r="N161" s="25" cm="1">
        <f t="array" ref="N161">F161*$J161</f>
        <v>147.846114169537</v>
      </c>
      <c r="O161" s="25" cm="1">
        <f t="array" ref="O161">G161*$J161</f>
        <v>-0.0449194145843426</v>
      </c>
      <c r="P161" s="2"/>
      <c r="Q161" s="25">
        <v>0.0187000000000008</v>
      </c>
      <c r="R161" s="25">
        <v>1</v>
      </c>
      <c r="S161" s="25" cm="1">
        <f t="array" ref="S161">L161/$Q161</f>
        <v>12121.3139137558</v>
      </c>
      <c r="T161" s="25" cm="1">
        <f t="array" ref="T161">M161/$Q161</f>
        <v>15958.6816111628</v>
      </c>
      <c r="U161" s="25" cm="1">
        <f t="array" ref="U161">N161/$Q161</f>
        <v>7906.209313878650</v>
      </c>
      <c r="V161" s="25" cm="1">
        <f t="array" ref="V161">O161/$Q161</f>
        <v>-2.40210773178292</v>
      </c>
      <c r="W161" s="2"/>
      <c r="X161" s="25" cm="1">
        <f t="array" ref="X161">S161-X$3-X$166</f>
        <v>12109.3841398845</v>
      </c>
      <c r="Y161" s="25" cm="1">
        <f t="array" ref="Y161">T161-Y$3-Y$166</f>
        <v>15953.7453580047</v>
      </c>
      <c r="Z161" s="25" cm="1">
        <f t="array" ref="Z161">U161-Z$3-Z$166</f>
        <v>7903.177555169980</v>
      </c>
      <c r="AA161" s="25" cm="1">
        <f t="array" ref="AA161">V161-AA$3-AA$166</f>
        <v>-0.22063673059079</v>
      </c>
      <c r="AB161" s="2"/>
      <c r="AC161" s="32" cm="1">
        <f t="array" ref="AC161">X161</f>
        <v>12109.3841398845</v>
      </c>
      <c r="AD161" s="32" cm="1">
        <f t="array" ref="AD161">Y161</f>
        <v>15953.7453580047</v>
      </c>
      <c r="AE161" s="32" cm="1">
        <f t="array" ref="AE161">Z161</f>
        <v>7903.177555169980</v>
      </c>
      <c r="AF161" s="32" cm="1">
        <f t="array" ref="AF161">AA161</f>
        <v>-0.22063673059079</v>
      </c>
    </row>
    <row r="162" ht="17" customHeight="1">
      <c r="A162" s="2"/>
      <c r="B162" t="s" s="24">
        <v>62</v>
      </c>
      <c r="C162" t="s" s="39">
        <v>221</v>
      </c>
      <c r="D162" s="28">
        <v>5762.925352506980</v>
      </c>
      <c r="E162" s="29">
        <v>29.527185703330</v>
      </c>
      <c r="F162" s="30">
        <v>15.441138830382</v>
      </c>
      <c r="G162" s="31">
        <v>580.602580622472</v>
      </c>
      <c r="H162" s="2"/>
      <c r="I162" s="25">
        <v>4.7</v>
      </c>
      <c r="J162" s="25" cm="1">
        <f t="array" ref="J162">I162/1000</f>
        <v>0.0047</v>
      </c>
      <c r="K162" s="2"/>
      <c r="L162" s="25" cm="1">
        <f t="array" ref="L162">D162*$J162</f>
        <v>27.0857491567828</v>
      </c>
      <c r="M162" s="25" cm="1">
        <f t="array" ref="M162">E162*$J162</f>
        <v>0.138777772805651</v>
      </c>
      <c r="N162" s="25" cm="1">
        <f t="array" ref="N162">F162*$J162</f>
        <v>0.0725733525027954</v>
      </c>
      <c r="O162" s="25" cm="1">
        <f t="array" ref="O162">G162*$J162</f>
        <v>2.72883212892562</v>
      </c>
      <c r="P162" s="2"/>
      <c r="Q162" s="25">
        <v>0.0175000000000001</v>
      </c>
      <c r="R162" s="25">
        <v>1</v>
      </c>
      <c r="S162" s="25" cm="1">
        <f t="array" ref="S162">L162/$Q162</f>
        <v>1547.757094673290</v>
      </c>
      <c r="T162" s="25" cm="1">
        <f t="array" ref="T162">M162/$Q162</f>
        <v>7.93015844603715</v>
      </c>
      <c r="U162" s="25" cm="1">
        <f t="array" ref="U162">N162/$Q162</f>
        <v>4.14704871444543</v>
      </c>
      <c r="V162" s="25" cm="1">
        <f t="array" ref="V162">O162/$Q162</f>
        <v>155.933264510035</v>
      </c>
      <c r="W162" s="2"/>
      <c r="X162" s="25" cm="1">
        <f t="array" ref="X162">S162-X$3-X$166</f>
        <v>1535.827320802010</v>
      </c>
      <c r="Y162" s="25" cm="1">
        <f t="array" ref="Y162">T162-Y$3-Y$166</f>
        <v>2.99390528793127</v>
      </c>
      <c r="Z162" s="25" cm="1">
        <f t="array" ref="Z162">U162-Z$3-Z$166</f>
        <v>1.11529000577364</v>
      </c>
      <c r="AA162" s="25" cm="1">
        <f t="array" ref="AA162">V162-AA$3-AA$166</f>
        <v>158.114735511227</v>
      </c>
      <c r="AB162" s="2"/>
      <c r="AC162" s="32" cm="1">
        <f t="array" ref="AC162">X162</f>
        <v>1535.827320802010</v>
      </c>
      <c r="AD162" s="32" cm="1">
        <f t="array" ref="AD162">Y162</f>
        <v>2.99390528793127</v>
      </c>
      <c r="AE162" s="32" cm="1">
        <f t="array" ref="AE162">Z162</f>
        <v>1.11529000577364</v>
      </c>
      <c r="AF162" s="32" cm="1">
        <f t="array" ref="AF162">AA162</f>
        <v>158.114735511227</v>
      </c>
    </row>
    <row r="163" ht="17" customHeight="1">
      <c r="A163" s="2"/>
      <c r="B163" t="s" s="24">
        <v>64</v>
      </c>
      <c r="C163" t="s" s="39">
        <v>222</v>
      </c>
      <c r="D163" s="28">
        <v>19872.4582723317</v>
      </c>
      <c r="E163" s="29">
        <v>43.0962908668287</v>
      </c>
      <c r="F163" s="33">
        <v>21.0071826597285</v>
      </c>
      <c r="G163" s="25">
        <v>1000.729745794650</v>
      </c>
      <c r="H163" s="2"/>
      <c r="I163" s="25">
        <v>4.7</v>
      </c>
      <c r="J163" s="25" cm="1">
        <f t="array" ref="J163">I163/1000</f>
        <v>0.0047</v>
      </c>
      <c r="K163" s="2"/>
      <c r="L163" s="25" cm="1">
        <f t="array" ref="L163">D163*$J163</f>
        <v>93.40055387995901</v>
      </c>
      <c r="M163" s="25" cm="1">
        <f t="array" ref="M163">E163*$J163</f>
        <v>0.202552567074095</v>
      </c>
      <c r="N163" s="25" cm="1">
        <f t="array" ref="N163">F163*$J163</f>
        <v>0.09873375850072399</v>
      </c>
      <c r="O163" s="25" cm="1">
        <f t="array" ref="O163">G163*$J163</f>
        <v>4.70342980523486</v>
      </c>
      <c r="P163" s="2"/>
      <c r="Q163" s="25">
        <v>0.0183</v>
      </c>
      <c r="R163" s="25">
        <v>1</v>
      </c>
      <c r="S163" s="25" cm="1">
        <f t="array" ref="S163">L163/$Q163</f>
        <v>5103.855403276450</v>
      </c>
      <c r="T163" s="25" cm="1">
        <f t="array" ref="T163">M163/$Q163</f>
        <v>11.0684462882019</v>
      </c>
      <c r="U163" s="25" cm="1">
        <f t="array" ref="U163">N163/$Q163</f>
        <v>5.39528734976634</v>
      </c>
      <c r="V163" s="25" cm="1">
        <f t="array" ref="V163">O163/$Q163</f>
        <v>257.018022143981</v>
      </c>
      <c r="W163" s="2"/>
      <c r="X163" s="25" cm="1">
        <f t="array" ref="X163">S163-X$3-X$166</f>
        <v>5091.925629405170</v>
      </c>
      <c r="Y163" s="25" cm="1">
        <f t="array" ref="Y163">T163-Y$3-Y$166</f>
        <v>6.13219313009602</v>
      </c>
      <c r="Z163" s="25" cm="1">
        <f t="array" ref="Z163">U163-Z$3-Z$166</f>
        <v>2.36352864109455</v>
      </c>
      <c r="AA163" s="25" cm="1">
        <f t="array" ref="AA163">V163-AA$3-AA$166</f>
        <v>259.199493145173</v>
      </c>
      <c r="AB163" s="2"/>
      <c r="AC163" s="32" cm="1">
        <f t="array" ref="AC163">X163</f>
        <v>5091.925629405170</v>
      </c>
      <c r="AD163" s="32" cm="1">
        <f t="array" ref="AD163">Y163</f>
        <v>6.13219313009602</v>
      </c>
      <c r="AE163" s="32" cm="1">
        <f t="array" ref="AE163">Z163</f>
        <v>2.36352864109455</v>
      </c>
      <c r="AF163" s="32" cm="1">
        <f t="array" ref="AF163">AA163</f>
        <v>259.199493145173</v>
      </c>
    </row>
    <row r="164" ht="17" customHeight="1">
      <c r="A164" s="2"/>
      <c r="B164" t="s" s="24">
        <v>66</v>
      </c>
      <c r="C164" t="s" s="39">
        <v>223</v>
      </c>
      <c r="D164" s="28">
        <v>3121.225718782410</v>
      </c>
      <c r="E164" s="29">
        <v>26.2993457767846</v>
      </c>
      <c r="F164" s="30">
        <v>14.1063871888825</v>
      </c>
      <c r="G164" s="31">
        <v>752.891059308177</v>
      </c>
      <c r="H164" s="2"/>
      <c r="I164" s="25">
        <v>4.7</v>
      </c>
      <c r="J164" s="25" cm="1">
        <f t="array" ref="J164">I164/1000</f>
        <v>0.0047</v>
      </c>
      <c r="K164" s="2"/>
      <c r="L164" s="25" cm="1">
        <f t="array" ref="L164">D164*$J164</f>
        <v>14.6697608782773</v>
      </c>
      <c r="M164" s="25" cm="1">
        <f t="array" ref="M164">E164*$J164</f>
        <v>0.123606925150888</v>
      </c>
      <c r="N164" s="25" cm="1">
        <f t="array" ref="N164">F164*$J164</f>
        <v>0.0663000197877478</v>
      </c>
      <c r="O164" s="25" cm="1">
        <f t="array" ref="O164">G164*$J164</f>
        <v>3.53858797874843</v>
      </c>
      <c r="P164" s="2"/>
      <c r="Q164" s="25">
        <v>0.0184999999999995</v>
      </c>
      <c r="R164" s="25">
        <v>1</v>
      </c>
      <c r="S164" s="25" cm="1">
        <f t="array" ref="S164">L164/$Q164</f>
        <v>792.960047474470</v>
      </c>
      <c r="T164" s="25" cm="1">
        <f t="array" ref="T164">M164/$Q164</f>
        <v>6.68145541356169</v>
      </c>
      <c r="U164" s="25" cm="1">
        <f t="array" ref="U164">N164/$Q164</f>
        <v>3.58378485339187</v>
      </c>
      <c r="V164" s="25" cm="1">
        <f t="array" ref="V164">O164/$Q164</f>
        <v>191.275025878299</v>
      </c>
      <c r="W164" s="2"/>
      <c r="X164" s="25" cm="1">
        <f t="array" ref="X164">S164-X$3-X$166</f>
        <v>781.030273603185</v>
      </c>
      <c r="Y164" s="25" cm="1">
        <f t="array" ref="Y164">T164-Y$3-Y$166</f>
        <v>1.74520225545581</v>
      </c>
      <c r="Z164" s="25" cm="1">
        <f t="array" ref="Z164">U164-Z$3-Z$166</f>
        <v>0.55202614472008</v>
      </c>
      <c r="AA164" s="25" cm="1">
        <f t="array" ref="AA164">V164-AA$3-AA$166</f>
        <v>193.456496879491</v>
      </c>
      <c r="AB164" s="2"/>
      <c r="AC164" s="32" cm="1">
        <f t="array" ref="AC164">X164</f>
        <v>781.030273603185</v>
      </c>
      <c r="AD164" s="32" cm="1">
        <f t="array" ref="AD164">Y164</f>
        <v>1.74520225545581</v>
      </c>
      <c r="AE164" s="32" cm="1">
        <f t="array" ref="AE164">Z164</f>
        <v>0.55202614472008</v>
      </c>
      <c r="AF164" s="32" cm="1">
        <f t="array" ref="AF164">AA164</f>
        <v>193.456496879491</v>
      </c>
    </row>
    <row r="165" ht="17" customHeight="1">
      <c r="A165" s="2"/>
      <c r="B165" t="s" s="24">
        <v>68</v>
      </c>
      <c r="C165" t="s" s="39">
        <v>224</v>
      </c>
      <c r="D165" s="28">
        <v>35.7787286934015</v>
      </c>
      <c r="E165" s="29">
        <v>24.6911082242802</v>
      </c>
      <c r="F165" s="33">
        <v>10.6491551703899</v>
      </c>
      <c r="G165" s="25">
        <v>-8.18115168814322</v>
      </c>
      <c r="H165" s="2"/>
      <c r="I165" s="25">
        <v>4.7</v>
      </c>
      <c r="J165" s="25" cm="1">
        <f t="array" ref="J165">I165/1000</f>
        <v>0.0047</v>
      </c>
      <c r="K165" s="2"/>
      <c r="L165" s="25" cm="1">
        <f t="array" ref="L165">D165*$J165</f>
        <v>0.168160024858987</v>
      </c>
      <c r="M165" s="25" cm="1">
        <f t="array" ref="M165">E165*$J165</f>
        <v>0.116048208654117</v>
      </c>
      <c r="N165" s="25" cm="1">
        <f t="array" ref="N165">F165*$J165</f>
        <v>0.0500510293008325</v>
      </c>
      <c r="O165" s="25" cm="1">
        <f t="array" ref="O165">G165*$J165</f>
        <v>-0.0384514129342731</v>
      </c>
      <c r="P165" s="2"/>
      <c r="Q165" s="25">
        <v>0.0182000000000002</v>
      </c>
      <c r="R165" s="25">
        <v>1</v>
      </c>
      <c r="S165" s="25" cm="1">
        <f t="array" ref="S165">L165/$Q165</f>
        <v>9.23956180543874</v>
      </c>
      <c r="T165" s="25" cm="1">
        <f t="array" ref="T165">M165/$Q165</f>
        <v>6.37627520077559</v>
      </c>
      <c r="U165" s="25" cm="1">
        <f t="array" ref="U165">N165/$Q165</f>
        <v>2.75005655499077</v>
      </c>
      <c r="V165" s="25" cm="1">
        <f t="array" ref="V165">O165/$Q165</f>
        <v>-2.11271499638861</v>
      </c>
      <c r="W165" s="2"/>
      <c r="X165" s="2"/>
      <c r="Y165" s="2"/>
      <c r="Z165" s="2"/>
      <c r="AA165" s="2"/>
      <c r="AB165" s="2"/>
      <c r="AC165" s="26"/>
      <c r="AD165" s="26"/>
      <c r="AE165" s="26"/>
      <c r="AF165" s="26"/>
    </row>
    <row r="166" ht="17" customHeight="1">
      <c r="A166" s="2"/>
      <c r="B166" t="s" s="24">
        <v>70</v>
      </c>
      <c r="C166" t="s" s="39">
        <v>225</v>
      </c>
      <c r="D166" s="28">
        <v>85.35833424681149</v>
      </c>
      <c r="E166" s="29">
        <v>17.8190477530814</v>
      </c>
      <c r="F166" s="30">
        <v>12.8522005241509</v>
      </c>
      <c r="G166" s="31">
        <v>-8.39345090643463</v>
      </c>
      <c r="H166" s="2"/>
      <c r="I166" s="25">
        <v>4.7</v>
      </c>
      <c r="J166" s="25" cm="1">
        <f t="array" ref="J166">I166/1000</f>
        <v>0.0047</v>
      </c>
      <c r="K166" s="2"/>
      <c r="L166" s="25" cm="1">
        <f t="array" ref="L166">D166*$J166</f>
        <v>0.401184170960014</v>
      </c>
      <c r="M166" s="25" cm="1">
        <f t="array" ref="M166">E166*$J166</f>
        <v>0.08374952443948259</v>
      </c>
      <c r="N166" s="25" cm="1">
        <f t="array" ref="N166">F166*$J166</f>
        <v>0.0604053424635092</v>
      </c>
      <c r="O166" s="25" cm="1">
        <f t="array" ref="O166">G166*$J166</f>
        <v>-0.0394492192602428</v>
      </c>
      <c r="P166" s="2"/>
      <c r="Q166" s="25">
        <v>0.0179000000000009</v>
      </c>
      <c r="R166" s="25">
        <v>1</v>
      </c>
      <c r="S166" s="25" cm="1">
        <f t="array" ref="S166">L166/$Q166</f>
        <v>22.4125235173181</v>
      </c>
      <c r="T166" s="25" cm="1">
        <f t="array" ref="T166">M166/$Q166</f>
        <v>4.67874438209376</v>
      </c>
      <c r="U166" s="25" cm="1">
        <f t="array" ref="U166">N166/$Q166</f>
        <v>3.37460013762604</v>
      </c>
      <c r="V166" s="25" cm="1">
        <f t="array" ref="V166">O166/$Q166</f>
        <v>-2.20386699777882</v>
      </c>
      <c r="W166" s="2"/>
      <c r="X166" s="25" cm="1">
        <f t="array" ref="X166">AVERAGE(S165:S167)</f>
        <v>11.9297738712849</v>
      </c>
      <c r="Y166" s="25" cm="1">
        <f t="array" ref="Y166">AVERAGE(T165:T167)</f>
        <v>4.93625315810588</v>
      </c>
      <c r="Z166" s="25" cm="1">
        <f t="array" ref="Z166">AVERAGE(U165:U167)</f>
        <v>3.03175870867179</v>
      </c>
      <c r="AA166" s="25" cm="1">
        <f t="array" ref="AA166">AVERAGE(V165:V167)</f>
        <v>-2.18147100119213</v>
      </c>
      <c r="AB166" s="2"/>
      <c r="AC166" s="26"/>
      <c r="AD166" s="26"/>
      <c r="AE166" s="26"/>
      <c r="AF166" s="26"/>
    </row>
    <row r="167" ht="17" customHeight="1">
      <c r="A167" s="2"/>
      <c r="B167" t="s" s="36">
        <v>72</v>
      </c>
      <c r="C167" t="s" s="39">
        <v>226</v>
      </c>
      <c r="D167" s="28">
        <v>15.7567084277969</v>
      </c>
      <c r="E167" s="29">
        <v>14.2961583099832</v>
      </c>
      <c r="F167" s="33">
        <v>11.3136357144323</v>
      </c>
      <c r="G167" s="25">
        <v>-8.484718099663541</v>
      </c>
      <c r="H167" s="2"/>
      <c r="I167" s="25">
        <v>4.7</v>
      </c>
      <c r="J167" s="25" cm="1">
        <f t="array" ref="J167">I167/1000</f>
        <v>0.0047</v>
      </c>
      <c r="K167" s="2"/>
      <c r="L167" s="25" cm="1">
        <f t="array" ref="L167">D167*$J167</f>
        <v>0.07405652961064541</v>
      </c>
      <c r="M167" s="25" cm="1">
        <f t="array" ref="M167">E167*$J167</f>
        <v>0.067191944056921</v>
      </c>
      <c r="N167" s="25" cm="1">
        <f t="array" ref="N167">F167*$J167</f>
        <v>0.0531740878578318</v>
      </c>
      <c r="O167" s="25" cm="1">
        <f t="array" ref="O167">G167*$J167</f>
        <v>-0.0398781750684186</v>
      </c>
      <c r="P167" s="2"/>
      <c r="Q167" s="25">
        <v>0.0178999999999991</v>
      </c>
      <c r="R167" s="25">
        <v>1</v>
      </c>
      <c r="S167" s="25" cm="1">
        <f t="array" ref="S167">L167/$Q167</f>
        <v>4.13723629109772</v>
      </c>
      <c r="T167" s="25" cm="1">
        <f t="array" ref="T167">M167/$Q167</f>
        <v>3.75373989144829</v>
      </c>
      <c r="U167" s="25" cm="1">
        <f t="array" ref="U167">N167/$Q167</f>
        <v>2.97061943339857</v>
      </c>
      <c r="V167" s="25" cm="1">
        <f t="array" ref="V167">O167/$Q167</f>
        <v>-2.22783100940897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7" customHeight="1">
      <c r="A168" s="2"/>
      <c r="B168" t="s" s="19">
        <v>74</v>
      </c>
      <c r="C168" t="s" s="39">
        <v>227</v>
      </c>
      <c r="D168" s="28">
        <v>9.919593324239541</v>
      </c>
      <c r="E168" s="29">
        <v>64.9090611277679</v>
      </c>
      <c r="F168" s="30">
        <v>30.9329607816013</v>
      </c>
      <c r="G168" s="31">
        <v>-9.546797005341009</v>
      </c>
      <c r="H168" s="2"/>
      <c r="I168" s="25">
        <v>4.7</v>
      </c>
      <c r="J168" s="25" cm="1">
        <f t="array" ref="J168">I168/1000</f>
        <v>0.0047</v>
      </c>
      <c r="K168" s="2"/>
      <c r="L168" s="25" cm="1">
        <f t="array" ref="L168">D168*$J168</f>
        <v>0.0466220886239258</v>
      </c>
      <c r="M168" s="25" cm="1">
        <f t="array" ref="M168">E168*$J168</f>
        <v>0.305072587300509</v>
      </c>
      <c r="N168" s="25" cm="1">
        <f t="array" ref="N168">F168*$J168</f>
        <v>0.145384915673526</v>
      </c>
      <c r="O168" s="25" cm="1">
        <f t="array" ref="O168">G168*$J168</f>
        <v>-0.0448699459251027</v>
      </c>
      <c r="P168" s="2"/>
      <c r="Q168" s="25">
        <v>0.0143000000000004</v>
      </c>
      <c r="R168" s="25">
        <v>1</v>
      </c>
      <c r="S168" s="25" cm="1">
        <f t="array" ref="S168">L168/$Q168</f>
        <v>3.26028591775696</v>
      </c>
      <c r="T168" s="25" cm="1">
        <f t="array" ref="T168">M168/$Q168</f>
        <v>21.3337473636714</v>
      </c>
      <c r="U168" s="25" cm="1">
        <f t="array" ref="U168">N168/$Q168</f>
        <v>10.1667773198267</v>
      </c>
      <c r="V168" s="25" cm="1">
        <f t="array" ref="V168">O168/$Q168</f>
        <v>-3.1377584563008</v>
      </c>
      <c r="W168" s="2"/>
      <c r="X168" s="25" cm="1">
        <f t="array" ref="X168">S168-X$3-X$175</f>
        <v>-0.71751361461416</v>
      </c>
      <c r="Y168" s="25" cm="1">
        <f t="array" ref="Y168">T168-Y$3-Y$175</f>
        <v>20.7370547391841</v>
      </c>
      <c r="Z168" s="25" cm="1">
        <f t="array" ref="Z168">U168-Z$3-Z$175</f>
        <v>7.97042531164538</v>
      </c>
      <c r="AA168" s="25" cm="1">
        <f t="array" ref="AA168">V168-AA$3-AA$175</f>
        <v>0.3806694885794</v>
      </c>
      <c r="AB168" s="2"/>
      <c r="AC168" s="32" cm="1">
        <f t="array" ref="AC168">X168</f>
        <v>-0.71751361461416</v>
      </c>
      <c r="AD168" s="32" cm="1">
        <f t="array" ref="AD168">Y168</f>
        <v>20.7370547391841</v>
      </c>
      <c r="AE168" s="32" cm="1">
        <f t="array" ref="AE168">Z168</f>
        <v>7.97042531164538</v>
      </c>
      <c r="AF168" s="32" cm="1">
        <f t="array" ref="AF168">AA168</f>
        <v>0.3806694885794</v>
      </c>
    </row>
    <row r="169" ht="17" customHeight="1">
      <c r="A169" s="2"/>
      <c r="B169" t="s" s="24">
        <v>76</v>
      </c>
      <c r="C169" t="s" s="39">
        <v>228</v>
      </c>
      <c r="D169" s="28">
        <v>24.3878434296226</v>
      </c>
      <c r="E169" s="29">
        <v>37.8626856494575</v>
      </c>
      <c r="F169" s="33">
        <v>41.7189801910705</v>
      </c>
      <c r="G169" s="25">
        <v>9.50338116397219</v>
      </c>
      <c r="H169" s="2"/>
      <c r="I169" s="25">
        <v>4.7</v>
      </c>
      <c r="J169" s="25" cm="1">
        <f t="array" ref="J169">I169/1000</f>
        <v>0.0047</v>
      </c>
      <c r="K169" s="2"/>
      <c r="L169" s="25" cm="1">
        <f t="array" ref="L169">D169*$J169</f>
        <v>0.114622864119226</v>
      </c>
      <c r="M169" s="25" cm="1">
        <f t="array" ref="M169">E169*$J169</f>
        <v>0.17795462255245</v>
      </c>
      <c r="N169" s="25" cm="1">
        <f t="array" ref="N169">F169*$J169</f>
        <v>0.196079206898031</v>
      </c>
      <c r="O169" s="25" cm="1">
        <f t="array" ref="O169">G169*$J169</f>
        <v>0.0446658914706693</v>
      </c>
      <c r="P169" s="2"/>
      <c r="Q169" s="25">
        <v>0.0180000000000007</v>
      </c>
      <c r="R169" s="25">
        <v>1</v>
      </c>
      <c r="S169" s="25" cm="1">
        <f t="array" ref="S169">L169/$Q169</f>
        <v>6.36793689551231</v>
      </c>
      <c r="T169" s="25" cm="1">
        <f t="array" ref="T169">M169/$Q169</f>
        <v>9.88636791958017</v>
      </c>
      <c r="U169" s="25" cm="1">
        <f t="array" ref="U169">N169/$Q169</f>
        <v>10.8932892721124</v>
      </c>
      <c r="V169" s="25" cm="1">
        <f t="array" ref="V169">O169/$Q169</f>
        <v>2.48143841503709</v>
      </c>
      <c r="W169" s="2"/>
      <c r="X169" s="25" cm="1">
        <f t="array" ref="X169">S169-X$3-X$175</f>
        <v>2.39013736314119</v>
      </c>
      <c r="Y169" s="25" cm="1">
        <f t="array" ref="Y169">T169-Y$3-Y$175</f>
        <v>9.289675295092859</v>
      </c>
      <c r="Z169" s="25" cm="1">
        <f t="array" ref="Z169">U169-Z$3-Z$175</f>
        <v>8.69693726393108</v>
      </c>
      <c r="AA169" s="25" cm="1">
        <f t="array" ref="AA169">V169-AA$3-AA$175</f>
        <v>5.99986635991729</v>
      </c>
      <c r="AB169" s="2"/>
      <c r="AC169" s="32" cm="1">
        <f t="array" ref="AC169">X169</f>
        <v>2.39013736314119</v>
      </c>
      <c r="AD169" s="32" cm="1">
        <f t="array" ref="AD169">Y169</f>
        <v>9.289675295092859</v>
      </c>
      <c r="AE169" s="32" cm="1">
        <f t="array" ref="AE169">Z169</f>
        <v>8.69693726393108</v>
      </c>
      <c r="AF169" s="32" cm="1">
        <f t="array" ref="AF169">AA169</f>
        <v>5.99986635991729</v>
      </c>
    </row>
    <row r="170" ht="17" customHeight="1">
      <c r="A170" s="2"/>
      <c r="B170" t="s" s="24">
        <v>78</v>
      </c>
      <c r="C170" t="s" s="39">
        <v>229</v>
      </c>
      <c r="D170" s="28">
        <v>15.4032358409747</v>
      </c>
      <c r="E170" s="29">
        <v>40.1039046146161</v>
      </c>
      <c r="F170" s="30">
        <v>58.2553959836553</v>
      </c>
      <c r="G170" s="31">
        <v>-8.550576230979781</v>
      </c>
      <c r="H170" s="2"/>
      <c r="I170" s="25">
        <v>4.7</v>
      </c>
      <c r="J170" s="25" cm="1">
        <f t="array" ref="J170">I170/1000</f>
        <v>0.0047</v>
      </c>
      <c r="K170" s="2"/>
      <c r="L170" s="25" cm="1">
        <f t="array" ref="L170">D170*$J170</f>
        <v>0.0723952084525811</v>
      </c>
      <c r="M170" s="25" cm="1">
        <f t="array" ref="M170">E170*$J170</f>
        <v>0.188488351688696</v>
      </c>
      <c r="N170" s="25" cm="1">
        <f t="array" ref="N170">F170*$J170</f>
        <v>0.27380036112318</v>
      </c>
      <c r="O170" s="25" cm="1">
        <f t="array" ref="O170">G170*$J170</f>
        <v>-0.040187708285605</v>
      </c>
      <c r="P170" s="2"/>
      <c r="Q170" s="25">
        <v>0.0186000000000011</v>
      </c>
      <c r="R170" s="25">
        <v>1</v>
      </c>
      <c r="S170" s="25" cm="1">
        <f t="array" ref="S170">L170/$Q170</f>
        <v>3.89221550820305</v>
      </c>
      <c r="T170" s="25" cm="1">
        <f t="array" ref="T170">M170/$Q170</f>
        <v>10.133782348854</v>
      </c>
      <c r="U170" s="25" cm="1">
        <f t="array" ref="U170">N170/$Q170</f>
        <v>14.7204495227507</v>
      </c>
      <c r="V170" s="25" cm="1">
        <f t="array" ref="V170">O170/$Q170</f>
        <v>-2.16062947772057</v>
      </c>
      <c r="W170" s="2"/>
      <c r="X170" s="25" cm="1">
        <f t="array" ref="X170">S170-X$3-X$175</f>
        <v>-0.08558402416807</v>
      </c>
      <c r="Y170" s="25" cm="1">
        <f t="array" ref="Y170">T170-Y$3-Y$175</f>
        <v>9.537089724366689</v>
      </c>
      <c r="Z170" s="25" cm="1">
        <f t="array" ref="Z170">U170-Z$3-Z$175</f>
        <v>12.5240975145694</v>
      </c>
      <c r="AA170" s="25" cm="1">
        <f t="array" ref="AA170">V170-AA$3-AA$175</f>
        <v>1.35779846715963</v>
      </c>
      <c r="AB170" s="2"/>
      <c r="AC170" s="32" cm="1">
        <f t="array" ref="AC170">X170</f>
        <v>-0.08558402416807</v>
      </c>
      <c r="AD170" s="32" cm="1">
        <f t="array" ref="AD170">Y170</f>
        <v>9.537089724366689</v>
      </c>
      <c r="AE170" s="32" cm="1">
        <f t="array" ref="AE170">Z170</f>
        <v>12.5240975145694</v>
      </c>
      <c r="AF170" s="32" cm="1">
        <f t="array" ref="AF170">AA170</f>
        <v>1.35779846715963</v>
      </c>
    </row>
    <row r="171" ht="17" customHeight="1">
      <c r="A171" s="2"/>
      <c r="B171" t="s" s="24">
        <v>80</v>
      </c>
      <c r="C171" t="s" s="39">
        <v>230</v>
      </c>
      <c r="D171" s="28">
        <v>14.6622903619256</v>
      </c>
      <c r="E171" s="29">
        <v>46.7139955912032</v>
      </c>
      <c r="F171" s="33">
        <v>3.22409834305072</v>
      </c>
      <c r="G171" s="25">
        <v>37.0112354029525</v>
      </c>
      <c r="H171" s="2"/>
      <c r="I171" s="25">
        <v>4.7</v>
      </c>
      <c r="J171" s="25" cm="1">
        <f t="array" ref="J171">I171/1000</f>
        <v>0.0047</v>
      </c>
      <c r="K171" s="2"/>
      <c r="L171" s="25" cm="1">
        <f t="array" ref="L171">D171*$J171</f>
        <v>0.0689127647010503</v>
      </c>
      <c r="M171" s="25" cm="1">
        <f t="array" ref="M171">E171*$J171</f>
        <v>0.219555779278655</v>
      </c>
      <c r="N171" s="25" cm="1">
        <f t="array" ref="N171">F171*$J171</f>
        <v>0.0151532622123384</v>
      </c>
      <c r="O171" s="25" cm="1">
        <f t="array" ref="O171">G171*$J171</f>
        <v>0.173952806393877</v>
      </c>
      <c r="P171" s="2"/>
      <c r="Q171" s="25">
        <v>0.0179000000000009</v>
      </c>
      <c r="R171" s="25">
        <v>1</v>
      </c>
      <c r="S171" s="25" cm="1">
        <f t="array" ref="S171">L171/$Q171</f>
        <v>3.84987512296351</v>
      </c>
      <c r="T171" s="25" cm="1">
        <f t="array" ref="T171">M171/$Q171</f>
        <v>12.2656859932203</v>
      </c>
      <c r="U171" s="25" cm="1">
        <f t="array" ref="U171">N171/$Q171</f>
        <v>0.8465509615831081</v>
      </c>
      <c r="V171" s="25" cm="1">
        <f t="array" ref="V171">O171/$Q171</f>
        <v>9.71803387675242</v>
      </c>
      <c r="W171" s="2"/>
      <c r="X171" s="25" cm="1">
        <f t="array" ref="X171">S171-X$3-X$175</f>
        <v>-0.12792440940761</v>
      </c>
      <c r="Y171" s="25" cm="1">
        <f t="array" ref="Y171">T171-Y$3-Y$175</f>
        <v>11.668993368733</v>
      </c>
      <c r="Z171" s="25" cm="1">
        <f t="array" ref="Z171">U171-Z$3-Z$175</f>
        <v>-1.34980104659821</v>
      </c>
      <c r="AA171" s="25" cm="1">
        <f t="array" ref="AA171">V171-AA$3-AA$175</f>
        <v>13.2364618216326</v>
      </c>
      <c r="AB171" s="2"/>
      <c r="AC171" s="32" cm="1">
        <f t="array" ref="AC171">X171</f>
        <v>-0.12792440940761</v>
      </c>
      <c r="AD171" s="32" cm="1">
        <f t="array" ref="AD171">Y171</f>
        <v>11.668993368733</v>
      </c>
      <c r="AE171" s="32" cm="1">
        <f t="array" ref="AE171">Z171</f>
        <v>-1.34980104659821</v>
      </c>
      <c r="AF171" s="32" cm="1">
        <f t="array" ref="AF171">AA171</f>
        <v>13.2364618216326</v>
      </c>
    </row>
    <row r="172" ht="17" customHeight="1">
      <c r="A172" s="2"/>
      <c r="B172" t="s" s="24">
        <v>82</v>
      </c>
      <c r="C172" t="s" s="39">
        <v>231</v>
      </c>
      <c r="D172" s="28">
        <v>43.0243391325257</v>
      </c>
      <c r="E172" s="29">
        <v>24.0788138496298</v>
      </c>
      <c r="F172" s="44">
        <v>0.0166</v>
      </c>
      <c r="G172" s="31">
        <v>50.0961800232857</v>
      </c>
      <c r="H172" s="2"/>
      <c r="I172" s="25">
        <v>4.7</v>
      </c>
      <c r="J172" s="25" cm="1">
        <f t="array" ref="J172">I172/1000</f>
        <v>0.0047</v>
      </c>
      <c r="K172" s="2"/>
      <c r="L172" s="25" cm="1">
        <f t="array" ref="L172">D172*$J172</f>
        <v>0.202214393922871</v>
      </c>
      <c r="M172" s="25" cm="1">
        <f t="array" ref="M172">E172*$J172</f>
        <v>0.11317042509326</v>
      </c>
      <c r="N172" s="25" cm="1">
        <f t="array" ref="N172">F172*$J172</f>
        <v>7.802e-05</v>
      </c>
      <c r="O172" s="25" cm="1">
        <f t="array" ref="O172">G172*$J172</f>
        <v>0.235452046109443</v>
      </c>
      <c r="P172" s="2"/>
      <c r="Q172" s="25">
        <v>0.0189000000000004</v>
      </c>
      <c r="R172" s="25">
        <v>1</v>
      </c>
      <c r="S172" s="25" cm="1">
        <f t="array" ref="S172">L172/$Q172</f>
        <v>10.6991742816332</v>
      </c>
      <c r="T172" s="25" cm="1">
        <f t="array" ref="T172">M172/$Q172</f>
        <v>5.98785317953744</v>
      </c>
      <c r="U172" s="25" cm="1">
        <f t="array" ref="U172">N172/$Q172</f>
        <v>0.00412804232804224</v>
      </c>
      <c r="V172" s="25" cm="1">
        <f t="array" ref="V172">O172/$Q172</f>
        <v>12.4577802174306</v>
      </c>
      <c r="W172" s="2"/>
      <c r="X172" s="25" cm="1">
        <f t="array" ref="X172">S172-X$3-X$175</f>
        <v>6.72137474926208</v>
      </c>
      <c r="Y172" s="25" cm="1">
        <f t="array" ref="Y172">T172-Y$3-Y$175</f>
        <v>5.39116055505013</v>
      </c>
      <c r="Z172" s="25" cm="1">
        <f t="array" ref="Z172">U172-Z$3-Z$175</f>
        <v>-2.19222396585328</v>
      </c>
      <c r="AA172" s="25" cm="1">
        <f t="array" ref="AA172">V172-AA$3-AA$175</f>
        <v>15.9762081623108</v>
      </c>
      <c r="AB172" s="2"/>
      <c r="AC172" s="32" cm="1">
        <f t="array" ref="AC172">X172</f>
        <v>6.72137474926208</v>
      </c>
      <c r="AD172" s="32" cm="1">
        <f t="array" ref="AD172">Y172</f>
        <v>5.39116055505013</v>
      </c>
      <c r="AE172" s="32" cm="1">
        <f t="array" ref="AE172">Z172</f>
        <v>-2.19222396585328</v>
      </c>
      <c r="AF172" s="32" cm="1">
        <f t="array" ref="AF172">AA172</f>
        <v>15.9762081623108</v>
      </c>
    </row>
    <row r="173" ht="17" customHeight="1">
      <c r="A173" s="2"/>
      <c r="B173" t="s" s="24">
        <v>84</v>
      </c>
      <c r="C173" t="s" s="39">
        <v>232</v>
      </c>
      <c r="D173" s="28">
        <v>36.7956320990339</v>
      </c>
      <c r="E173" s="29">
        <v>25.2087420323628</v>
      </c>
      <c r="F173" s="33">
        <v>12.6043134646619</v>
      </c>
      <c r="G173" s="25">
        <v>-3.71022186537243</v>
      </c>
      <c r="H173" s="2"/>
      <c r="I173" s="25">
        <v>4.7</v>
      </c>
      <c r="J173" s="25" cm="1">
        <f t="array" ref="J173">I173/1000</f>
        <v>0.0047</v>
      </c>
      <c r="K173" s="2"/>
      <c r="L173" s="25" cm="1">
        <f t="array" ref="L173">D173*$J173</f>
        <v>0.172939470865459</v>
      </c>
      <c r="M173" s="25" cm="1">
        <f t="array" ref="M173">E173*$J173</f>
        <v>0.118481087552105</v>
      </c>
      <c r="N173" s="25" cm="1">
        <f t="array" ref="N173">F173*$J173</f>
        <v>0.0592402732839109</v>
      </c>
      <c r="O173" s="25" cm="1">
        <f t="array" ref="O173">G173*$J173</f>
        <v>-0.0174380427672504</v>
      </c>
      <c r="P173" s="2"/>
      <c r="Q173" s="25">
        <v>0.0178999999999991</v>
      </c>
      <c r="R173" s="25">
        <v>1</v>
      </c>
      <c r="S173" s="25" cm="1">
        <f t="array" ref="S173">L173/$Q173</f>
        <v>9.66142295337808</v>
      </c>
      <c r="T173" s="25" cm="1">
        <f t="array" ref="T173">M173/$Q173</f>
        <v>6.61905517050899</v>
      </c>
      <c r="U173" s="25" cm="1">
        <f t="array" ref="U173">N173/$Q173</f>
        <v>3.30951247396167</v>
      </c>
      <c r="V173" s="25" cm="1">
        <f t="array" ref="V173">O173/$Q173</f>
        <v>-0.974192333365993</v>
      </c>
      <c r="W173" s="2"/>
      <c r="X173" s="25" cm="1">
        <f t="array" ref="X173">S173-X$3-X$175</f>
        <v>5.68362342100696</v>
      </c>
      <c r="Y173" s="25" cm="1">
        <f t="array" ref="Y173">T173-Y$3-Y$175</f>
        <v>6.02236254602168</v>
      </c>
      <c r="Z173" s="25" cm="1">
        <f t="array" ref="Z173">U173-Z$3-Z$175</f>
        <v>1.11316046578035</v>
      </c>
      <c r="AA173" s="25" cm="1">
        <f t="array" ref="AA173">V173-AA$3-AA$175</f>
        <v>2.54423561151421</v>
      </c>
      <c r="AB173" s="2"/>
      <c r="AC173" s="32" cm="1">
        <f t="array" ref="AC173">X173</f>
        <v>5.68362342100696</v>
      </c>
      <c r="AD173" s="32" cm="1">
        <f t="array" ref="AD173">Y173</f>
        <v>6.02236254602168</v>
      </c>
      <c r="AE173" s="32" cm="1">
        <f t="array" ref="AE173">Z173</f>
        <v>1.11316046578035</v>
      </c>
      <c r="AF173" s="32" cm="1">
        <f t="array" ref="AF173">AA173</f>
        <v>2.54423561151421</v>
      </c>
    </row>
    <row r="174" ht="17" customHeight="1">
      <c r="A174" s="2"/>
      <c r="B174" t="s" s="24">
        <v>86</v>
      </c>
      <c r="C174" t="s" s="39">
        <v>233</v>
      </c>
      <c r="D174" s="28">
        <v>21.7116992569553</v>
      </c>
      <c r="E174" s="29">
        <v>7.04263536571751</v>
      </c>
      <c r="F174" s="30">
        <v>14.8624201048655</v>
      </c>
      <c r="G174" s="31">
        <v>-13.469393735295</v>
      </c>
      <c r="H174" s="2"/>
      <c r="I174" s="25">
        <v>4.7</v>
      </c>
      <c r="J174" s="25" cm="1">
        <f t="array" ref="J174">I174/1000</f>
        <v>0.0047</v>
      </c>
      <c r="K174" s="2"/>
      <c r="L174" s="25" cm="1">
        <f t="array" ref="L174">D174*$J174</f>
        <v>0.10204498650769</v>
      </c>
      <c r="M174" s="25" cm="1">
        <f t="array" ref="M174">E174*$J174</f>
        <v>0.0331003862188723</v>
      </c>
      <c r="N174" s="25" cm="1">
        <f t="array" ref="N174">F174*$J174</f>
        <v>0.0698533744928679</v>
      </c>
      <c r="O174" s="25" cm="1">
        <f t="array" ref="O174">G174*$J174</f>
        <v>-0.0633061505558865</v>
      </c>
      <c r="P174" s="2"/>
      <c r="Q174" s="25">
        <v>0.0184999999999995</v>
      </c>
      <c r="R174" s="25">
        <v>1</v>
      </c>
      <c r="S174" s="25" cm="1">
        <f t="array" ref="S174">L174/$Q174</f>
        <v>5.51594521663204</v>
      </c>
      <c r="T174" s="25" cm="1">
        <f t="array" ref="T174">M174/$Q174</f>
        <v>1.78921006588504</v>
      </c>
      <c r="U174" s="25" cm="1">
        <f t="array" ref="U174">N174/$Q174</f>
        <v>3.77585808069566</v>
      </c>
      <c r="V174" s="25" cm="1">
        <f t="array" ref="V174">O174/$Q174</f>
        <v>-3.42195408410207</v>
      </c>
      <c r="W174" s="2"/>
      <c r="X174" s="2"/>
      <c r="Y174" s="2"/>
      <c r="Z174" s="2"/>
      <c r="AA174" s="2"/>
      <c r="AB174" s="2"/>
      <c r="AC174" s="26"/>
      <c r="AD174" s="26"/>
      <c r="AE174" s="32" cm="1">
        <f t="array" ref="AE174">Z174</f>
        <v>0</v>
      </c>
      <c r="AF174" s="26"/>
    </row>
    <row r="175" ht="17" customHeight="1">
      <c r="A175" s="2"/>
      <c r="B175" t="s" s="24">
        <v>88</v>
      </c>
      <c r="C175" t="s" s="39">
        <v>234</v>
      </c>
      <c r="D175" s="28">
        <v>11.9815746757683</v>
      </c>
      <c r="E175" s="45">
        <v>0.00165</v>
      </c>
      <c r="F175" s="33">
        <v>3.6380868593289</v>
      </c>
      <c r="G175" s="25">
        <v>-13.5635608326396</v>
      </c>
      <c r="H175" s="2"/>
      <c r="I175" s="25">
        <v>4.7</v>
      </c>
      <c r="J175" s="25" cm="1">
        <f t="array" ref="J175">I175/1000</f>
        <v>0.0047</v>
      </c>
      <c r="K175" s="2"/>
      <c r="L175" s="25" cm="1">
        <f t="array" ref="L175">D175*$J175</f>
        <v>0.056313400976111</v>
      </c>
      <c r="M175" s="25" cm="1">
        <f t="array" ref="M175">E192*$J175</f>
        <v>7.754999999999999e-06</v>
      </c>
      <c r="N175" s="25" cm="1">
        <f t="array" ref="N175">F175*$J175</f>
        <v>0.0170990082388458</v>
      </c>
      <c r="O175" s="25" cm="1">
        <f t="array" ref="O175">G175*$J175</f>
        <v>-0.0637487359134061</v>
      </c>
      <c r="P175" s="2"/>
      <c r="Q175" s="25">
        <v>0.0186000000000011</v>
      </c>
      <c r="R175" s="25">
        <v>1</v>
      </c>
      <c r="S175" s="25" cm="1">
        <f t="array" ref="S175">L175/$Q175</f>
        <v>3.02760220301654</v>
      </c>
      <c r="T175" s="25" cm="1">
        <f t="array" ref="T175">M175/$Q175</f>
        <v>0.000416935483870943</v>
      </c>
      <c r="U175" s="25" cm="1">
        <f t="array" ref="U175">N175/$Q175</f>
        <v>0.919301518217462</v>
      </c>
      <c r="V175" s="25" cm="1">
        <f t="array" ref="V175">O175/$Q175</f>
        <v>-3.42735139319367</v>
      </c>
      <c r="W175" s="2"/>
      <c r="X175" s="25" cm="1">
        <f t="array" ref="X175">AVERAGE(S174:S176)</f>
        <v>3.97779953237112</v>
      </c>
      <c r="Y175" s="25" cm="1">
        <f t="array" ref="Y175">AVERAGE(T174:T176)</f>
        <v>0.596692624487311</v>
      </c>
      <c r="Z175" s="25" cm="1">
        <f t="array" ref="Z175">AVERAGE(U174:U176)</f>
        <v>2.19635200818132</v>
      </c>
      <c r="AA175" s="25" cm="1">
        <f t="array" ref="AA175">AVERAGE(V174:V176)</f>
        <v>-3.5184279448802</v>
      </c>
      <c r="AB175" s="2"/>
      <c r="AC175" s="26"/>
      <c r="AD175" s="26"/>
      <c r="AE175" s="26"/>
      <c r="AF175" s="26"/>
    </row>
    <row r="176" ht="17" customHeight="1">
      <c r="A176" s="2"/>
      <c r="B176" t="s" s="36">
        <v>90</v>
      </c>
      <c r="C176" t="s" s="39">
        <v>235</v>
      </c>
      <c r="D176" s="28">
        <v>12.4054128196576</v>
      </c>
      <c r="E176" s="45">
        <v>0.00165</v>
      </c>
      <c r="F176" s="30">
        <v>6.93085500443585</v>
      </c>
      <c r="G176" s="31">
        <v>-13.5623037758144</v>
      </c>
      <c r="H176" s="2"/>
      <c r="I176" s="25">
        <v>4.7</v>
      </c>
      <c r="J176" s="25" cm="1">
        <f t="array" ref="J176">I176/1000</f>
        <v>0.0047</v>
      </c>
      <c r="K176" s="2"/>
      <c r="L176" s="25" cm="1">
        <f t="array" ref="L176">D176*$J176</f>
        <v>0.0583054402523907</v>
      </c>
      <c r="M176" s="25" cm="1">
        <f t="array" ref="M176">E193*$J176</f>
        <v>7.754999999999999e-06</v>
      </c>
      <c r="N176" s="25" cm="1">
        <f t="array" ref="N176">F176*$J176</f>
        <v>0.0325750185208485</v>
      </c>
      <c r="O176" s="25" cm="1">
        <f t="array" ref="O176">G176*$J176</f>
        <v>-0.0637428277463277</v>
      </c>
      <c r="P176" s="2"/>
      <c r="Q176" s="25">
        <v>0.017199999999999</v>
      </c>
      <c r="R176" s="25">
        <v>1</v>
      </c>
      <c r="S176" s="25" cm="1">
        <f t="array" ref="S176">L176/$Q176</f>
        <v>3.38985117746477</v>
      </c>
      <c r="T176" s="25" cm="1">
        <f t="array" ref="T176">M176/$Q176</f>
        <v>0.000450872093023282</v>
      </c>
      <c r="U176" s="25" cm="1">
        <f t="array" ref="U176">N176/$Q176</f>
        <v>1.89389642563084</v>
      </c>
      <c r="V176" s="25" cm="1">
        <f t="array" ref="V176">O176/$Q176</f>
        <v>-3.70597835734485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7" customHeight="1">
      <c r="A177" s="2"/>
      <c r="B177" t="s" s="19">
        <v>92</v>
      </c>
      <c r="C177" t="s" s="39">
        <v>236</v>
      </c>
      <c r="D177" s="28">
        <v>81.8493259804732</v>
      </c>
      <c r="E177" s="29">
        <v>105.475117436710</v>
      </c>
      <c r="F177" s="30">
        <v>927.684340448786</v>
      </c>
      <c r="G177" s="31">
        <v>-7.15023924877325</v>
      </c>
      <c r="H177" s="2"/>
      <c r="I177" s="25">
        <v>4.7</v>
      </c>
      <c r="J177" s="25" cm="1">
        <f t="array" ref="J177">I177/1000</f>
        <v>0.0047</v>
      </c>
      <c r="K177" s="2"/>
      <c r="L177" s="25" cm="1">
        <f t="array" ref="L177">D177*$J177</f>
        <v>0.384691832108224</v>
      </c>
      <c r="M177" s="25" cm="1">
        <f t="array" ref="M177">E177*$J177</f>
        <v>0.495733051952537</v>
      </c>
      <c r="N177" s="25" cm="1">
        <f t="array" ref="N177">F177*$J177</f>
        <v>4.36011640010929</v>
      </c>
      <c r="O177" s="25" cm="1">
        <f t="array" ref="O177">G177*$J177</f>
        <v>-0.0336061244692343</v>
      </c>
      <c r="P177" s="2"/>
      <c r="Q177" s="25">
        <v>0.0184999999999995</v>
      </c>
      <c r="R177" s="25">
        <v>1</v>
      </c>
      <c r="S177" s="25" cm="1">
        <f t="array" ref="S177">L177/$Q177</f>
        <v>20.7941530869316</v>
      </c>
      <c r="T177" s="25" cm="1">
        <f t="array" ref="T177">M177/$Q177</f>
        <v>26.7963811866243</v>
      </c>
      <c r="U177" s="25" cm="1">
        <f t="array" ref="U177">N177/$Q177</f>
        <v>235.681967573482</v>
      </c>
      <c r="V177" s="25" cm="1">
        <f t="array" ref="V177">O177/$Q177</f>
        <v>-1.81654726860731</v>
      </c>
      <c r="W177" s="2"/>
      <c r="X177" s="25" cm="1">
        <f t="array" ref="X177">S177-X$3-X$184</f>
        <v>17.1386618301688</v>
      </c>
      <c r="Y177" s="25" cm="1">
        <f t="array" ref="Y177">T177-Y$3-Y$184</f>
        <v>22.1590272468826</v>
      </c>
      <c r="Z177" s="25" cm="1">
        <f t="array" ref="Z177">U177-Z$3-Z$184</f>
        <v>230.450664146322</v>
      </c>
      <c r="AA177" s="25" cm="1">
        <f t="array" ref="AA177">V177-AA$3-AA$184</f>
        <v>1.83830891168264</v>
      </c>
      <c r="AB177" s="2"/>
      <c r="AC177" s="32" cm="1">
        <f t="array" ref="AC177">X177</f>
        <v>17.1386618301688</v>
      </c>
      <c r="AD177" s="32" cm="1">
        <f t="array" ref="AD177">Y177</f>
        <v>22.1590272468826</v>
      </c>
      <c r="AE177" s="32" cm="1">
        <f t="array" ref="AE177">Z177</f>
        <v>230.450664146322</v>
      </c>
      <c r="AF177" s="32" cm="1">
        <f t="array" ref="AF177">AA177</f>
        <v>1.83830891168264</v>
      </c>
    </row>
    <row r="178" ht="17" customHeight="1">
      <c r="A178" s="2"/>
      <c r="B178" t="s" s="24">
        <v>94</v>
      </c>
      <c r="C178" t="s" s="39">
        <v>237</v>
      </c>
      <c r="D178" s="28">
        <v>13.2996790143879</v>
      </c>
      <c r="E178" s="29">
        <v>84.139545171148</v>
      </c>
      <c r="F178" s="33">
        <v>1211.592151202520</v>
      </c>
      <c r="G178" s="25">
        <v>-6.21924826608436</v>
      </c>
      <c r="H178" s="2"/>
      <c r="I178" s="25">
        <v>4.7</v>
      </c>
      <c r="J178" s="25" cm="1">
        <f t="array" ref="J178">I178/1000</f>
        <v>0.0047</v>
      </c>
      <c r="K178" s="2"/>
      <c r="L178" s="25" cm="1">
        <f t="array" ref="L178">D178*$J178</f>
        <v>0.0625084913676231</v>
      </c>
      <c r="M178" s="25" cm="1">
        <f t="array" ref="M178">E178*$J178</f>
        <v>0.395455862304396</v>
      </c>
      <c r="N178" s="25" cm="1">
        <f t="array" ref="N178">F178*$J178</f>
        <v>5.69448311065184</v>
      </c>
      <c r="O178" s="25" cm="1">
        <f t="array" ref="O178">G178*$J178</f>
        <v>-0.0292304668505965</v>
      </c>
      <c r="P178" s="2"/>
      <c r="Q178" s="25">
        <v>0.0198</v>
      </c>
      <c r="R178" s="25">
        <v>1</v>
      </c>
      <c r="S178" s="25" cm="1">
        <f t="array" ref="S178">L178/$Q178</f>
        <v>3.15699451351632</v>
      </c>
      <c r="T178" s="25" cm="1">
        <f t="array" ref="T178">M178/$Q178</f>
        <v>19.9725182982018</v>
      </c>
      <c r="U178" s="25" cm="1">
        <f t="array" ref="U178">N178/$Q178</f>
        <v>287.600157103628</v>
      </c>
      <c r="V178" s="25" cm="1">
        <f t="array" ref="V178">O178/$Q178</f>
        <v>-1.47628620457558</v>
      </c>
      <c r="W178" s="2"/>
      <c r="X178" s="25" cm="1">
        <f t="array" ref="X178">S178-X$3-X$184</f>
        <v>-0.49849674324647</v>
      </c>
      <c r="Y178" s="25" cm="1">
        <f t="array" ref="Y178">T178-Y$3-Y$184</f>
        <v>15.3351643584601</v>
      </c>
      <c r="Z178" s="25" cm="1">
        <f t="array" ref="Z178">U178-Z$3-Z$184</f>
        <v>282.368853676468</v>
      </c>
      <c r="AA178" s="25" cm="1">
        <f t="array" ref="AA178">V178-AA$3-AA$184</f>
        <v>2.17856997571437</v>
      </c>
      <c r="AB178" s="2"/>
      <c r="AC178" s="32" cm="1">
        <f t="array" ref="AC178">X178</f>
        <v>-0.49849674324647</v>
      </c>
      <c r="AD178" s="32" cm="1">
        <f t="array" ref="AD178">Y178</f>
        <v>15.3351643584601</v>
      </c>
      <c r="AE178" s="32" cm="1">
        <f t="array" ref="AE178">Z178</f>
        <v>282.368853676468</v>
      </c>
      <c r="AF178" s="32" cm="1">
        <f t="array" ref="AF178">AA178</f>
        <v>2.17856997571437</v>
      </c>
    </row>
    <row r="179" ht="17" customHeight="1">
      <c r="A179" s="2"/>
      <c r="B179" t="s" s="24">
        <v>96</v>
      </c>
      <c r="C179" t="s" s="39">
        <v>238</v>
      </c>
      <c r="D179" s="28">
        <v>101.383580791575</v>
      </c>
      <c r="E179" s="29">
        <v>101.657848448238</v>
      </c>
      <c r="F179" s="30">
        <v>1189.209587926210</v>
      </c>
      <c r="G179" s="31">
        <v>-7.98393149739222</v>
      </c>
      <c r="H179" s="2"/>
      <c r="I179" s="25">
        <v>4.7</v>
      </c>
      <c r="J179" s="25" cm="1">
        <f t="array" ref="J179">I179/1000</f>
        <v>0.0047</v>
      </c>
      <c r="K179" s="2"/>
      <c r="L179" s="25" cm="1">
        <f t="array" ref="L179">D179*$J179</f>
        <v>0.476502829720403</v>
      </c>
      <c r="M179" s="25" cm="1">
        <f t="array" ref="M179">E179*$J179</f>
        <v>0.477791887706719</v>
      </c>
      <c r="N179" s="25" cm="1">
        <f t="array" ref="N179">F179*$J179</f>
        <v>5.58928506325319</v>
      </c>
      <c r="O179" s="25" cm="1">
        <f t="array" ref="O179">G179*$J179</f>
        <v>-0.0375244780377434</v>
      </c>
      <c r="P179" s="2"/>
      <c r="Q179" s="25">
        <v>0.0188000000000006</v>
      </c>
      <c r="R179" s="25">
        <v>1</v>
      </c>
      <c r="S179" s="25" cm="1">
        <f t="array" ref="S179">L179/$Q179</f>
        <v>25.345895197893</v>
      </c>
      <c r="T179" s="25" cm="1">
        <f t="array" ref="T179">M179/$Q179</f>
        <v>25.4144621120587</v>
      </c>
      <c r="U179" s="25" cm="1">
        <f t="array" ref="U179">N179/$Q179</f>
        <v>297.302396981543</v>
      </c>
      <c r="V179" s="25" cm="1">
        <f t="array" ref="V179">O179/$Q179</f>
        <v>-1.99598287434799</v>
      </c>
      <c r="W179" s="2"/>
      <c r="X179" s="25" cm="1">
        <f t="array" ref="X179">S179-X$3-X$184</f>
        <v>21.6904039411302</v>
      </c>
      <c r="Y179" s="25" cm="1">
        <f t="array" ref="Y179">T179-Y$3-Y$184</f>
        <v>20.777108172317</v>
      </c>
      <c r="Z179" s="25" cm="1">
        <f t="array" ref="Z179">U179-Z$3-Z$184</f>
        <v>292.071093554383</v>
      </c>
      <c r="AA179" s="25" cm="1">
        <f t="array" ref="AA179">V179-AA$3-AA$184</f>
        <v>1.65887330594196</v>
      </c>
      <c r="AB179" s="2"/>
      <c r="AC179" s="32" cm="1">
        <f t="array" ref="AC179">X179</f>
        <v>21.6904039411302</v>
      </c>
      <c r="AD179" s="32" cm="1">
        <f t="array" ref="AD179">Y179</f>
        <v>20.777108172317</v>
      </c>
      <c r="AE179" s="32" cm="1">
        <f t="array" ref="AE179">Z179</f>
        <v>292.071093554383</v>
      </c>
      <c r="AF179" s="32" cm="1">
        <f t="array" ref="AF179">AA179</f>
        <v>1.65887330594196</v>
      </c>
    </row>
    <row r="180" ht="17" customHeight="1">
      <c r="A180" s="2"/>
      <c r="B180" t="s" s="24">
        <v>98</v>
      </c>
      <c r="C180" t="s" s="39">
        <v>239</v>
      </c>
      <c r="D180" s="28">
        <v>19.8207334780966</v>
      </c>
      <c r="E180" s="29">
        <v>8.2403248613403</v>
      </c>
      <c r="F180" s="29">
        <v>14.8966188786541</v>
      </c>
      <c r="G180" s="37">
        <v>74.418936936891</v>
      </c>
      <c r="H180" s="2"/>
      <c r="I180" s="25">
        <v>4.7</v>
      </c>
      <c r="J180" s="25" cm="1">
        <f t="array" ref="J180">I180/1000</f>
        <v>0.0047</v>
      </c>
      <c r="K180" s="2"/>
      <c r="L180" s="25" cm="1">
        <f t="array" ref="L180">D180*$J180</f>
        <v>0.093157447347054</v>
      </c>
      <c r="M180" s="25" cm="1">
        <f t="array" ref="M180">E180*$J180</f>
        <v>0.0387295268482994</v>
      </c>
      <c r="N180" s="25" cm="1">
        <f t="array" ref="N180">F180*$J180</f>
        <v>0.0700141087296743</v>
      </c>
      <c r="O180" s="25" cm="1">
        <f t="array" ref="O180">G180*$J180</f>
        <v>0.349769003603388</v>
      </c>
      <c r="P180" s="2"/>
      <c r="Q180" s="25">
        <v>0.0183</v>
      </c>
      <c r="R180" s="25">
        <v>1</v>
      </c>
      <c r="S180" s="25" cm="1">
        <f t="array" ref="S180">L180/$Q180</f>
        <v>5.09057089328164</v>
      </c>
      <c r="T180" s="25" cm="1">
        <f t="array" ref="T180">M180/$Q180</f>
        <v>2.11636758733877</v>
      </c>
      <c r="U180" s="25" cm="1">
        <f t="array" ref="U180">N180/$Q180</f>
        <v>3.82590758085652</v>
      </c>
      <c r="V180" s="25" cm="1">
        <f t="array" ref="V180">O180/$Q180</f>
        <v>19.1130603061961</v>
      </c>
      <c r="W180" s="2"/>
      <c r="X180" s="25" cm="1">
        <f t="array" ref="X180">S180-X$3-X$184</f>
        <v>1.43507963651885</v>
      </c>
      <c r="Y180" s="25" cm="1">
        <f t="array" ref="Y180">T180-Y$3-Y$184</f>
        <v>-2.52098635240292</v>
      </c>
      <c r="Z180" s="25" cm="1">
        <f t="array" ref="Z180">U180-Z$3-Z$184</f>
        <v>-1.40539584630319</v>
      </c>
      <c r="AA180" s="25" cm="1">
        <f t="array" ref="AA180">V180-AA$3-AA$184</f>
        <v>22.7679164864861</v>
      </c>
      <c r="AB180" s="2"/>
      <c r="AC180" s="32" cm="1">
        <f t="array" ref="AC180">X180</f>
        <v>1.43507963651885</v>
      </c>
      <c r="AD180" s="32" cm="1">
        <f t="array" ref="AD180">Y180</f>
        <v>-2.52098635240292</v>
      </c>
      <c r="AE180" s="32" cm="1">
        <f t="array" ref="AE180">Z180</f>
        <v>-1.40539584630319</v>
      </c>
      <c r="AF180" s="32" cm="1">
        <f t="array" ref="AF180">AA180</f>
        <v>22.7679164864861</v>
      </c>
    </row>
    <row r="181" ht="17" customHeight="1">
      <c r="A181" s="2"/>
      <c r="B181" t="s" s="24">
        <v>100</v>
      </c>
      <c r="C181" t="s" s="39">
        <v>240</v>
      </c>
      <c r="D181" s="28">
        <v>11.6227756402206</v>
      </c>
      <c r="E181" s="29">
        <v>8.61112095467279</v>
      </c>
      <c r="F181" s="29">
        <v>14.5226215555287</v>
      </c>
      <c r="G181" s="37">
        <v>58.3469987646554</v>
      </c>
      <c r="H181" s="2"/>
      <c r="I181" s="25">
        <v>4.7</v>
      </c>
      <c r="J181" s="25" cm="1">
        <f t="array" ref="J181">I181/1000</f>
        <v>0.0047</v>
      </c>
      <c r="K181" s="2"/>
      <c r="L181" s="25" cm="1">
        <f t="array" ref="L181">D181*$J181</f>
        <v>0.0546270455090368</v>
      </c>
      <c r="M181" s="25" cm="1">
        <f t="array" ref="M181">E181*$J181</f>
        <v>0.0404722684869621</v>
      </c>
      <c r="N181" s="25" cm="1">
        <f t="array" ref="N181">F181*$J181</f>
        <v>0.0682563213109849</v>
      </c>
      <c r="O181" s="25" cm="1">
        <f t="array" ref="O181">G181*$J181</f>
        <v>0.27423089419388</v>
      </c>
      <c r="P181" s="2"/>
      <c r="Q181" s="25">
        <v>0.0175000000000001</v>
      </c>
      <c r="R181" s="25">
        <v>1</v>
      </c>
      <c r="S181" s="25" cm="1">
        <f t="array" ref="S181">L181/$Q181</f>
        <v>3.12154545765923</v>
      </c>
      <c r="T181" s="25" cm="1">
        <f t="array" ref="T181">M181/$Q181</f>
        <v>2.31270105639782</v>
      </c>
      <c r="U181" s="25" cm="1">
        <f t="array" ref="U181">N181/$Q181</f>
        <v>3.90036121777054</v>
      </c>
      <c r="V181" s="25" cm="1">
        <f t="array" ref="V181">O181/$Q181</f>
        <v>15.6703368110788</v>
      </c>
      <c r="W181" s="2"/>
      <c r="X181" s="25" cm="1">
        <f t="array" ref="X181">S181-X$3-X$184</f>
        <v>-0.53394579910356</v>
      </c>
      <c r="Y181" s="25" cm="1">
        <f t="array" ref="Y181">T181-Y$3-Y$184</f>
        <v>-2.32465288334387</v>
      </c>
      <c r="Z181" s="25" cm="1">
        <f t="array" ref="Z181">U181-Z$3-Z$184</f>
        <v>-1.33094220938917</v>
      </c>
      <c r="AA181" s="25" cm="1">
        <f t="array" ref="AA181">V181-AA$3-AA$184</f>
        <v>19.3251929913688</v>
      </c>
      <c r="AB181" s="2"/>
      <c r="AC181" s="32" cm="1">
        <f t="array" ref="AC181">X181</f>
        <v>-0.53394579910356</v>
      </c>
      <c r="AD181" s="32" cm="1">
        <f t="array" ref="AD181">Y181</f>
        <v>-2.32465288334387</v>
      </c>
      <c r="AE181" s="32" cm="1">
        <f t="array" ref="AE181">Z181</f>
        <v>-1.33094220938917</v>
      </c>
      <c r="AF181" s="32" cm="1">
        <f t="array" ref="AF181">AA181</f>
        <v>19.3251929913688</v>
      </c>
    </row>
    <row r="182" ht="17" customHeight="1">
      <c r="A182" s="2"/>
      <c r="B182" t="s" s="24">
        <v>102</v>
      </c>
      <c r="C182" t="s" s="39">
        <v>241</v>
      </c>
      <c r="D182" s="28">
        <v>26.0966990217233</v>
      </c>
      <c r="E182" s="29">
        <v>21.666702151561</v>
      </c>
      <c r="F182" s="29">
        <v>11.0560921929246</v>
      </c>
      <c r="G182" s="37">
        <v>75.8622078615424</v>
      </c>
      <c r="H182" s="2"/>
      <c r="I182" s="25">
        <v>4.7</v>
      </c>
      <c r="J182" s="25" cm="1">
        <f t="array" ref="J182">I182/1000</f>
        <v>0.0047</v>
      </c>
      <c r="K182" s="2"/>
      <c r="L182" s="25" cm="1">
        <f t="array" ref="L182">D182*$J182</f>
        <v>0.1226544854021</v>
      </c>
      <c r="M182" s="25" cm="1">
        <f t="array" ref="M182">E182*$J182</f>
        <v>0.101833500112337</v>
      </c>
      <c r="N182" s="25" cm="1">
        <f t="array" ref="N182">F182*$J182</f>
        <v>0.0519636333067456</v>
      </c>
      <c r="O182" s="25" cm="1">
        <f t="array" ref="O182">G182*$J182</f>
        <v>0.356552376949249</v>
      </c>
      <c r="P182" s="2"/>
      <c r="Q182" s="25">
        <v>0.0183999999999997</v>
      </c>
      <c r="R182" s="25">
        <v>1</v>
      </c>
      <c r="S182" s="25" cm="1">
        <f t="array" ref="S182">L182/$Q182</f>
        <v>6.66600464141859</v>
      </c>
      <c r="T182" s="25" cm="1">
        <f t="array" ref="T182">M182/$Q182</f>
        <v>5.53442935393145</v>
      </c>
      <c r="U182" s="25" cm="1">
        <f t="array" ref="U182">N182/$Q182</f>
        <v>2.82411050580144</v>
      </c>
      <c r="V182" s="25" cm="1">
        <f t="array" ref="V182">O182/$Q182</f>
        <v>19.3778465733291</v>
      </c>
      <c r="W182" s="2"/>
      <c r="X182" s="25" cm="1">
        <f t="array" ref="X182">S182-X$3-X$184</f>
        <v>3.0105133846558</v>
      </c>
      <c r="Y182" s="25" cm="1">
        <f t="array" ref="Y182">T182-Y$3-Y$184</f>
        <v>0.89707541418976</v>
      </c>
      <c r="Z182" s="25" cm="1">
        <f t="array" ref="Z182">U182-Z$3-Z$184</f>
        <v>-2.40719292135827</v>
      </c>
      <c r="AA182" s="25" cm="1">
        <f t="array" ref="AA182">V182-AA$3-AA$184</f>
        <v>23.0327027536191</v>
      </c>
      <c r="AB182" s="2"/>
      <c r="AC182" s="32" cm="1">
        <f t="array" ref="AC182">X182</f>
        <v>3.0105133846558</v>
      </c>
      <c r="AD182" s="32" cm="1">
        <f t="array" ref="AD182">Y182</f>
        <v>0.89707541418976</v>
      </c>
      <c r="AE182" s="32" cm="1">
        <f t="array" ref="AE182">Z182</f>
        <v>-2.40719292135827</v>
      </c>
      <c r="AF182" s="32" cm="1">
        <f t="array" ref="AF182">AA182</f>
        <v>23.0327027536191</v>
      </c>
    </row>
    <row r="183" ht="17" customHeight="1">
      <c r="A183" s="2"/>
      <c r="B183" t="s" s="24">
        <v>104</v>
      </c>
      <c r="C183" t="s" s="39">
        <v>242</v>
      </c>
      <c r="D183" s="28">
        <v>9.05112932285491</v>
      </c>
      <c r="E183" s="29">
        <v>7.70564472293078</v>
      </c>
      <c r="F183" s="29">
        <v>22.811000944459</v>
      </c>
      <c r="G183" s="37">
        <v>-13.4882496935573</v>
      </c>
      <c r="H183" s="2"/>
      <c r="I183" s="25">
        <v>4.7</v>
      </c>
      <c r="J183" s="25" cm="1">
        <f t="array" ref="J183">I183/1000</f>
        <v>0.0047</v>
      </c>
      <c r="K183" s="2"/>
      <c r="L183" s="25" cm="1">
        <f t="array" ref="L183">D183*$J183</f>
        <v>0.0425403078174181</v>
      </c>
      <c r="M183" s="25" cm="1">
        <f t="array" ref="M183">E183*$J183</f>
        <v>0.0362165301977747</v>
      </c>
      <c r="N183" s="25" cm="1">
        <f t="array" ref="N183">F183*$J183</f>
        <v>0.107211704438957</v>
      </c>
      <c r="O183" s="25" cm="1">
        <f t="array" ref="O183">G183*$J183</f>
        <v>-0.0633947735597193</v>
      </c>
      <c r="P183" s="2"/>
      <c r="Q183" s="25">
        <v>0.0183999999999997</v>
      </c>
      <c r="R183" s="25">
        <v>1</v>
      </c>
      <c r="S183" s="25" cm="1">
        <f t="array" ref="S183">L183/$Q183</f>
        <v>2.31197325094667</v>
      </c>
      <c r="T183" s="25" cm="1">
        <f t="array" ref="T183">M183/$Q183</f>
        <v>1.9682896846617</v>
      </c>
      <c r="U183" s="25" cm="1">
        <f t="array" ref="U183">N183/$Q183</f>
        <v>5.82672306733471</v>
      </c>
      <c r="V183" s="25" cm="1">
        <f t="array" ref="V183">O183/$Q183</f>
        <v>-3.44536812824567</v>
      </c>
      <c r="W183" s="2"/>
      <c r="X183" s="2"/>
      <c r="Y183" s="2"/>
      <c r="Z183" s="2"/>
      <c r="AA183" s="2"/>
      <c r="AB183" s="2"/>
      <c r="AC183" s="26"/>
      <c r="AD183" s="26"/>
      <c r="AE183" s="26"/>
      <c r="AF183" s="26"/>
    </row>
    <row r="184" ht="17" customHeight="1">
      <c r="A184" s="2"/>
      <c r="B184" t="s" s="24">
        <v>106</v>
      </c>
      <c r="C184" t="s" s="39">
        <v>243</v>
      </c>
      <c r="D184" s="28">
        <v>12.2971950781543</v>
      </c>
      <c r="E184" s="29">
        <v>1.54320799761299</v>
      </c>
      <c r="F184" s="29">
        <v>6.30932376726879</v>
      </c>
      <c r="G184" s="37">
        <v>-13.503059091611</v>
      </c>
      <c r="H184" s="2"/>
      <c r="I184" s="25">
        <v>4.7</v>
      </c>
      <c r="J184" s="25" cm="1">
        <f t="array" ref="J184">I184/1000</f>
        <v>0.0047</v>
      </c>
      <c r="K184" s="2"/>
      <c r="L184" s="25" cm="1">
        <f t="array" ref="L184">D184*$J184</f>
        <v>0.0577968168673252</v>
      </c>
      <c r="M184" s="25" cm="1">
        <f t="array" ref="M184">E184*$J184</f>
        <v>0.00725307758878105</v>
      </c>
      <c r="N184" s="25" cm="1">
        <f t="array" ref="N184">F184*$J184</f>
        <v>0.0296538217061633</v>
      </c>
      <c r="O184" s="25" cm="1">
        <f t="array" ref="O184">G184*$J184</f>
        <v>-0.0634643777305717</v>
      </c>
      <c r="P184" s="2"/>
      <c r="Q184" s="25">
        <v>0.0153999999999996</v>
      </c>
      <c r="R184" s="25">
        <v>1</v>
      </c>
      <c r="S184" s="25" cm="1">
        <f t="array" ref="S184">L184/$Q184</f>
        <v>3.75304005631992</v>
      </c>
      <c r="T184" s="25" cm="1">
        <f t="array" ref="T184">M184/$Q184</f>
        <v>0.470979064206574</v>
      </c>
      <c r="U184" s="25" cm="1">
        <f t="array" ref="U184">N184/$Q184</f>
        <v>1.9255728380626</v>
      </c>
      <c r="V184" s="25" cm="1">
        <f t="array" ref="V184">O184/$Q184</f>
        <v>-4.12106348899827</v>
      </c>
      <c r="W184" s="2"/>
      <c r="X184" s="25" cm="1">
        <f t="array" ref="X184">AVERAGE(S183:S185)</f>
        <v>3.65549125676279</v>
      </c>
      <c r="Y184" s="25" cm="1">
        <f t="array" ref="Y184">AVERAGE(T183:T185)</f>
        <v>4.63735393974169</v>
      </c>
      <c r="Z184" s="25" cm="1">
        <f t="array" ref="Z184">AVERAGE(U183:U185)</f>
        <v>5.23130342715971</v>
      </c>
      <c r="AA184" s="25" cm="1">
        <f t="array" ref="AA184">AVERAGE(V183:V185)</f>
        <v>-3.65485618028995</v>
      </c>
      <c r="AB184" s="2"/>
      <c r="AC184" s="26"/>
      <c r="AD184" s="26"/>
      <c r="AE184" s="26"/>
      <c r="AF184" s="26"/>
    </row>
    <row r="185" ht="17" customHeight="1">
      <c r="A185" s="2"/>
      <c r="B185" t="s" s="24">
        <v>108</v>
      </c>
      <c r="C185" t="s" s="39">
        <v>244</v>
      </c>
      <c r="D185" s="28">
        <v>19.1886962807658</v>
      </c>
      <c r="E185" s="29">
        <v>44.9147643605452</v>
      </c>
      <c r="F185" s="35">
        <v>31.0905754297665</v>
      </c>
      <c r="G185" s="25">
        <v>-13.3033445520672</v>
      </c>
      <c r="H185" s="2"/>
      <c r="I185" s="25">
        <v>4.7</v>
      </c>
      <c r="J185" s="25" cm="1">
        <f t="array" ref="J185">I185/1000</f>
        <v>0.0047</v>
      </c>
      <c r="K185" s="2"/>
      <c r="L185" s="25" cm="1">
        <f t="array" ref="L185">D185*$J185</f>
        <v>0.0901868725195993</v>
      </c>
      <c r="M185" s="25" cm="1">
        <f t="array" ref="M185">E185*$J185</f>
        <v>0.211099392494562</v>
      </c>
      <c r="N185" s="25" cm="1">
        <f t="array" ref="N185">F185*$J185</f>
        <v>0.146125704519903</v>
      </c>
      <c r="O185" s="25" cm="1">
        <f t="array" ref="O185">G185*$J185</f>
        <v>-0.0625257193947158</v>
      </c>
      <c r="P185" s="2"/>
      <c r="Q185" s="25">
        <v>0.0183999999999997</v>
      </c>
      <c r="R185" s="25">
        <v>1</v>
      </c>
      <c r="S185" s="25" cm="1">
        <f t="array" ref="S185">L185/$Q185</f>
        <v>4.90146046302178</v>
      </c>
      <c r="T185" s="25" cm="1">
        <f t="array" ref="T185">M185/$Q185</f>
        <v>11.4727930703568</v>
      </c>
      <c r="U185" s="25" cm="1">
        <f t="array" ref="U185">N185/$Q185</f>
        <v>7.94161437608181</v>
      </c>
      <c r="V185" s="25" cm="1">
        <f t="array" ref="V185">O185/$Q185</f>
        <v>-3.39813692362591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7" customHeight="1">
      <c r="A186" s="2"/>
      <c r="B186" s="2"/>
      <c r="C186" s="2"/>
      <c r="D186" s="46"/>
      <c r="E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7" customHeight="1">
      <c r="A187" s="2"/>
      <c r="B187" s="2"/>
      <c r="C187" s="2"/>
      <c r="D187" s="46"/>
      <c r="E187" s="3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7" customHeight="1">
      <c r="A188" s="2"/>
      <c r="B188" s="2"/>
      <c r="C188" s="2"/>
      <c r="D188" s="46"/>
      <c r="E188" s="3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7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17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17" customHeight="1">
      <c r="A191" s="2"/>
      <c r="B191" s="2"/>
      <c r="C191" s="2"/>
      <c r="D191" s="2"/>
      <c r="E191" s="2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17" customHeight="1">
      <c r="A192" s="2"/>
      <c r="B192" s="2"/>
      <c r="C192" s="2"/>
      <c r="D192" s="46"/>
      <c r="E192" s="33">
        <v>0.00165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17" customHeight="1">
      <c r="A193" s="2"/>
      <c r="B193" s="2"/>
      <c r="C193" s="2"/>
      <c r="D193" s="46"/>
      <c r="E193" s="35">
        <v>0.00165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F188"/>
  <sheetViews>
    <sheetView workbookViewId="0" showGridLines="0" defaultGridColor="1"/>
  </sheetViews>
  <sheetFormatPr defaultColWidth="10.8333" defaultRowHeight="16" customHeight="1" outlineLevelRow="0" outlineLevelCol="0"/>
  <cols>
    <col min="1" max="10" width="10.8516" style="47" customWidth="1"/>
    <col min="11" max="11" width="2.85156" style="47" customWidth="1"/>
    <col min="12" max="17" width="10.8516" style="47" customWidth="1"/>
    <col min="18" max="18" width="2.67188" style="47" customWidth="1"/>
    <col min="19" max="32" width="10.8516" style="47" customWidth="1"/>
    <col min="33" max="16384" width="10.8516" style="47" customWidth="1"/>
  </cols>
  <sheetData>
    <row r="1" ht="17" customHeight="1">
      <c r="A1" s="2"/>
      <c r="B1" s="3"/>
      <c r="C1" s="3"/>
      <c r="D1" t="s" s="4">
        <v>0</v>
      </c>
      <c r="E1" s="5"/>
      <c r="F1" s="5"/>
      <c r="G1" s="5"/>
      <c r="H1" s="2"/>
      <c r="I1" s="3"/>
      <c r="J1" s="3"/>
      <c r="K1" s="5"/>
      <c r="L1" t="s" s="4">
        <v>1</v>
      </c>
      <c r="M1" s="5"/>
      <c r="N1" s="5"/>
      <c r="O1" s="5"/>
      <c r="P1" s="2"/>
      <c r="Q1" t="s" s="6">
        <v>2</v>
      </c>
      <c r="R1" s="2"/>
      <c r="S1" s="5"/>
      <c r="T1" s="5"/>
      <c r="U1" s="5"/>
      <c r="V1" s="5"/>
      <c r="W1" s="2"/>
      <c r="X1" t="s" s="4">
        <v>3</v>
      </c>
      <c r="Y1" s="5"/>
      <c r="Z1" s="5"/>
      <c r="AA1" s="5"/>
      <c r="AB1" s="2"/>
      <c r="AC1" t="s" s="4">
        <v>4</v>
      </c>
      <c r="AD1" s="5"/>
      <c r="AE1" s="5"/>
      <c r="AF1" s="5"/>
    </row>
    <row r="2" ht="36" customHeight="1">
      <c r="A2" s="7"/>
      <c r="B2" t="s" s="8">
        <v>5</v>
      </c>
      <c r="C2" t="s" s="9">
        <v>6</v>
      </c>
      <c r="D2" t="s" s="10">
        <v>7</v>
      </c>
      <c r="E2" t="s" s="10">
        <v>8</v>
      </c>
      <c r="F2" t="s" s="10">
        <v>9</v>
      </c>
      <c r="G2" t="s" s="12">
        <v>10</v>
      </c>
      <c r="H2" s="13"/>
      <c r="I2" t="s" s="14">
        <v>11</v>
      </c>
      <c r="J2" t="s" s="15">
        <v>12</v>
      </c>
      <c r="K2" s="16"/>
      <c r="L2" t="s" s="10">
        <v>7</v>
      </c>
      <c r="M2" t="s" s="10">
        <v>8</v>
      </c>
      <c r="N2" t="s" s="10">
        <v>9</v>
      </c>
      <c r="O2" t="s" s="12">
        <v>10</v>
      </c>
      <c r="P2" s="13"/>
      <c r="Q2" t="s" s="14">
        <v>13</v>
      </c>
      <c r="R2" s="17"/>
      <c r="S2" t="s" s="10">
        <v>7</v>
      </c>
      <c r="T2" t="s" s="10">
        <v>8</v>
      </c>
      <c r="U2" t="s" s="10">
        <v>9</v>
      </c>
      <c r="V2" t="s" s="12">
        <v>10</v>
      </c>
      <c r="W2" s="17"/>
      <c r="X2" t="s" s="10">
        <v>7</v>
      </c>
      <c r="Y2" t="s" s="10">
        <v>8</v>
      </c>
      <c r="Z2" t="s" s="10">
        <v>9</v>
      </c>
      <c r="AA2" t="s" s="12">
        <v>10</v>
      </c>
      <c r="AB2" s="17"/>
      <c r="AC2" t="s" s="10">
        <v>7</v>
      </c>
      <c r="AD2" t="s" s="10">
        <v>8</v>
      </c>
      <c r="AE2" t="s" s="10">
        <v>9</v>
      </c>
      <c r="AF2" t="s" s="18">
        <v>10</v>
      </c>
    </row>
    <row r="3" ht="17" customHeight="1">
      <c r="A3" s="2"/>
      <c r="B3" t="s" s="19">
        <v>14</v>
      </c>
      <c r="C3" t="s" s="20">
        <v>15</v>
      </c>
      <c r="D3" s="21"/>
      <c r="E3" s="21"/>
      <c r="F3" s="21"/>
      <c r="G3" s="21"/>
      <c r="H3" s="2"/>
      <c r="I3" s="22">
        <v>4.7195</v>
      </c>
      <c r="J3" s="22" cm="1">
        <f t="array" ref="J3">I3/1000</f>
        <v>0.0047195</v>
      </c>
      <c r="K3" s="21"/>
      <c r="L3" s="22" cm="1">
        <f t="array" ref="L3">D3*$J3</f>
        <v>0</v>
      </c>
      <c r="M3" s="22" cm="1">
        <f t="array" ref="M3">E3*$J3</f>
        <v>0</v>
      </c>
      <c r="N3" s="22" cm="1">
        <f t="array" ref="N3">F3*$J3</f>
        <v>0</v>
      </c>
      <c r="O3" s="22" cm="1">
        <f t="array" ref="O3">G3*$J3</f>
        <v>0</v>
      </c>
      <c r="P3" s="2"/>
      <c r="Q3" s="22">
        <v>0.0195000000000007</v>
      </c>
      <c r="R3" s="2"/>
      <c r="S3" s="22" cm="1">
        <f t="array" ref="S3">L3/$Q3</f>
        <v>0</v>
      </c>
      <c r="T3" s="22" cm="1">
        <f t="array" ref="T3">M3/$Q3</f>
        <v>0</v>
      </c>
      <c r="U3" s="22" cm="1">
        <f t="array" ref="U3">N3/$Q3</f>
        <v>0</v>
      </c>
      <c r="V3" s="22" cm="1">
        <f t="array" ref="V3">O3/$Q3</f>
        <v>0</v>
      </c>
      <c r="W3" s="2"/>
      <c r="X3" s="22" cm="1">
        <f t="array" ref="X3">AVERAGE(S3:S5)</f>
        <v>0</v>
      </c>
      <c r="Y3" s="22">
        <v>0</v>
      </c>
      <c r="Z3" s="22">
        <v>0</v>
      </c>
      <c r="AA3" s="22" cm="1">
        <f t="array" ref="AA3">AVERAGE(V3:V5)</f>
        <v>0</v>
      </c>
      <c r="AB3" s="2"/>
      <c r="AC3" s="23"/>
      <c r="AD3" s="23"/>
      <c r="AE3" s="23"/>
      <c r="AF3" s="23"/>
    </row>
    <row r="4" ht="17" customHeight="1">
      <c r="A4" s="2"/>
      <c r="B4" t="s" s="24">
        <v>16</v>
      </c>
      <c r="C4" t="s" s="20">
        <v>17</v>
      </c>
      <c r="D4" s="2"/>
      <c r="E4" s="2"/>
      <c r="F4" s="2"/>
      <c r="G4" s="2"/>
      <c r="H4" s="2"/>
      <c r="I4" s="25">
        <v>4.7083</v>
      </c>
      <c r="J4" s="25" cm="1">
        <f t="array" ref="J4">I4/1000</f>
        <v>0.0047083</v>
      </c>
      <c r="K4" s="2"/>
      <c r="L4" s="25" cm="1">
        <f t="array" ref="L4">D4*$J4</f>
        <v>0</v>
      </c>
      <c r="M4" s="25" cm="1">
        <f t="array" ref="M4">E4*$J4</f>
        <v>0</v>
      </c>
      <c r="N4" s="25" cm="1">
        <f t="array" ref="N4">F4*$J4</f>
        <v>0</v>
      </c>
      <c r="O4" s="25" cm="1">
        <f t="array" ref="O4">G4*$J4</f>
        <v>0</v>
      </c>
      <c r="P4" s="2"/>
      <c r="Q4" s="25">
        <v>0.0182</v>
      </c>
      <c r="R4" s="2"/>
      <c r="S4" s="25" cm="1">
        <f t="array" ref="S4">L4/$Q4</f>
        <v>0</v>
      </c>
      <c r="T4" s="25" cm="1">
        <f t="array" ref="T4">M4/$Q4</f>
        <v>0</v>
      </c>
      <c r="U4" s="25" cm="1">
        <f t="array" ref="U4">N4/$Q4</f>
        <v>0</v>
      </c>
      <c r="V4" s="25" cm="1">
        <f t="array" ref="V4">O4/$Q4</f>
        <v>0</v>
      </c>
      <c r="W4" s="2"/>
      <c r="X4" s="2"/>
      <c r="Y4" s="2"/>
      <c r="Z4" s="2"/>
      <c r="AA4" s="2"/>
      <c r="AB4" s="2"/>
      <c r="AC4" s="26"/>
      <c r="AD4" s="26"/>
      <c r="AE4" s="26"/>
      <c r="AF4" s="26"/>
    </row>
    <row r="5" ht="17" customHeight="1">
      <c r="A5" s="2"/>
      <c r="B5" t="s" s="24">
        <v>18</v>
      </c>
      <c r="C5" t="s" s="20">
        <v>19</v>
      </c>
      <c r="D5" s="2"/>
      <c r="E5" s="2"/>
      <c r="F5" s="2"/>
      <c r="G5" s="2"/>
      <c r="H5" s="2"/>
      <c r="I5" s="25">
        <v>4.6946</v>
      </c>
      <c r="J5" s="25" cm="1">
        <f t="array" ref="J5">I5/1000</f>
        <v>0.0046946</v>
      </c>
      <c r="K5" s="2"/>
      <c r="L5" s="25" cm="1">
        <f t="array" ref="L5">D5*$J5</f>
        <v>0</v>
      </c>
      <c r="M5" s="25" cm="1">
        <f t="array" ref="M5">E5*$J5</f>
        <v>0</v>
      </c>
      <c r="N5" s="25" cm="1">
        <f t="array" ref="N5">F5*$J5</f>
        <v>0</v>
      </c>
      <c r="O5" s="25" cm="1">
        <f t="array" ref="O5">G5*$J5</f>
        <v>0</v>
      </c>
      <c r="P5" s="2"/>
      <c r="Q5" s="25">
        <v>0.0182</v>
      </c>
      <c r="R5" s="2"/>
      <c r="S5" s="25" cm="1">
        <f t="array" ref="S5">L5/$Q5</f>
        <v>0</v>
      </c>
      <c r="T5" s="25" cm="1">
        <f t="array" ref="T5">M5/$Q5</f>
        <v>0</v>
      </c>
      <c r="U5" s="25" cm="1">
        <f t="array" ref="U5">N5/$Q5</f>
        <v>0</v>
      </c>
      <c r="V5" s="25" cm="1">
        <f t="array" ref="V5">O5/AVERAGE(Q3:Q5)</f>
        <v>0</v>
      </c>
      <c r="W5" s="2"/>
      <c r="X5" s="2"/>
      <c r="Y5" s="2"/>
      <c r="Z5" s="2"/>
      <c r="AA5" s="2"/>
      <c r="AB5" s="2"/>
      <c r="AC5" s="26"/>
      <c r="AD5" s="26"/>
      <c r="AE5" s="26"/>
      <c r="AF5" s="26"/>
    </row>
    <row r="6" ht="17" customHeight="1">
      <c r="A6" s="2"/>
      <c r="B6" t="s" s="24">
        <v>20</v>
      </c>
      <c r="C6" t="s" s="20">
        <v>21</v>
      </c>
      <c r="D6" s="25">
        <v>7.63293323660372</v>
      </c>
      <c r="E6" s="25">
        <v>7.90719897927628</v>
      </c>
      <c r="F6" s="25">
        <v>12.076593667496</v>
      </c>
      <c r="G6" s="25">
        <v>-8.87610199892787</v>
      </c>
      <c r="H6" s="2"/>
      <c r="I6" s="25">
        <v>4.712</v>
      </c>
      <c r="J6" s="25" cm="1">
        <f t="array" ref="J6">I6/1000</f>
        <v>0.004712</v>
      </c>
      <c r="K6" s="2"/>
      <c r="L6" s="25" cm="1">
        <f t="array" ref="L6">D6*$J6</f>
        <v>0.0359663814108767</v>
      </c>
      <c r="M6" s="25" cm="1">
        <f t="array" ref="M6">E6*$J6</f>
        <v>0.0372587215903498</v>
      </c>
      <c r="N6" s="25" cm="1">
        <f t="array" ref="N6">F6*$J6</f>
        <v>0.0569049093612412</v>
      </c>
      <c r="O6" s="25" cm="1">
        <f t="array" ref="O6">G6*AVERAGE($J6:$J8)</f>
        <v>-0.041750520972357</v>
      </c>
      <c r="P6" s="2"/>
      <c r="Q6" s="25">
        <v>0.0180000000000007</v>
      </c>
      <c r="R6" s="25">
        <v>1</v>
      </c>
      <c r="S6" s="25" cm="1">
        <f t="array" ref="S6">L6/$R6</f>
        <v>0.0359663814108767</v>
      </c>
      <c r="T6" s="25" cm="1">
        <f t="array" ref="T6">M6/$R6</f>
        <v>0.0372587215903498</v>
      </c>
      <c r="U6" s="25" cm="1">
        <f t="array" ref="U6">N6/$R6</f>
        <v>0.0569049093612412</v>
      </c>
      <c r="V6" s="25" cm="1">
        <f t="array" ref="V6">O6/$R6</f>
        <v>-0.041750520972357</v>
      </c>
      <c r="W6" s="2"/>
      <c r="X6" s="25" cm="1">
        <f t="array" ref="X6">S6-X$3-X$13</f>
        <v>-0.250644976162403</v>
      </c>
      <c r="Y6" s="25" cm="1">
        <f t="array" ref="Y6">T6-Y$3-Y$13</f>
        <v>-0.0170594311832217</v>
      </c>
      <c r="Z6" s="25" cm="1">
        <f t="array" ref="Z6">U6-Z$3-Z$13</f>
        <v>-0.0562106137307868</v>
      </c>
      <c r="AA6" s="25" cm="1">
        <f t="array" ref="AA6">V6-AA$3-AA$13</f>
        <v>0.0005790650861541</v>
      </c>
      <c r="AB6" s="2"/>
      <c r="AC6" s="32" cm="1">
        <f t="array" ref="AC6">X6</f>
        <v>-0.250644976162403</v>
      </c>
      <c r="AD6" s="32" cm="1">
        <f t="array" ref="AD6">Y6</f>
        <v>-0.0170594311832217</v>
      </c>
      <c r="AE6" s="32" cm="1">
        <f t="array" ref="AE6">Z6</f>
        <v>-0.0562106137307868</v>
      </c>
      <c r="AF6" s="32" cm="1">
        <f t="array" ref="AF6">AA6</f>
        <v>0.0005790650861541</v>
      </c>
    </row>
    <row r="7" ht="17" customHeight="1">
      <c r="A7" s="2"/>
      <c r="B7" t="s" s="24">
        <v>22</v>
      </c>
      <c r="C7" t="s" s="20">
        <v>23</v>
      </c>
      <c r="D7" s="25">
        <v>24.3558950743096</v>
      </c>
      <c r="E7" s="25">
        <v>5.81003962147908</v>
      </c>
      <c r="F7" s="25">
        <v>20.5383796031702</v>
      </c>
      <c r="G7" s="25">
        <v>-9.20317585034512</v>
      </c>
      <c r="H7" s="2"/>
      <c r="I7" s="25">
        <v>4.7041</v>
      </c>
      <c r="J7" s="25" cm="1">
        <f t="array" ref="J7">I7/1000</f>
        <v>0.0047041</v>
      </c>
      <c r="K7" s="2"/>
      <c r="L7" s="25" cm="1">
        <f t="array" ref="L7">D7*$J7</f>
        <v>0.11457256601906</v>
      </c>
      <c r="M7" s="25" cm="1">
        <f t="array" ref="M7">E7*$J7</f>
        <v>0.0273310073833997</v>
      </c>
      <c r="N7" s="25" cm="1">
        <f t="array" ref="N7">F7*$J7</f>
        <v>0.0966145914912729</v>
      </c>
      <c r="O7" s="25" cm="1">
        <f t="array" ref="O7">G7*$J7</f>
        <v>-0.0432926595176085</v>
      </c>
      <c r="P7" s="2"/>
      <c r="Q7" s="25">
        <v>0.0181999999999984</v>
      </c>
      <c r="R7" s="25">
        <v>1</v>
      </c>
      <c r="S7" s="25" cm="1">
        <f t="array" ref="S7">L7/$R7</f>
        <v>0.11457256601906</v>
      </c>
      <c r="T7" s="25" cm="1">
        <f t="array" ref="T7">M7/$R7</f>
        <v>0.0273310073833997</v>
      </c>
      <c r="U7" s="25" cm="1">
        <f t="array" ref="U7">N7/$R7</f>
        <v>0.0966145914912729</v>
      </c>
      <c r="V7" s="25" cm="1">
        <f t="array" ref="V7">O7/$R7</f>
        <v>-0.0432926595176085</v>
      </c>
      <c r="W7" s="2"/>
      <c r="X7" s="25" cm="1">
        <f t="array" ref="X7">S7-X$3-X$13</f>
        <v>-0.17203879155422</v>
      </c>
      <c r="Y7" s="25" cm="1">
        <f t="array" ref="Y7">T7-Y$3-Y$13</f>
        <v>-0.0269871453901718</v>
      </c>
      <c r="Z7" s="25" cm="1">
        <f t="array" ref="Z7">U7-Z$3-Z$13</f>
        <v>-0.0165009316007551</v>
      </c>
      <c r="AA7" s="25" cm="1">
        <f t="array" ref="AA7">V7-AA$3-AA$13</f>
        <v>-0.0009630734590974</v>
      </c>
      <c r="AB7" s="2"/>
      <c r="AC7" s="32" cm="1">
        <f t="array" ref="AC7">X7</f>
        <v>-0.17203879155422</v>
      </c>
      <c r="AD7" s="32" cm="1">
        <f t="array" ref="AD7">Y7</f>
        <v>-0.0269871453901718</v>
      </c>
      <c r="AE7" s="32" cm="1">
        <f t="array" ref="AE7">Z7</f>
        <v>-0.0165009316007551</v>
      </c>
      <c r="AF7" s="32" cm="1">
        <f t="array" ref="AF7">AA7</f>
        <v>-0.0009630734590974</v>
      </c>
    </row>
    <row r="8" ht="17" customHeight="1">
      <c r="A8" s="2"/>
      <c r="B8" t="s" s="24">
        <v>24</v>
      </c>
      <c r="C8" t="s" s="20">
        <v>25</v>
      </c>
      <c r="D8" s="25">
        <v>8.595122866323941</v>
      </c>
      <c r="E8" s="25">
        <v>5.92322249523099</v>
      </c>
      <c r="F8" s="25">
        <v>15.9632972554776</v>
      </c>
      <c r="G8" s="25">
        <v>-9.31546830687504</v>
      </c>
      <c r="H8" s="2"/>
      <c r="I8" s="25">
        <v>4.695</v>
      </c>
      <c r="J8" s="25" cm="1">
        <f t="array" ref="J8">I8/1000</f>
        <v>0.004695</v>
      </c>
      <c r="K8" s="2"/>
      <c r="L8" s="25" cm="1">
        <f t="array" ref="L8">D8*$J8</f>
        <v>0.0403541018573909</v>
      </c>
      <c r="M8" s="25" cm="1">
        <f t="array" ref="M8">E8*$J8</f>
        <v>0.0278095296151095</v>
      </c>
      <c r="N8" s="25" cm="1">
        <f t="array" ref="N8">F8*$J8</f>
        <v>0.0749476806144673</v>
      </c>
      <c r="O8" s="25" cm="1">
        <f t="array" ref="O8">G8*$J8</f>
        <v>-0.0437361237007783</v>
      </c>
      <c r="P8" s="2"/>
      <c r="Q8" s="25">
        <v>0.0180000000000007</v>
      </c>
      <c r="R8" s="25">
        <v>1</v>
      </c>
      <c r="S8" s="25" cm="1">
        <f t="array" ref="S8">L8/$R8</f>
        <v>0.0403541018573909</v>
      </c>
      <c r="T8" s="25" cm="1">
        <f t="array" ref="T8">M8/$R8</f>
        <v>0.0278095296151095</v>
      </c>
      <c r="U8" s="25" cm="1">
        <f t="array" ref="U8">N8/$R8</f>
        <v>0.0749476806144673</v>
      </c>
      <c r="V8" s="25" cm="1">
        <f t="array" ref="V8">O8/$R8</f>
        <v>-0.0437361237007783</v>
      </c>
      <c r="W8" s="2"/>
      <c r="X8" s="25" cm="1">
        <f t="array" ref="X8">S8-X$3-X$13</f>
        <v>-0.246257255715889</v>
      </c>
      <c r="Y8" s="25" cm="1">
        <f t="array" ref="Y8">T8-Y$3-Y$13</f>
        <v>-0.026508623158462</v>
      </c>
      <c r="Z8" s="25" cm="1">
        <f t="array" ref="Z8">U8-Z$3-Z$13</f>
        <v>-0.0381678424775607</v>
      </c>
      <c r="AA8" s="25" cm="1">
        <f t="array" ref="AA8">V8-AA$3-AA$13</f>
        <v>-0.0014065376422672</v>
      </c>
      <c r="AB8" s="2"/>
      <c r="AC8" s="32" cm="1">
        <f t="array" ref="AC8">X8</f>
        <v>-0.246257255715889</v>
      </c>
      <c r="AD8" s="32" cm="1">
        <f t="array" ref="AD8">Y8</f>
        <v>-0.026508623158462</v>
      </c>
      <c r="AE8" s="32" cm="1">
        <f t="array" ref="AE8">Z8</f>
        <v>-0.0381678424775607</v>
      </c>
      <c r="AF8" s="32" cm="1">
        <f t="array" ref="AF8">AA8</f>
        <v>-0.0014065376422672</v>
      </c>
    </row>
    <row r="9" ht="17" customHeight="1">
      <c r="A9" s="2"/>
      <c r="B9" t="s" s="24">
        <v>26</v>
      </c>
      <c r="C9" t="s" s="20">
        <v>27</v>
      </c>
      <c r="D9" s="25">
        <v>17.4384932346801</v>
      </c>
      <c r="E9" s="25">
        <v>176.9363824881</v>
      </c>
      <c r="F9" s="25">
        <v>19.0499014542993</v>
      </c>
      <c r="G9" s="25">
        <v>-9.848412914443459</v>
      </c>
      <c r="H9" s="2"/>
      <c r="I9" s="25">
        <v>4.6861</v>
      </c>
      <c r="J9" s="25" cm="1">
        <f t="array" ref="J9">I9/1000</f>
        <v>0.0046861</v>
      </c>
      <c r="K9" s="2"/>
      <c r="L9" s="25" cm="1">
        <f t="array" ref="L9">D9*$J9</f>
        <v>0.0817185231470344</v>
      </c>
      <c r="M9" s="25" cm="1">
        <f t="array" ref="M9">E9*$J9</f>
        <v>0.829141581977485</v>
      </c>
      <c r="N9" s="25" cm="1">
        <f t="array" ref="N9">F9*$J9</f>
        <v>0.0892697432049919</v>
      </c>
      <c r="O9" s="25" cm="1">
        <f t="array" ref="O9">G9*$J9</f>
        <v>-0.0461506477583735</v>
      </c>
      <c r="P9" s="2"/>
      <c r="Q9" s="25">
        <v>0.0181000000000004</v>
      </c>
      <c r="R9" s="25">
        <v>1</v>
      </c>
      <c r="S9" s="25" cm="1">
        <f t="array" ref="S9">L9/$R9</f>
        <v>0.0817185231470344</v>
      </c>
      <c r="T9" s="25" cm="1">
        <f t="array" ref="T9">M9/$R9</f>
        <v>0.829141581977485</v>
      </c>
      <c r="U9" s="25" cm="1">
        <f t="array" ref="U9">N9/$R9</f>
        <v>0.0892697432049919</v>
      </c>
      <c r="V9" s="25" cm="1">
        <f t="array" ref="V9">O9/$R9</f>
        <v>-0.0461506477583735</v>
      </c>
      <c r="W9" s="2"/>
      <c r="X9" s="25" cm="1">
        <f t="array" ref="X9">S9-X$3-X$13</f>
        <v>-0.204892834426246</v>
      </c>
      <c r="Y9" s="25" cm="1">
        <f t="array" ref="Y9">T9-Y$3-Y$13</f>
        <v>0.774823429203914</v>
      </c>
      <c r="Z9" s="25" cm="1">
        <f t="array" ref="Z9">U9-Z$3-Z$13</f>
        <v>-0.0238457798870361</v>
      </c>
      <c r="AA9" s="25" cm="1">
        <f t="array" ref="AA9">V9-AA$3-AA$13</f>
        <v>-0.0038210616998624</v>
      </c>
      <c r="AB9" s="2"/>
      <c r="AC9" s="32" cm="1">
        <f t="array" ref="AC9">X9</f>
        <v>-0.204892834426246</v>
      </c>
      <c r="AD9" s="32" cm="1">
        <f t="array" ref="AD9">Y9</f>
        <v>0.774823429203914</v>
      </c>
      <c r="AE9" s="32" cm="1">
        <f t="array" ref="AE9">Z9</f>
        <v>-0.0238457798870361</v>
      </c>
      <c r="AF9" s="32" cm="1">
        <f t="array" ref="AF9">AA9</f>
        <v>-0.0038210616998624</v>
      </c>
    </row>
    <row r="10" ht="17" customHeight="1">
      <c r="A10" s="2"/>
      <c r="B10" t="s" s="24">
        <v>28</v>
      </c>
      <c r="C10" t="s" s="20">
        <v>29</v>
      </c>
      <c r="D10" s="25">
        <v>16.7092715711902</v>
      </c>
      <c r="E10" s="25">
        <v>9.052369218230851</v>
      </c>
      <c r="F10" s="25">
        <v>89.732593985384</v>
      </c>
      <c r="G10" s="25">
        <v>-8.235484030084621</v>
      </c>
      <c r="H10" s="2"/>
      <c r="I10" s="25">
        <v>4.7183</v>
      </c>
      <c r="J10" s="25" cm="1">
        <f t="array" ref="J10">I10/1000</f>
        <v>0.0047183</v>
      </c>
      <c r="K10" s="2"/>
      <c r="L10" s="25" cm="1">
        <f t="array" ref="L10">D10*$J10</f>
        <v>0.07883935605434669</v>
      </c>
      <c r="M10" s="25" cm="1">
        <f t="array" ref="M10">E10*$J10</f>
        <v>0.0427117936823786</v>
      </c>
      <c r="N10" s="25" cm="1">
        <f t="array" ref="N10">F10*$J10</f>
        <v>0.423385298201237</v>
      </c>
      <c r="O10" s="25" cm="1">
        <f t="array" ref="O10">G10*$J10</f>
        <v>-0.0388574842991483</v>
      </c>
      <c r="P10" s="2"/>
      <c r="Q10" s="25">
        <v>0.0178000000000011</v>
      </c>
      <c r="R10" s="25">
        <v>1</v>
      </c>
      <c r="S10" s="25" cm="1">
        <f t="array" ref="S10">L10/$R10</f>
        <v>0.07883935605434669</v>
      </c>
      <c r="T10" s="25" cm="1">
        <f t="array" ref="T10">M10/$R10</f>
        <v>0.0427117936823786</v>
      </c>
      <c r="U10" s="25" cm="1">
        <f t="array" ref="U10">N10/$R10</f>
        <v>0.423385298201237</v>
      </c>
      <c r="V10" s="25" cm="1">
        <f t="array" ref="V10">O10/$R10</f>
        <v>-0.0388574842991483</v>
      </c>
      <c r="W10" s="2"/>
      <c r="X10" s="25" cm="1">
        <f t="array" ref="X10">S10-X$3-X$13</f>
        <v>-0.207772001518933</v>
      </c>
      <c r="Y10" s="25" cm="1">
        <f t="array" ref="Y10">T10-Y$3-Y$13</f>
        <v>-0.0116063590911929</v>
      </c>
      <c r="Z10" s="25" cm="1">
        <f t="array" ref="Z10">U10-Z$3-Z$13</f>
        <v>0.310269775109209</v>
      </c>
      <c r="AA10" s="25" cm="1">
        <f t="array" ref="AA10">V10-AA$3-AA$13</f>
        <v>0.0034721017593628</v>
      </c>
      <c r="AB10" s="2"/>
      <c r="AC10" s="32" cm="1">
        <f t="array" ref="AC10">X10</f>
        <v>-0.207772001518933</v>
      </c>
      <c r="AD10" s="32" cm="1">
        <f t="array" ref="AD10">Y10</f>
        <v>-0.0116063590911929</v>
      </c>
      <c r="AE10" s="32" cm="1">
        <f t="array" ref="AE10">Z10</f>
        <v>0.310269775109209</v>
      </c>
      <c r="AF10" s="32" cm="1">
        <f t="array" ref="AF10">AA10</f>
        <v>0.0034721017593628</v>
      </c>
    </row>
    <row r="11" ht="17" customHeight="1">
      <c r="A11" s="2"/>
      <c r="B11" t="s" s="24">
        <v>30</v>
      </c>
      <c r="C11" t="s" s="20">
        <v>31</v>
      </c>
      <c r="D11" s="25">
        <v>14.5174553389005</v>
      </c>
      <c r="E11" s="25">
        <v>8.894815259007791</v>
      </c>
      <c r="F11" s="25">
        <v>5.71154088322992</v>
      </c>
      <c r="G11" s="25">
        <v>-8.353550577946431</v>
      </c>
      <c r="H11" s="2"/>
      <c r="I11" s="25">
        <v>4.7205</v>
      </c>
      <c r="J11" s="25" cm="1">
        <f t="array" ref="J11">I11/1000</f>
        <v>0.0047205</v>
      </c>
      <c r="K11" s="2"/>
      <c r="L11" s="25" cm="1">
        <f t="array" ref="L11">D11*$J11</f>
        <v>0.06852964792727979</v>
      </c>
      <c r="M11" s="25" cm="1">
        <f t="array" ref="M11">E11*$J11</f>
        <v>0.0419879754301463</v>
      </c>
      <c r="N11" s="25" cm="1">
        <f t="array" ref="N11">F11*$J11</f>
        <v>0.0269613287392868</v>
      </c>
      <c r="O11" s="25" cm="1">
        <f t="array" ref="O11">G11*$J11</f>
        <v>-0.0394329355031961</v>
      </c>
      <c r="P11" s="2"/>
      <c r="Q11" s="25">
        <v>0.0182000000000002</v>
      </c>
      <c r="R11" s="25">
        <v>1</v>
      </c>
      <c r="S11" s="25" cm="1">
        <f t="array" ref="S11">L11/$R11</f>
        <v>0.06852964792727979</v>
      </c>
      <c r="T11" s="25" cm="1">
        <f t="array" ref="T11">M11/$R11</f>
        <v>0.0419879754301463</v>
      </c>
      <c r="U11" s="25" cm="1">
        <f t="array" ref="U11">N11/$R11</f>
        <v>0.0269613287392868</v>
      </c>
      <c r="V11" s="25" cm="1">
        <f t="array" ref="V11">O11/$R11</f>
        <v>-0.0394329355031961</v>
      </c>
      <c r="W11" s="2"/>
      <c r="X11" s="25" cm="1">
        <f t="array" ref="X11">S11-X$3-X$13</f>
        <v>-0.218081709646</v>
      </c>
      <c r="Y11" s="25" cm="1">
        <f t="array" ref="Y11">T11-Y$3-Y$13</f>
        <v>-0.0123301773434252</v>
      </c>
      <c r="Z11" s="25" cm="1">
        <f t="array" ref="Z11">U11-Z$3-Z$13</f>
        <v>-0.0861541943527412</v>
      </c>
      <c r="AA11" s="25" cm="1">
        <f t="array" ref="AA11">V11-AA$3-AA$13</f>
        <v>0.002896650555315</v>
      </c>
      <c r="AB11" s="2"/>
      <c r="AC11" s="32" cm="1">
        <f t="array" ref="AC11">X11</f>
        <v>-0.218081709646</v>
      </c>
      <c r="AD11" s="32" cm="1">
        <f t="array" ref="AD11">Y11</f>
        <v>-0.0123301773434252</v>
      </c>
      <c r="AE11" s="32" cm="1">
        <f t="array" ref="AE11">Z11</f>
        <v>-0.0861541943527412</v>
      </c>
      <c r="AF11" s="32" cm="1">
        <f t="array" ref="AF11">AA11</f>
        <v>0.002896650555315</v>
      </c>
    </row>
    <row r="12" ht="17" customHeight="1">
      <c r="A12" s="2"/>
      <c r="B12" t="s" s="24">
        <v>32</v>
      </c>
      <c r="C12" t="s" s="20">
        <v>33</v>
      </c>
      <c r="D12" s="25">
        <v>3.04705238908849</v>
      </c>
      <c r="E12" s="25">
        <v>15.7352691498615</v>
      </c>
      <c r="F12" s="25">
        <v>9.874943221976039</v>
      </c>
      <c r="G12" s="25">
        <v>-8.666025162190079</v>
      </c>
      <c r="H12" s="2"/>
      <c r="I12" s="25">
        <v>4.7263</v>
      </c>
      <c r="J12" s="25" cm="1">
        <f t="array" ref="J12">I12/1000</f>
        <v>0.0047263</v>
      </c>
      <c r="K12" s="2"/>
      <c r="L12" s="25" cm="1">
        <f t="array" ref="L12">D12*$J12</f>
        <v>0.0144012837065489</v>
      </c>
      <c r="M12" s="25" cm="1">
        <f t="array" ref="M12">E12*$J12</f>
        <v>0.0743696025829904</v>
      </c>
      <c r="N12" s="25" cm="1">
        <f t="array" ref="N12">F12*$J12</f>
        <v>0.0466719441500254</v>
      </c>
      <c r="O12" s="25" cm="1">
        <f t="array" ref="O12">G12*$J12</f>
        <v>-0.040958234724059</v>
      </c>
      <c r="P12" s="2"/>
      <c r="Q12" s="25">
        <v>0.0175000000000001</v>
      </c>
      <c r="R12" s="25">
        <v>1</v>
      </c>
      <c r="S12" s="25" cm="1">
        <f t="array" ref="S12">L12/$R12</f>
        <v>0.0144012837065489</v>
      </c>
      <c r="T12" s="25" cm="1">
        <f t="array" ref="T12">M12/$R12</f>
        <v>0.0743696025829904</v>
      </c>
      <c r="U12" s="25" cm="1">
        <f t="array" ref="U12">N12/$R12</f>
        <v>0.0466719441500254</v>
      </c>
      <c r="V12" s="25" cm="1">
        <f t="array" ref="V12">O12/$R12</f>
        <v>-0.040958234724059</v>
      </c>
      <c r="W12" s="2"/>
      <c r="X12" s="2"/>
      <c r="Y12" s="2"/>
      <c r="Z12" s="2"/>
      <c r="AA12" s="2"/>
      <c r="AB12" s="2"/>
      <c r="AC12" s="26"/>
      <c r="AD12" s="26"/>
      <c r="AE12" s="26"/>
      <c r="AF12" s="26"/>
    </row>
    <row r="13" ht="17" customHeight="1">
      <c r="A13" s="2"/>
      <c r="B13" t="s" s="24">
        <v>34</v>
      </c>
      <c r="C13" t="s" s="20">
        <v>35</v>
      </c>
      <c r="D13" s="25">
        <v>29.2127373900964</v>
      </c>
      <c r="E13" s="25">
        <v>9.543825266098761</v>
      </c>
      <c r="F13" s="25">
        <v>58.0006444876699</v>
      </c>
      <c r="G13" s="25">
        <v>-9.18477847373045</v>
      </c>
      <c r="H13" s="2"/>
      <c r="I13" s="25">
        <v>4.7004</v>
      </c>
      <c r="J13" s="25" cm="1">
        <f t="array" ref="J13">I13/1000</f>
        <v>0.0047004</v>
      </c>
      <c r="K13" s="2"/>
      <c r="L13" s="25" cm="1">
        <f t="array" ref="L13">D13*$J13</f>
        <v>0.137311550828409</v>
      </c>
      <c r="M13" s="25" cm="1">
        <f t="array" ref="M13">E13*$J13</f>
        <v>0.0448597962807706</v>
      </c>
      <c r="N13" s="25" cm="1">
        <f t="array" ref="N13">F13*$J13</f>
        <v>0.272626229349844</v>
      </c>
      <c r="O13" s="25" cm="1">
        <f t="array" ref="O13">G13*$J13</f>
        <v>-0.0431721327379226</v>
      </c>
      <c r="P13" s="2"/>
      <c r="Q13" s="25">
        <v>0.0176999999999996</v>
      </c>
      <c r="R13" s="25">
        <v>1</v>
      </c>
      <c r="S13" s="25" cm="1">
        <f t="array" ref="S13">L13/$R13</f>
        <v>0.137311550828409</v>
      </c>
      <c r="T13" s="25" cm="1">
        <f t="array" ref="T13">M13/$R13</f>
        <v>0.0448597962807706</v>
      </c>
      <c r="U13" s="25" cm="1">
        <f t="array" ref="U13">N13/$R13</f>
        <v>0.272626229349844</v>
      </c>
      <c r="V13" s="25" cm="1">
        <f t="array" ref="V13">O13/$R13</f>
        <v>-0.0431721327379226</v>
      </c>
      <c r="W13" s="2"/>
      <c r="X13" s="25" cm="1">
        <f t="array" ref="X13">AVERAGE(S12:S14)</f>
        <v>0.28661135757328</v>
      </c>
      <c r="Y13" s="25" cm="1">
        <f t="array" ref="Y13">AVERAGE(T12:T14)</f>
        <v>0.0543181527735715</v>
      </c>
      <c r="Z13" s="25" cm="1">
        <f t="array" ref="Z13">AVERAGE(U12:U14)</f>
        <v>0.113115523092028</v>
      </c>
      <c r="AA13" s="25" cm="1">
        <f t="array" ref="AA13">AVERAGE(V12:V14)</f>
        <v>-0.0423295860585111</v>
      </c>
      <c r="AB13" s="2"/>
      <c r="AC13" s="26"/>
      <c r="AD13" s="26"/>
      <c r="AE13" s="26"/>
      <c r="AF13" s="26"/>
    </row>
    <row r="14" ht="17" customHeight="1">
      <c r="A14" s="2"/>
      <c r="B14" t="s" s="24">
        <v>36</v>
      </c>
      <c r="C14" t="s" s="20">
        <v>37</v>
      </c>
      <c r="D14" s="25">
        <v>150.776373508971</v>
      </c>
      <c r="E14" s="25">
        <v>9.31013722068637</v>
      </c>
      <c r="F14" s="25">
        <v>4.26879501250194</v>
      </c>
      <c r="G14" s="25">
        <v>-9.12560219600803</v>
      </c>
      <c r="H14" s="2"/>
      <c r="I14" s="25">
        <v>4.6965</v>
      </c>
      <c r="J14" s="25" cm="1">
        <f t="array" ref="J14">I14/1000</f>
        <v>0.0046965</v>
      </c>
      <c r="K14" s="2"/>
      <c r="L14" s="25" cm="1">
        <f t="array" ref="L14">D14*$J14</f>
        <v>0.708121238184882</v>
      </c>
      <c r="M14" s="25" cm="1">
        <f t="array" ref="M14">E14*$J14</f>
        <v>0.0437250594569535</v>
      </c>
      <c r="N14" s="25" cm="1">
        <f t="array" ref="N14">F14*$J14</f>
        <v>0.0200483957762154</v>
      </c>
      <c r="O14" s="25" cm="1">
        <f t="array" ref="O14">G14*$J14</f>
        <v>-0.0428583907135517</v>
      </c>
      <c r="P14" s="2"/>
      <c r="Q14" s="25">
        <v>0.017100000000001</v>
      </c>
      <c r="R14" s="25">
        <v>1</v>
      </c>
      <c r="S14" s="25" cm="1">
        <f t="array" ref="S14">L14/$R14</f>
        <v>0.708121238184882</v>
      </c>
      <c r="T14" s="25" cm="1">
        <f t="array" ref="T14">M14/$R14</f>
        <v>0.0437250594569535</v>
      </c>
      <c r="U14" s="25" cm="1">
        <f t="array" ref="U14">N14/$R14</f>
        <v>0.0200483957762154</v>
      </c>
      <c r="V14" s="25" cm="1">
        <f t="array" ref="V14">O14/$R14</f>
        <v>-0.0428583907135517</v>
      </c>
      <c r="W14" s="2"/>
      <c r="X14" s="2"/>
      <c r="Y14" s="2"/>
      <c r="Z14" s="2"/>
      <c r="AA14" s="2"/>
      <c r="AB14" s="2"/>
      <c r="AC14" s="26"/>
      <c r="AD14" s="26"/>
      <c r="AE14" s="26"/>
      <c r="AF14" s="26"/>
    </row>
    <row r="15" ht="17" customHeight="1">
      <c r="A15" s="2"/>
      <c r="B15" t="s" s="24">
        <v>38</v>
      </c>
      <c r="C15" t="s" s="20">
        <v>39</v>
      </c>
      <c r="D15" s="25">
        <v>24.8867114668942</v>
      </c>
      <c r="E15" s="25">
        <v>9.64275604435038</v>
      </c>
      <c r="F15" s="25">
        <v>6.96409019361688</v>
      </c>
      <c r="G15" s="25">
        <v>-6.74801243947778</v>
      </c>
      <c r="H15" s="2"/>
      <c r="I15" s="25">
        <v>4.7172</v>
      </c>
      <c r="J15" s="25" cm="1">
        <f t="array" ref="J15">I15/1000</f>
        <v>0.0047172</v>
      </c>
      <c r="K15" s="2"/>
      <c r="L15" s="25" cm="1">
        <f t="array" ref="L15">D15*$J15</f>
        <v>0.117395595331633</v>
      </c>
      <c r="M15" s="25" cm="1">
        <f t="array" ref="M15">E15*$J15</f>
        <v>0.0454868088124096</v>
      </c>
      <c r="N15" s="25" cm="1">
        <f t="array" ref="N15">F15*$J15</f>
        <v>0.0328510062613295</v>
      </c>
      <c r="O15" s="25" cm="1">
        <f t="array" ref="O15">G15*$J15</f>
        <v>-0.0318317242795046</v>
      </c>
      <c r="P15" s="2"/>
      <c r="Q15" s="25">
        <v>0.0167999999999999</v>
      </c>
      <c r="R15" s="25">
        <v>1</v>
      </c>
      <c r="S15" s="25" cm="1">
        <f t="array" ref="S15">L15/$R15</f>
        <v>0.117395595331633</v>
      </c>
      <c r="T15" s="25" cm="1">
        <f t="array" ref="T15">M15/$R15</f>
        <v>0.0454868088124096</v>
      </c>
      <c r="U15" s="25" cm="1">
        <f t="array" ref="U15">N15/$R15</f>
        <v>0.0328510062613295</v>
      </c>
      <c r="V15" s="25" cm="1">
        <f t="array" ref="V15">O15/$R15</f>
        <v>-0.0318317242795046</v>
      </c>
      <c r="W15" s="2"/>
      <c r="X15" s="25" cm="1">
        <f t="array" ref="X15">S15-X$3-X$22</f>
        <v>-0.033033664465659</v>
      </c>
      <c r="Y15" s="25" cm="1">
        <f t="array" ref="Y15">T15-Y$3-Y$22</f>
        <v>-0.0081671787732402</v>
      </c>
      <c r="Z15" s="25" cm="1">
        <f t="array" ref="Z15">U15-Z$3-Z$22</f>
        <v>-0.161642194187719</v>
      </c>
      <c r="AA15" s="25" cm="1">
        <f t="array" ref="AA15">V15-AA$3-AA$22</f>
        <v>0.0001441318932659</v>
      </c>
      <c r="AB15" s="2"/>
      <c r="AC15" s="32" cm="1">
        <f t="array" ref="AC15">X15</f>
        <v>-0.033033664465659</v>
      </c>
      <c r="AD15" s="32" cm="1">
        <f t="array" ref="AD15">Y15</f>
        <v>-0.0081671787732402</v>
      </c>
      <c r="AE15" s="32" cm="1">
        <f t="array" ref="AE15">Z15</f>
        <v>-0.161642194187719</v>
      </c>
      <c r="AF15" s="32" cm="1">
        <f t="array" ref="AF15">AA15</f>
        <v>0.0001441318932659</v>
      </c>
    </row>
    <row r="16" ht="17" customHeight="1">
      <c r="A16" s="2"/>
      <c r="B16" t="s" s="24">
        <v>40</v>
      </c>
      <c r="C16" t="s" s="20">
        <v>41</v>
      </c>
      <c r="D16" s="25">
        <v>17.2332355144498</v>
      </c>
      <c r="E16" s="25">
        <v>10.2816895108654</v>
      </c>
      <c r="F16" s="25">
        <v>12.6366863816982</v>
      </c>
      <c r="G16" s="25">
        <v>-5.19931508336404</v>
      </c>
      <c r="H16" s="2"/>
      <c r="I16" s="25">
        <v>4.708</v>
      </c>
      <c r="J16" s="25" cm="1">
        <f t="array" ref="J16">I16/1000</f>
        <v>0.004708</v>
      </c>
      <c r="K16" s="2"/>
      <c r="L16" s="25" cm="1">
        <f t="array" ref="L16">D16*$J16</f>
        <v>0.08113407280202969</v>
      </c>
      <c r="M16" s="25" cm="1">
        <f t="array" ref="M16">E16*$J16</f>
        <v>0.0484061942171543</v>
      </c>
      <c r="N16" s="25" cm="1">
        <f t="array" ref="N16">F16*$J16</f>
        <v>0.0594935194850351</v>
      </c>
      <c r="O16" s="25" cm="1">
        <f t="array" ref="O16">G16*$J16</f>
        <v>-0.0244783754124779</v>
      </c>
      <c r="P16" s="2"/>
      <c r="Q16" s="25">
        <v>0.017199999999999</v>
      </c>
      <c r="R16" s="25">
        <v>1</v>
      </c>
      <c r="S16" s="25" cm="1">
        <f t="array" ref="S16">L16/$R16</f>
        <v>0.08113407280202969</v>
      </c>
      <c r="T16" s="25" cm="1">
        <f t="array" ref="T16">M16/$R16</f>
        <v>0.0484061942171543</v>
      </c>
      <c r="U16" s="25" cm="1">
        <f t="array" ref="U16">N16/$R16</f>
        <v>0.0594935194850351</v>
      </c>
      <c r="V16" s="25" cm="1">
        <f t="array" ref="V16">O16/$R16</f>
        <v>-0.0244783754124779</v>
      </c>
      <c r="W16" s="2"/>
      <c r="X16" s="25" cm="1">
        <f t="array" ref="X16">S16-X$3-X$22</f>
        <v>-0.0692951869952623</v>
      </c>
      <c r="Y16" s="25" cm="1">
        <f t="array" ref="Y16">T16-Y$3-Y$22</f>
        <v>-0.0052477933684955</v>
      </c>
      <c r="Z16" s="25" cm="1">
        <f t="array" ref="Z16">U16-Z$3-Z$22</f>
        <v>-0.134999680964013</v>
      </c>
      <c r="AA16" s="25" cm="1">
        <f t="array" ref="AA16">V16-AA$3-AA$22</f>
        <v>0.0074974807602926</v>
      </c>
      <c r="AB16" s="2"/>
      <c r="AC16" s="32" cm="1">
        <f t="array" ref="AC16">X16</f>
        <v>-0.0692951869952623</v>
      </c>
      <c r="AD16" s="32" cm="1">
        <f t="array" ref="AD16">Y16</f>
        <v>-0.0052477933684955</v>
      </c>
      <c r="AE16" s="32" cm="1">
        <f t="array" ref="AE16">Z16</f>
        <v>-0.134999680964013</v>
      </c>
      <c r="AF16" s="32" cm="1">
        <f t="array" ref="AF16">AA16</f>
        <v>0.0074974807602926</v>
      </c>
    </row>
    <row r="17" ht="17" customHeight="1">
      <c r="A17" s="2"/>
      <c r="B17" t="s" s="24">
        <v>42</v>
      </c>
      <c r="C17" t="s" s="20">
        <v>43</v>
      </c>
      <c r="D17" s="25">
        <v>19.3401423642105</v>
      </c>
      <c r="E17" s="25">
        <v>14.395686611955</v>
      </c>
      <c r="F17" s="25">
        <v>8.014604141763989</v>
      </c>
      <c r="G17" s="25">
        <v>-6.46961554188423</v>
      </c>
      <c r="H17" s="2"/>
      <c r="I17" s="25">
        <v>4.7133</v>
      </c>
      <c r="J17" s="25" cm="1">
        <f t="array" ref="J17">I17/1000</f>
        <v>0.0047133</v>
      </c>
      <c r="K17" s="2"/>
      <c r="L17" s="25" cm="1">
        <f t="array" ref="L17">D17*$J17</f>
        <v>0.0911558930052333</v>
      </c>
      <c r="M17" s="25" cm="1">
        <f t="array" ref="M17">E17*$J17</f>
        <v>0.06785118970812749</v>
      </c>
      <c r="N17" s="25" cm="1">
        <f t="array" ref="N17">F17*$J17</f>
        <v>0.0377752337013762</v>
      </c>
      <c r="O17" s="25" cm="1">
        <f t="array" ref="O17">G17*$J17</f>
        <v>-0.0304932389335629</v>
      </c>
      <c r="P17" s="2"/>
      <c r="Q17" s="25">
        <v>0.0175999999999998</v>
      </c>
      <c r="R17" s="25">
        <v>1</v>
      </c>
      <c r="S17" s="25" cm="1">
        <f t="array" ref="S17">L17/$R17</f>
        <v>0.0911558930052333</v>
      </c>
      <c r="T17" s="25" cm="1">
        <f t="array" ref="T17">M17/$R17</f>
        <v>0.06785118970812749</v>
      </c>
      <c r="U17" s="25" cm="1">
        <f t="array" ref="U17">N17/$R17</f>
        <v>0.0377752337013762</v>
      </c>
      <c r="V17" s="25" cm="1">
        <f t="array" ref="V17">O17/$R17</f>
        <v>-0.0304932389335629</v>
      </c>
      <c r="W17" s="2"/>
      <c r="X17" s="25" cm="1">
        <f t="array" ref="X17">S17-X$3-X$22</f>
        <v>-0.0592733667920587</v>
      </c>
      <c r="Y17" s="25" cm="1">
        <f t="array" ref="Y17">T17-Y$3-Y$22</f>
        <v>0.0141972021224777</v>
      </c>
      <c r="Z17" s="25" cm="1">
        <f t="array" ref="Z17">U17-Z$3-Z$22</f>
        <v>-0.156717966747672</v>
      </c>
      <c r="AA17" s="25" cm="1">
        <f t="array" ref="AA17">V17-AA$3-AA$22</f>
        <v>0.0014826172392076</v>
      </c>
      <c r="AB17" s="2"/>
      <c r="AC17" s="32" cm="1">
        <f t="array" ref="AC17">X17</f>
        <v>-0.0592733667920587</v>
      </c>
      <c r="AD17" s="32" cm="1">
        <f t="array" ref="AD17">Y17</f>
        <v>0.0141972021224777</v>
      </c>
      <c r="AE17" s="32" cm="1">
        <f t="array" ref="AE17">Z17</f>
        <v>-0.156717966747672</v>
      </c>
      <c r="AF17" s="32" cm="1">
        <f t="array" ref="AF17">AA17</f>
        <v>0.0014826172392076</v>
      </c>
    </row>
    <row r="18" ht="17" customHeight="1">
      <c r="A18" s="2"/>
      <c r="B18" t="s" s="24">
        <v>44</v>
      </c>
      <c r="C18" t="s" s="20">
        <v>45</v>
      </c>
      <c r="D18" s="25">
        <v>13.1042998065913</v>
      </c>
      <c r="E18" s="25">
        <v>10.411184235649</v>
      </c>
      <c r="F18" s="25">
        <v>17.8897419718705</v>
      </c>
      <c r="G18" s="25">
        <v>-6.3988066903258</v>
      </c>
      <c r="H18" s="2"/>
      <c r="I18" s="25">
        <v>4.6935</v>
      </c>
      <c r="J18" s="25" cm="1">
        <f t="array" ref="J18">I18/1000</f>
        <v>0.0046935</v>
      </c>
      <c r="K18" s="2"/>
      <c r="L18" s="25" cm="1">
        <f t="array" ref="L18">D18*$J18</f>
        <v>0.0615050311422363</v>
      </c>
      <c r="M18" s="25" cm="1">
        <f t="array" ref="M18">E18*$J18</f>
        <v>0.0488648932100186</v>
      </c>
      <c r="N18" s="25" cm="1">
        <f t="array" ref="N18">F18*$J18</f>
        <v>0.08396550394497421</v>
      </c>
      <c r="O18" s="25" cm="1">
        <f t="array" ref="O18">G18*$J18</f>
        <v>-0.0300327992010441</v>
      </c>
      <c r="P18" s="2"/>
      <c r="Q18" s="25">
        <v>0.0180000000000007</v>
      </c>
      <c r="R18" s="25">
        <v>1</v>
      </c>
      <c r="S18" s="25" cm="1">
        <f t="array" ref="S18">L18/$R18</f>
        <v>0.0615050311422363</v>
      </c>
      <c r="T18" s="25" cm="1">
        <f t="array" ref="T18">M18/$R18</f>
        <v>0.0488648932100186</v>
      </c>
      <c r="U18" s="25" cm="1">
        <f t="array" ref="U18">N18/$R18</f>
        <v>0.08396550394497421</v>
      </c>
      <c r="V18" s="25" cm="1">
        <f t="array" ref="V18">O18/$R18</f>
        <v>-0.0300327992010441</v>
      </c>
      <c r="W18" s="2"/>
      <c r="X18" s="25" cm="1">
        <f t="array" ref="X18">S18-X$3-X$22</f>
        <v>-0.0889242286550557</v>
      </c>
      <c r="Y18" s="25" cm="1">
        <f t="array" ref="Y18">T18-Y$3-Y$22</f>
        <v>-0.0047890943756312</v>
      </c>
      <c r="Z18" s="25" cm="1">
        <f t="array" ref="Z18">U18-Z$3-Z$22</f>
        <v>-0.110527696504074</v>
      </c>
      <c r="AA18" s="25" cm="1">
        <f t="array" ref="AA18">V18-AA$3-AA$22</f>
        <v>0.0019430569717264</v>
      </c>
      <c r="AB18" s="2"/>
      <c r="AC18" s="32" cm="1">
        <f t="array" ref="AC18">X18</f>
        <v>-0.0889242286550557</v>
      </c>
      <c r="AD18" s="32" cm="1">
        <f t="array" ref="AD18">Y18</f>
        <v>-0.0047890943756312</v>
      </c>
      <c r="AE18" s="32" cm="1">
        <f t="array" ref="AE18">Z18</f>
        <v>-0.110527696504074</v>
      </c>
      <c r="AF18" s="32" cm="1">
        <f t="array" ref="AF18">AA18</f>
        <v>0.0019430569717264</v>
      </c>
    </row>
    <row r="19" ht="17" customHeight="1">
      <c r="A19" s="2"/>
      <c r="B19" t="s" s="24">
        <v>46</v>
      </c>
      <c r="C19" t="s" s="20">
        <v>47</v>
      </c>
      <c r="D19" s="25">
        <v>15.2743021132922</v>
      </c>
      <c r="E19" s="25">
        <v>9.492470137146629</v>
      </c>
      <c r="F19" s="25">
        <v>13.4204228735386</v>
      </c>
      <c r="G19" s="25">
        <v>-6.43273002234422</v>
      </c>
      <c r="H19" s="2"/>
      <c r="I19" s="25">
        <v>4.6862</v>
      </c>
      <c r="J19" s="25" cm="1">
        <f t="array" ref="J19">I19/1000</f>
        <v>0.0046862</v>
      </c>
      <c r="K19" s="2"/>
      <c r="L19" s="25" cm="1">
        <f t="array" ref="L19">D19*$J19</f>
        <v>0.0715784345633099</v>
      </c>
      <c r="M19" s="25" cm="1">
        <f t="array" ref="M19">E19*$J19</f>
        <v>0.0444836135566965</v>
      </c>
      <c r="N19" s="25" cm="1">
        <f t="array" ref="N19">F19*$J19</f>
        <v>0.06289078566997661</v>
      </c>
      <c r="O19" s="25" cm="1">
        <f t="array" ref="O19">G19*$J19</f>
        <v>-0.0301450594307095</v>
      </c>
      <c r="P19" s="2"/>
      <c r="Q19" s="25">
        <v>0.0175000000000001</v>
      </c>
      <c r="R19" s="25">
        <v>1</v>
      </c>
      <c r="S19" s="25" cm="1">
        <f t="array" ref="S19">L19/$R19</f>
        <v>0.0715784345633099</v>
      </c>
      <c r="T19" s="25" cm="1">
        <f t="array" ref="T19">M19/$R19</f>
        <v>0.0444836135566965</v>
      </c>
      <c r="U19" s="25" cm="1">
        <f t="array" ref="U19">N19/$R19</f>
        <v>0.06289078566997661</v>
      </c>
      <c r="V19" s="25" cm="1">
        <f t="array" ref="V19">O19/$R19</f>
        <v>-0.0301450594307095</v>
      </c>
      <c r="W19" s="2"/>
      <c r="X19" s="25" cm="1">
        <f t="array" ref="X19">S19-X$3-X$22</f>
        <v>-0.0788508252339821</v>
      </c>
      <c r="Y19" s="25" cm="1">
        <f t="array" ref="Y19">T19-Y$3-Y$22</f>
        <v>-0.0091703740289533</v>
      </c>
      <c r="Z19" s="25" cm="1">
        <f t="array" ref="Z19">U19-Z$3-Z$22</f>
        <v>-0.131602414779071</v>
      </c>
      <c r="AA19" s="25" cm="1">
        <f t="array" ref="AA19">V19-AA$3-AA$22</f>
        <v>0.001830796742061</v>
      </c>
      <c r="AB19" s="2"/>
      <c r="AC19" s="32" cm="1">
        <f t="array" ref="AC19">X19</f>
        <v>-0.0788508252339821</v>
      </c>
      <c r="AD19" s="32" cm="1">
        <f t="array" ref="AD19">Y19</f>
        <v>-0.0091703740289533</v>
      </c>
      <c r="AE19" s="32" cm="1">
        <f t="array" ref="AE19">Z19</f>
        <v>-0.131602414779071</v>
      </c>
      <c r="AF19" s="32" cm="1">
        <f t="array" ref="AF19">AA19</f>
        <v>0.001830796742061</v>
      </c>
    </row>
    <row r="20" ht="17" customHeight="1">
      <c r="A20" s="2"/>
      <c r="B20" t="s" s="24">
        <v>48</v>
      </c>
      <c r="C20" t="s" s="20">
        <v>49</v>
      </c>
      <c r="D20" s="25">
        <v>12.8983523240688</v>
      </c>
      <c r="E20" s="25">
        <v>7.45317436251193</v>
      </c>
      <c r="F20" s="25">
        <v>4.80256731643554</v>
      </c>
      <c r="G20" s="25">
        <v>-6.49749770487544</v>
      </c>
      <c r="H20" s="2"/>
      <c r="I20" s="25">
        <v>4.7149</v>
      </c>
      <c r="J20" s="25" cm="1">
        <f t="array" ref="J20">I20/1000</f>
        <v>0.0047149</v>
      </c>
      <c r="K20" s="2"/>
      <c r="L20" s="25" cm="1">
        <f t="array" ref="L20">D20*$J20</f>
        <v>0.060814441372752</v>
      </c>
      <c r="M20" s="25" cm="1">
        <f t="array" ref="M20">E20*$J20</f>
        <v>0.0351409718018075</v>
      </c>
      <c r="N20" s="25" cm="1">
        <f t="array" ref="N20">F20*$J20</f>
        <v>0.0226436246402619</v>
      </c>
      <c r="O20" s="25" cm="1">
        <f t="array" ref="O20">G20*$J20</f>
        <v>-0.0306350519287172</v>
      </c>
      <c r="P20" s="2"/>
      <c r="Q20" s="25">
        <v>0.0179000000000009</v>
      </c>
      <c r="R20" s="25">
        <v>1</v>
      </c>
      <c r="S20" s="25" cm="1">
        <f t="array" ref="S20">L20/$R20</f>
        <v>0.060814441372752</v>
      </c>
      <c r="T20" s="25" cm="1">
        <f t="array" ref="T20">M20/$R20</f>
        <v>0.0351409718018075</v>
      </c>
      <c r="U20" s="25" cm="1">
        <f t="array" ref="U20">N20/$R20</f>
        <v>0.0226436246402619</v>
      </c>
      <c r="V20" s="25" cm="1">
        <f t="array" ref="V20">O20/$R20</f>
        <v>-0.0306350519287172</v>
      </c>
      <c r="W20" s="2"/>
      <c r="X20" s="25" cm="1">
        <f t="array" ref="X20">S20-X$3-X$22</f>
        <v>-0.08961481842454</v>
      </c>
      <c r="Y20" s="25" cm="1">
        <f t="array" ref="Y20">T20-Y$3-Y$22</f>
        <v>-0.0185130157838423</v>
      </c>
      <c r="Z20" s="25" cm="1">
        <f t="array" ref="Z20">U20-Z$3-Z$22</f>
        <v>-0.171849575808786</v>
      </c>
      <c r="AA20" s="25" cm="1">
        <f t="array" ref="AA20">V20-AA$3-AA$22</f>
        <v>0.0013408042440533</v>
      </c>
      <c r="AB20" s="2"/>
      <c r="AC20" s="32" cm="1">
        <f t="array" ref="AC20">X20</f>
        <v>-0.08961481842454</v>
      </c>
      <c r="AD20" s="32" cm="1">
        <f t="array" ref="AD20">Y20</f>
        <v>-0.0185130157838423</v>
      </c>
      <c r="AE20" s="32" cm="1">
        <f t="array" ref="AE20">Z20</f>
        <v>-0.171849575808786</v>
      </c>
      <c r="AF20" s="32" cm="1">
        <f t="array" ref="AF20">AA20</f>
        <v>0.0013408042440533</v>
      </c>
    </row>
    <row r="21" ht="17" customHeight="1">
      <c r="A21" s="2"/>
      <c r="B21" t="s" s="24">
        <v>50</v>
      </c>
      <c r="C21" t="s" s="20">
        <v>51</v>
      </c>
      <c r="D21" s="25">
        <v>61.6121565397709</v>
      </c>
      <c r="E21" s="25">
        <v>7.18257004044942</v>
      </c>
      <c r="F21" s="25">
        <v>10.9269596269432</v>
      </c>
      <c r="G21" s="25">
        <v>-6.84797691495934</v>
      </c>
      <c r="H21" s="2"/>
      <c r="I21" s="25">
        <v>4.7299</v>
      </c>
      <c r="J21" s="25" cm="1">
        <f t="array" ref="J21">I21/1000</f>
        <v>0.0047299</v>
      </c>
      <c r="K21" s="2"/>
      <c r="L21" s="25" cm="1">
        <f t="array" ref="L21">D21*$J21</f>
        <v>0.291419339217462</v>
      </c>
      <c r="M21" s="25" cm="1">
        <f t="array" ref="M21">E21*$J21</f>
        <v>0.0339728380343217</v>
      </c>
      <c r="N21" s="25" cm="1">
        <f t="array" ref="N21">F21*$J21</f>
        <v>0.0516834263394786</v>
      </c>
      <c r="O21" s="25" cm="1">
        <f t="array" ref="O21">G21*$J21</f>
        <v>-0.0323902460100662</v>
      </c>
      <c r="P21" s="2"/>
      <c r="Q21" s="25">
        <v>0.0184000000000015</v>
      </c>
      <c r="R21" s="25">
        <v>1</v>
      </c>
      <c r="S21" s="25" cm="1">
        <f t="array" ref="S21">L21/$R21</f>
        <v>0.291419339217462</v>
      </c>
      <c r="T21" s="25" cm="1">
        <f t="array" ref="T21">M21/$R21</f>
        <v>0.0339728380343217</v>
      </c>
      <c r="U21" s="25" cm="1">
        <f t="array" ref="U21">N21/$R21</f>
        <v>0.0516834263394786</v>
      </c>
      <c r="V21" s="25" cm="1">
        <f t="array" ref="V21">O21/$R21</f>
        <v>-0.0323902460100662</v>
      </c>
      <c r="W21" s="2"/>
      <c r="X21" s="2"/>
      <c r="Y21" s="2"/>
      <c r="Z21" s="2"/>
      <c r="AA21" s="2"/>
      <c r="AB21" s="2"/>
      <c r="AC21" s="26"/>
      <c r="AD21" s="26"/>
      <c r="AE21" s="26"/>
      <c r="AF21" s="26"/>
    </row>
    <row r="22" ht="17" customHeight="1">
      <c r="A22" s="2"/>
      <c r="B22" t="s" s="24">
        <v>52</v>
      </c>
      <c r="C22" t="s" s="20">
        <v>53</v>
      </c>
      <c r="D22" s="25">
        <v>17.2452587046768</v>
      </c>
      <c r="E22" s="25">
        <v>10.7704940483173</v>
      </c>
      <c r="F22" s="25">
        <v>8.467604164658191</v>
      </c>
      <c r="G22" s="25">
        <v>-6.67627910266544</v>
      </c>
      <c r="H22" s="2"/>
      <c r="I22" s="25">
        <v>4.7298</v>
      </c>
      <c r="J22" s="25" cm="1">
        <f t="array" ref="J22">I22/1000</f>
        <v>0.0047298</v>
      </c>
      <c r="K22" s="2"/>
      <c r="L22" s="25" cm="1">
        <f t="array" ref="L22">D22*$J22</f>
        <v>0.0815666246213803</v>
      </c>
      <c r="M22" s="25" cm="1">
        <f t="array" ref="M22">E22*$J22</f>
        <v>0.0509422827497312</v>
      </c>
      <c r="N22" s="25" cm="1">
        <f t="array" ref="N22">F22*$J22</f>
        <v>0.0400500741780003</v>
      </c>
      <c r="O22" s="25" cm="1">
        <f t="array" ref="O22">G22*$J22</f>
        <v>-0.031577464899787</v>
      </c>
      <c r="P22" s="2"/>
      <c r="Q22" s="25">
        <v>0.0180999999999987</v>
      </c>
      <c r="R22" s="25">
        <v>1</v>
      </c>
      <c r="S22" s="25" cm="1">
        <f t="array" ref="S22">L22/$R22</f>
        <v>0.0815666246213803</v>
      </c>
      <c r="T22" s="25" cm="1">
        <f t="array" ref="T22">M22/$R22</f>
        <v>0.0509422827497312</v>
      </c>
      <c r="U22" s="25" cm="1">
        <f t="array" ref="U22">N22/$R22</f>
        <v>0.0400500741780003</v>
      </c>
      <c r="V22" s="25" cm="1">
        <f t="array" ref="V22">O22/$R22</f>
        <v>-0.031577464899787</v>
      </c>
      <c r="W22" s="2"/>
      <c r="X22" s="25" cm="1">
        <f t="array" ref="X22">AVERAGE(S21:S23)</f>
        <v>0.150429259797292</v>
      </c>
      <c r="Y22" s="25" cm="1">
        <f t="array" ref="Y22">AVERAGE(T21:T23)</f>
        <v>0.0536539875856498</v>
      </c>
      <c r="Z22" s="25" cm="1">
        <f t="array" ref="Z22">AVERAGE(U21:U23)</f>
        <v>0.194493200449048</v>
      </c>
      <c r="AA22" s="25" cm="1">
        <f t="array" ref="AA22">AVERAGE(V21:V23)</f>
        <v>-0.0319758561727705</v>
      </c>
      <c r="AB22" s="2"/>
      <c r="AC22" s="26"/>
      <c r="AD22" s="26"/>
      <c r="AE22" s="26"/>
      <c r="AF22" s="26"/>
    </row>
    <row r="23" ht="17" customHeight="1">
      <c r="A23" s="2"/>
      <c r="B23" t="s" s="24">
        <v>54</v>
      </c>
      <c r="C23" t="s" s="20">
        <v>55</v>
      </c>
      <c r="D23" s="25">
        <v>16.647917581544</v>
      </c>
      <c r="E23" s="25">
        <v>16.1684827939143</v>
      </c>
      <c r="F23" s="25">
        <v>104.551197182818</v>
      </c>
      <c r="G23" s="25">
        <v>-6.79505413285247</v>
      </c>
      <c r="H23" s="2"/>
      <c r="I23" s="25">
        <v>4.7034</v>
      </c>
      <c r="J23" s="25" cm="1">
        <f t="array" ref="J23">I23/1000</f>
        <v>0.0047034</v>
      </c>
      <c r="K23" s="2"/>
      <c r="L23" s="25" cm="1">
        <f t="array" ref="L23">D23*$J23</f>
        <v>0.078301815553034</v>
      </c>
      <c r="M23" s="25" cm="1">
        <f t="array" ref="M23">E23*$J23</f>
        <v>0.0760468419728965</v>
      </c>
      <c r="N23" s="25" cm="1">
        <f t="array" ref="N23">F23*$J23</f>
        <v>0.491746100829666</v>
      </c>
      <c r="O23" s="25" cm="1">
        <f t="array" ref="O23">G23*$J23</f>
        <v>-0.0319598576084583</v>
      </c>
      <c r="P23" s="2"/>
      <c r="Q23" s="25">
        <v>0.0183999999999997</v>
      </c>
      <c r="R23" s="25">
        <v>1</v>
      </c>
      <c r="S23" s="25" cm="1">
        <f t="array" ref="S23">L23/$R23</f>
        <v>0.078301815553034</v>
      </c>
      <c r="T23" s="25" cm="1">
        <f t="array" ref="T23">M23/$R23</f>
        <v>0.0760468419728965</v>
      </c>
      <c r="U23" s="25" cm="1">
        <f t="array" ref="U23">N23/$R23</f>
        <v>0.491746100829666</v>
      </c>
      <c r="V23" s="25" cm="1">
        <f t="array" ref="V23">O23/$R23</f>
        <v>-0.0319598576084583</v>
      </c>
      <c r="W23" s="2"/>
      <c r="X23" s="2"/>
      <c r="Y23" s="2"/>
      <c r="Z23" s="2"/>
      <c r="AA23" s="2"/>
      <c r="AB23" s="2"/>
      <c r="AC23" s="26"/>
      <c r="AD23" s="26"/>
      <c r="AE23" s="26"/>
      <c r="AF23" s="26"/>
    </row>
    <row r="24" ht="17" customHeight="1">
      <c r="A24" s="2"/>
      <c r="B24" t="s" s="24">
        <v>56</v>
      </c>
      <c r="C24" t="s" s="20">
        <v>57</v>
      </c>
      <c r="D24" s="25">
        <v>11.7135684079459</v>
      </c>
      <c r="E24" s="25">
        <v>12.4876881811314</v>
      </c>
      <c r="F24" s="25">
        <v>10.3055348773786</v>
      </c>
      <c r="G24" s="25">
        <v>-7.03471784402791</v>
      </c>
      <c r="H24" s="2"/>
      <c r="I24" s="25">
        <v>4.7184</v>
      </c>
      <c r="J24" s="25" cm="1">
        <f t="array" ref="J24">I24/1000</f>
        <v>0.0047184</v>
      </c>
      <c r="K24" s="2"/>
      <c r="L24" s="25" cm="1">
        <f t="array" ref="L24">D24*$J24</f>
        <v>0.0552693011760519</v>
      </c>
      <c r="M24" s="25" cm="1">
        <f t="array" ref="M24">E24*$J24</f>
        <v>0.0589219079138504</v>
      </c>
      <c r="N24" s="25" cm="1">
        <f t="array" ref="N24">F24*$J24</f>
        <v>0.0486256357654232</v>
      </c>
      <c r="O24" s="25" cm="1">
        <f t="array" ref="O24">G24*$J24</f>
        <v>-0.0331926126752613</v>
      </c>
      <c r="P24" s="2"/>
      <c r="Q24" s="25">
        <v>0.0183</v>
      </c>
      <c r="R24" s="25">
        <v>1</v>
      </c>
      <c r="S24" s="25" cm="1">
        <f t="array" ref="S24">L24/$R24</f>
        <v>0.0552693011760519</v>
      </c>
      <c r="T24" s="25" cm="1">
        <f t="array" ref="T24">M24/$R24</f>
        <v>0.0589219079138504</v>
      </c>
      <c r="U24" s="25" cm="1">
        <f t="array" ref="U24">N24/$R24</f>
        <v>0.0486256357654232</v>
      </c>
      <c r="V24" s="25" cm="1">
        <f t="array" ref="V24">O24/$R24</f>
        <v>-0.0331926126752613</v>
      </c>
      <c r="W24" s="2"/>
      <c r="X24" s="25" cm="1">
        <f t="array" ref="X24">S24-X$3-X$31</f>
        <v>-0.350794613151442</v>
      </c>
      <c r="Y24" s="25" cm="1">
        <f t="array" ref="Y24">T24-Y$3-Y$31</f>
        <v>-0.0020669466355427</v>
      </c>
      <c r="Z24" s="25" cm="1">
        <f t="array" ref="Z24">U24-Z$3-Z$31</f>
        <v>-0.0118456475862967</v>
      </c>
      <c r="AA24" s="25" cm="1">
        <f t="array" ref="AA24">V24-AA$3-AA$31</f>
        <v>-0.0019499921786684</v>
      </c>
      <c r="AB24" s="2"/>
      <c r="AC24" s="32" cm="1">
        <f t="array" ref="AC24">X24</f>
        <v>-0.350794613151442</v>
      </c>
      <c r="AD24" s="32" cm="1">
        <f t="array" ref="AD24">Y24</f>
        <v>-0.0020669466355427</v>
      </c>
      <c r="AE24" s="32" cm="1">
        <f t="array" ref="AE24">Z24</f>
        <v>-0.0118456475862967</v>
      </c>
      <c r="AF24" s="32" cm="1">
        <f t="array" ref="AF24">AA24</f>
        <v>-0.0019499921786684</v>
      </c>
    </row>
    <row r="25" ht="17" customHeight="1">
      <c r="A25" s="2"/>
      <c r="B25" t="s" s="24">
        <v>58</v>
      </c>
      <c r="C25" t="s" s="20">
        <v>59</v>
      </c>
      <c r="D25" s="25">
        <v>34.6205848540528</v>
      </c>
      <c r="E25" s="25">
        <v>30.7909165583617</v>
      </c>
      <c r="F25" s="25">
        <v>15.5024778970867</v>
      </c>
      <c r="G25" s="25">
        <v>-6.90119373722742</v>
      </c>
      <c r="H25" s="2"/>
      <c r="I25" s="25">
        <v>4.6816</v>
      </c>
      <c r="J25" s="25" cm="1">
        <f t="array" ref="J25">I25/1000</f>
        <v>0.0046816</v>
      </c>
      <c r="K25" s="2"/>
      <c r="L25" s="25" cm="1">
        <f t="array" ref="L25">D25*$J25</f>
        <v>0.162079730052734</v>
      </c>
      <c r="M25" s="25" cm="1">
        <f t="array" ref="M25">E25*$J25</f>
        <v>0.144150754959626</v>
      </c>
      <c r="N25" s="25" cm="1">
        <f t="array" ref="N25">F25*$J25</f>
        <v>0.0725764005230011</v>
      </c>
      <c r="O25" s="25" cm="1">
        <f t="array" ref="O25">G25*$J25</f>
        <v>-0.0323086286002039</v>
      </c>
      <c r="P25" s="2"/>
      <c r="Q25" s="25">
        <v>0.0181999999999984</v>
      </c>
      <c r="R25" s="25">
        <v>1</v>
      </c>
      <c r="S25" s="25" cm="1">
        <f t="array" ref="S25">L25/$R25</f>
        <v>0.162079730052734</v>
      </c>
      <c r="T25" s="25" cm="1">
        <f t="array" ref="T25">M25/$R25</f>
        <v>0.144150754959626</v>
      </c>
      <c r="U25" s="25" cm="1">
        <f t="array" ref="U25">N25/$R25</f>
        <v>0.0725764005230011</v>
      </c>
      <c r="V25" s="25" cm="1">
        <f t="array" ref="V25">O25/$R25</f>
        <v>-0.0323086286002039</v>
      </c>
      <c r="W25" s="2"/>
      <c r="X25" s="25" cm="1">
        <f t="array" ref="X25">S25-X$3-X$31</f>
        <v>-0.24398418427476</v>
      </c>
      <c r="Y25" s="25" cm="1">
        <f t="array" ref="Y25">T25-Y$3-Y$31</f>
        <v>0.0831619004102329</v>
      </c>
      <c r="Z25" s="25" cm="1">
        <f t="array" ref="Z25">U25-Z$3-Z$31</f>
        <v>0.0121051171712812</v>
      </c>
      <c r="AA25" s="25" cm="1">
        <f t="array" ref="AA25">V25-AA$3-AA$31</f>
        <v>-0.001066008103611</v>
      </c>
      <c r="AB25" s="2"/>
      <c r="AC25" s="32" cm="1">
        <f t="array" ref="AC25">X25</f>
        <v>-0.24398418427476</v>
      </c>
      <c r="AD25" s="32" cm="1">
        <f t="array" ref="AD25">Y25</f>
        <v>0.0831619004102329</v>
      </c>
      <c r="AE25" s="32" cm="1">
        <f t="array" ref="AE25">Z25</f>
        <v>0.0121051171712812</v>
      </c>
      <c r="AF25" s="32" cm="1">
        <f t="array" ref="AF25">AA25</f>
        <v>-0.001066008103611</v>
      </c>
    </row>
    <row r="26" ht="17" customHeight="1">
      <c r="A26" s="2"/>
      <c r="B26" t="s" s="24">
        <v>60</v>
      </c>
      <c r="C26" t="s" s="20">
        <v>61</v>
      </c>
      <c r="D26" s="25">
        <v>17.6398324876932</v>
      </c>
      <c r="E26" s="25">
        <v>12.6656329613969</v>
      </c>
      <c r="F26" s="25">
        <v>7.69830261978151</v>
      </c>
      <c r="G26" s="25">
        <v>-6.74486585645386</v>
      </c>
      <c r="H26" s="2"/>
      <c r="I26" s="25">
        <v>4.6939</v>
      </c>
      <c r="J26" s="25" cm="1">
        <f t="array" ref="J26">I26/1000</f>
        <v>0.0046939</v>
      </c>
      <c r="K26" s="2"/>
      <c r="L26" s="25" cm="1">
        <f t="array" ref="L26">D26*$J26</f>
        <v>0.0827996097139831</v>
      </c>
      <c r="M26" s="25" cm="1">
        <f t="array" ref="M26">E26*$J26</f>
        <v>0.0594512145575009</v>
      </c>
      <c r="N26" s="25" cm="1">
        <f t="array" ref="N26">F26*$J26</f>
        <v>0.0361350626669924</v>
      </c>
      <c r="O26" s="25" cm="1">
        <f t="array" ref="O26">G26*$J26</f>
        <v>-0.0316597258436088</v>
      </c>
      <c r="P26" s="2"/>
      <c r="Q26" s="25">
        <v>0.0182000000000002</v>
      </c>
      <c r="R26" s="25">
        <v>1</v>
      </c>
      <c r="S26" s="25" cm="1">
        <f t="array" ref="S26">L26/$R26</f>
        <v>0.0827996097139831</v>
      </c>
      <c r="T26" s="25" cm="1">
        <f t="array" ref="T26">M26/$R26</f>
        <v>0.0594512145575009</v>
      </c>
      <c r="U26" s="25" cm="1">
        <f t="array" ref="U26">N26/$R26</f>
        <v>0.0361350626669924</v>
      </c>
      <c r="V26" s="25" cm="1">
        <f t="array" ref="V26">O26/$R26</f>
        <v>-0.0316597258436088</v>
      </c>
      <c r="W26" s="2"/>
      <c r="X26" s="25" cm="1">
        <f t="array" ref="X26">S26-X$3-X$31</f>
        <v>-0.323264304613511</v>
      </c>
      <c r="Y26" s="25" cm="1">
        <f t="array" ref="Y26">T26-Y$3-Y$31</f>
        <v>-0.0015376399918922</v>
      </c>
      <c r="Z26" s="25" cm="1">
        <f t="array" ref="Z26">U26-Z$3-Z$31</f>
        <v>-0.0243362206847275</v>
      </c>
      <c r="AA26" s="25" cm="1">
        <f t="array" ref="AA26">V26-AA$3-AA$31</f>
        <v>-0.0004171053470159</v>
      </c>
      <c r="AB26" s="2"/>
      <c r="AC26" s="32" cm="1">
        <f t="array" ref="AC26">X26</f>
        <v>-0.323264304613511</v>
      </c>
      <c r="AD26" s="32" cm="1">
        <f t="array" ref="AD26">Y26</f>
        <v>-0.0015376399918922</v>
      </c>
      <c r="AE26" s="32" cm="1">
        <f t="array" ref="AE26">Z26</f>
        <v>-0.0243362206847275</v>
      </c>
      <c r="AF26" s="32" cm="1">
        <f t="array" ref="AF26">AA26</f>
        <v>-0.0004171053470159</v>
      </c>
    </row>
    <row r="27" ht="17" customHeight="1">
      <c r="A27" s="2"/>
      <c r="B27" t="s" s="24">
        <v>62</v>
      </c>
      <c r="C27" t="s" s="20">
        <v>63</v>
      </c>
      <c r="D27" s="25">
        <v>21.4124199871973</v>
      </c>
      <c r="E27" s="25">
        <v>14.0594437388642</v>
      </c>
      <c r="F27" s="25">
        <v>5.85361968985189</v>
      </c>
      <c r="G27" s="25">
        <v>-6.87848146713763</v>
      </c>
      <c r="H27" s="2"/>
      <c r="I27" s="25">
        <v>4.7023</v>
      </c>
      <c r="J27" s="25" cm="1">
        <f t="array" ref="J27">I27/1000</f>
        <v>0.0047023</v>
      </c>
      <c r="K27" s="2"/>
      <c r="L27" s="25" cm="1">
        <f t="array" ref="L27">D27*$J27</f>
        <v>0.100687622505798</v>
      </c>
      <c r="M27" s="25" cm="1">
        <f t="array" ref="M27">E27*$J27</f>
        <v>0.06611172229326109</v>
      </c>
      <c r="N27" s="25" cm="1">
        <f t="array" ref="N27">F27*$J27</f>
        <v>0.0275254758675905</v>
      </c>
      <c r="O27" s="25" cm="1">
        <f t="array" ref="O27">G27*$J27</f>
        <v>-0.0323446834029213</v>
      </c>
      <c r="P27" s="2"/>
      <c r="Q27" s="25">
        <v>0.0183</v>
      </c>
      <c r="R27" s="25">
        <v>1</v>
      </c>
      <c r="S27" s="25" cm="1">
        <f t="array" ref="S27">L27/$R27</f>
        <v>0.100687622505798</v>
      </c>
      <c r="T27" s="25" cm="1">
        <f t="array" ref="T27">M27/$R27</f>
        <v>0.06611172229326109</v>
      </c>
      <c r="U27" s="25" cm="1">
        <f t="array" ref="U27">N27/$R27</f>
        <v>0.0275254758675905</v>
      </c>
      <c r="V27" s="25" cm="1">
        <f t="array" ref="V27">O27/$R27</f>
        <v>-0.0323446834029213</v>
      </c>
      <c r="W27" s="2"/>
      <c r="X27" s="25" cm="1">
        <f t="array" ref="X27">S27-X$3-X$31</f>
        <v>-0.305376291821696</v>
      </c>
      <c r="Y27" s="25" cm="1">
        <f t="array" ref="Y27">T27-Y$3-Y$31</f>
        <v>0.005122867743868</v>
      </c>
      <c r="Z27" s="25" cm="1">
        <f t="array" ref="Z27">U27-Z$3-Z$31</f>
        <v>-0.0329458074841294</v>
      </c>
      <c r="AA27" s="25" cm="1">
        <f t="array" ref="AA27">V27-AA$3-AA$31</f>
        <v>-0.0011020629063284</v>
      </c>
      <c r="AB27" s="2"/>
      <c r="AC27" s="32" cm="1">
        <f t="array" ref="AC27">X27</f>
        <v>-0.305376291821696</v>
      </c>
      <c r="AD27" s="32" cm="1">
        <f t="array" ref="AD27">Y27</f>
        <v>0.005122867743868</v>
      </c>
      <c r="AE27" s="32" cm="1">
        <f t="array" ref="AE27">Z27</f>
        <v>-0.0329458074841294</v>
      </c>
      <c r="AF27" s="32" cm="1">
        <f t="array" ref="AF27">AA27</f>
        <v>-0.0011020629063284</v>
      </c>
    </row>
    <row r="28" ht="17" customHeight="1">
      <c r="A28" s="2"/>
      <c r="B28" t="s" s="24">
        <v>64</v>
      </c>
      <c r="C28" t="s" s="20">
        <v>65</v>
      </c>
      <c r="D28" s="25">
        <v>33.0092124203434</v>
      </c>
      <c r="E28" s="25">
        <v>11.9858416999422</v>
      </c>
      <c r="F28" s="25">
        <v>25.5537491858786</v>
      </c>
      <c r="G28" s="25">
        <v>-6.42843038948703</v>
      </c>
      <c r="H28" s="2"/>
      <c r="I28" s="25">
        <v>4.7</v>
      </c>
      <c r="J28" s="25" cm="1">
        <f t="array" ref="J28">I28/1000</f>
        <v>0.0047</v>
      </c>
      <c r="K28" s="2"/>
      <c r="L28" s="25" cm="1">
        <f t="array" ref="L28">D28*$J28</f>
        <v>0.155143298375614</v>
      </c>
      <c r="M28" s="25" cm="1">
        <f t="array" ref="M28">E28*$J28</f>
        <v>0.0563334559897283</v>
      </c>
      <c r="N28" s="25" cm="1">
        <f t="array" ref="N28">F28*$J28</f>
        <v>0.120102621173629</v>
      </c>
      <c r="O28" s="25" cm="1">
        <f t="array" ref="O28">G28*$J28</f>
        <v>-0.030213622830589</v>
      </c>
      <c r="P28" s="2"/>
      <c r="Q28" s="25">
        <v>0.0179000000000009</v>
      </c>
      <c r="R28" s="25">
        <v>1</v>
      </c>
      <c r="S28" s="25" cm="1">
        <f t="array" ref="S28">L28/$R28</f>
        <v>0.155143298375614</v>
      </c>
      <c r="T28" s="25" cm="1">
        <f t="array" ref="T28">M28/$R28</f>
        <v>0.0563334559897283</v>
      </c>
      <c r="U28" s="25" cm="1">
        <f t="array" ref="U28">N28/$R28</f>
        <v>0.120102621173629</v>
      </c>
      <c r="V28" s="25" cm="1">
        <f t="array" ref="V28">O28/$R28</f>
        <v>-0.030213622830589</v>
      </c>
      <c r="W28" s="2"/>
      <c r="X28" s="25" cm="1">
        <f t="array" ref="X28">S28-X$3-X$31</f>
        <v>-0.25092061595188</v>
      </c>
      <c r="Y28" s="25" cm="1">
        <f t="array" ref="Y28">T28-Y$3-Y$31</f>
        <v>-0.0046553985596648</v>
      </c>
      <c r="Z28" s="25" cm="1">
        <f t="array" ref="Z28">U28-Z$3-Z$31</f>
        <v>0.0596313378219091</v>
      </c>
      <c r="AA28" s="25" cm="1">
        <f t="array" ref="AA28">V28-AA$3-AA$31</f>
        <v>0.0010289976660039</v>
      </c>
      <c r="AB28" s="2"/>
      <c r="AC28" s="32" cm="1">
        <f t="array" ref="AC28">X28</f>
        <v>-0.25092061595188</v>
      </c>
      <c r="AD28" s="32" cm="1">
        <f t="array" ref="AD28">Y28</f>
        <v>-0.0046553985596648</v>
      </c>
      <c r="AE28" s="32" cm="1">
        <f t="array" ref="AE28">Z28</f>
        <v>0.0596313378219091</v>
      </c>
      <c r="AF28" s="32" cm="1">
        <f t="array" ref="AF28">AA28</f>
        <v>0.0010289976660039</v>
      </c>
    </row>
    <row r="29" ht="17" customHeight="1">
      <c r="A29" s="2"/>
      <c r="B29" t="s" s="24">
        <v>66</v>
      </c>
      <c r="C29" t="s" s="20">
        <v>67</v>
      </c>
      <c r="D29" s="25">
        <v>29.6982117422824</v>
      </c>
      <c r="E29" s="25">
        <v>15.8236897843479</v>
      </c>
      <c r="F29" s="25">
        <v>23.8801696526993</v>
      </c>
      <c r="G29" s="25">
        <v>-6.70300012374097</v>
      </c>
      <c r="H29" s="2"/>
      <c r="I29" s="25">
        <v>4.7</v>
      </c>
      <c r="J29" s="25" cm="1">
        <f t="array" ref="J29">I29/1000</f>
        <v>0.0047</v>
      </c>
      <c r="K29" s="2"/>
      <c r="L29" s="25" cm="1">
        <f t="array" ref="L29">D29*$J29</f>
        <v>0.139581595188727</v>
      </c>
      <c r="M29" s="25" cm="1">
        <f t="array" ref="M29">E29*$J29</f>
        <v>0.07437134198643509</v>
      </c>
      <c r="N29" s="25" cm="1">
        <f t="array" ref="N29">F29*$J29</f>
        <v>0.112236797367687</v>
      </c>
      <c r="O29" s="25" cm="1">
        <f t="array" ref="O29">G29*$J29</f>
        <v>-0.0315041005815826</v>
      </c>
      <c r="P29" s="2"/>
      <c r="Q29" s="25">
        <v>0.0179999999999989</v>
      </c>
      <c r="R29" s="25">
        <v>1</v>
      </c>
      <c r="S29" s="25" cm="1">
        <f t="array" ref="S29">L29/$R29</f>
        <v>0.139581595188727</v>
      </c>
      <c r="T29" s="25" cm="1">
        <f t="array" ref="T29">M29/$R29</f>
        <v>0.07437134198643509</v>
      </c>
      <c r="U29" s="25" cm="1">
        <f t="array" ref="U29">N29/$R29</f>
        <v>0.112236797367687</v>
      </c>
      <c r="V29" s="25" cm="1">
        <f t="array" ref="V29">O29/$R29</f>
        <v>-0.0315041005815826</v>
      </c>
      <c r="W29" s="2"/>
      <c r="X29" s="25" cm="1">
        <f t="array" ref="X29">S29-X$3-X$31</f>
        <v>-0.266482319138767</v>
      </c>
      <c r="Y29" s="25" cm="1">
        <f t="array" ref="Y29">T29-Y$3-Y$31</f>
        <v>0.013382487437042</v>
      </c>
      <c r="Z29" s="25" cm="1">
        <f t="array" ref="Z29">U29-Z$3-Z$31</f>
        <v>0.0517655140159671</v>
      </c>
      <c r="AA29" s="25" cm="1">
        <f t="array" ref="AA29">V29-AA$3-AA$31</f>
        <v>-0.0002614800849897</v>
      </c>
      <c r="AB29" s="2"/>
      <c r="AC29" s="32" cm="1">
        <f t="array" ref="AC29">X29</f>
        <v>-0.266482319138767</v>
      </c>
      <c r="AD29" s="32" cm="1">
        <f t="array" ref="AD29">Y29</f>
        <v>0.013382487437042</v>
      </c>
      <c r="AE29" s="32" cm="1">
        <f t="array" ref="AE29">Z29</f>
        <v>0.0517655140159671</v>
      </c>
      <c r="AF29" s="32" cm="1">
        <f t="array" ref="AF29">AA29</f>
        <v>-0.0002614800849897</v>
      </c>
    </row>
    <row r="30" ht="17" customHeight="1">
      <c r="A30" s="2"/>
      <c r="B30" t="s" s="24">
        <v>68</v>
      </c>
      <c r="C30" t="s" s="20">
        <v>69</v>
      </c>
      <c r="D30" s="25">
        <v>35.080065723728</v>
      </c>
      <c r="E30" s="25">
        <v>10.0006745023341</v>
      </c>
      <c r="F30" s="25">
        <v>8.02874543645677</v>
      </c>
      <c r="G30" s="25">
        <v>-6.1949650010867</v>
      </c>
      <c r="H30" s="2"/>
      <c r="I30" s="25">
        <v>4.7</v>
      </c>
      <c r="J30" s="25" cm="1">
        <f t="array" ref="J30">I30/1000</f>
        <v>0.0047</v>
      </c>
      <c r="K30" s="2"/>
      <c r="L30" s="25" cm="1">
        <f t="array" ref="L30">D30*$J30</f>
        <v>0.164876308901522</v>
      </c>
      <c r="M30" s="25" cm="1">
        <f t="array" ref="M30">E30*$J30</f>
        <v>0.0470031701609703</v>
      </c>
      <c r="N30" s="25" cm="1">
        <f t="array" ref="N30">F30*$J30</f>
        <v>0.0377351035513468</v>
      </c>
      <c r="O30" s="25" cm="1">
        <f t="array" ref="O30">G30*$J30</f>
        <v>-0.0291163355051075</v>
      </c>
      <c r="P30" s="2"/>
      <c r="Q30" s="25">
        <v>0.0188000000000006</v>
      </c>
      <c r="R30" s="25">
        <v>1</v>
      </c>
      <c r="S30" s="25" cm="1">
        <f t="array" ref="S30">L30/$R30</f>
        <v>0.164876308901522</v>
      </c>
      <c r="T30" s="25" cm="1">
        <f t="array" ref="T30">M30/$R30</f>
        <v>0.0470031701609703</v>
      </c>
      <c r="U30" s="25" cm="1">
        <f t="array" ref="U30">N30/$R30</f>
        <v>0.0377351035513468</v>
      </c>
      <c r="V30" s="25" cm="1">
        <f t="array" ref="V30">O30/$R30</f>
        <v>-0.0291163355051075</v>
      </c>
      <c r="W30" s="2"/>
      <c r="X30" s="2"/>
      <c r="Y30" s="2"/>
      <c r="Z30" s="2"/>
      <c r="AA30" s="2"/>
      <c r="AB30" s="2"/>
      <c r="AC30" s="26"/>
      <c r="AD30" s="26"/>
      <c r="AE30" s="26"/>
      <c r="AF30" s="26"/>
    </row>
    <row r="31" ht="17" customHeight="1">
      <c r="A31" s="2"/>
      <c r="B31" t="s" s="24">
        <v>70</v>
      </c>
      <c r="C31" t="s" s="20">
        <v>71</v>
      </c>
      <c r="D31" s="25">
        <v>34.5759151676513</v>
      </c>
      <c r="E31" s="25">
        <v>17.8002755577542</v>
      </c>
      <c r="F31" s="25">
        <v>21.8944739580662</v>
      </c>
      <c r="G31" s="25">
        <v>-7.60045114423734</v>
      </c>
      <c r="H31" s="2"/>
      <c r="I31" s="25">
        <v>4.7</v>
      </c>
      <c r="J31" s="25" cm="1">
        <f t="array" ref="J31">I31/1000</f>
        <v>0.0047</v>
      </c>
      <c r="K31" s="2"/>
      <c r="L31" s="25" cm="1">
        <f t="array" ref="L31">D31*$J31</f>
        <v>0.162506801287961</v>
      </c>
      <c r="M31" s="25" cm="1">
        <f t="array" ref="M31">E31*$J31</f>
        <v>0.0836612951214447</v>
      </c>
      <c r="N31" s="25" cm="1">
        <f t="array" ref="N31">F31*$J31</f>
        <v>0.102904027602911</v>
      </c>
      <c r="O31" s="25" cm="1">
        <f t="array" ref="O31">G31*$J31</f>
        <v>-0.0357221203779155</v>
      </c>
      <c r="P31" s="2"/>
      <c r="Q31" s="25">
        <v>0.0183999999999997</v>
      </c>
      <c r="R31" s="25">
        <v>1</v>
      </c>
      <c r="S31" s="25" cm="1">
        <f t="array" ref="S31">L31/$R31</f>
        <v>0.162506801287961</v>
      </c>
      <c r="T31" s="25" cm="1">
        <f t="array" ref="T31">M31/$R31</f>
        <v>0.0836612951214447</v>
      </c>
      <c r="U31" s="25" cm="1">
        <f t="array" ref="U31">N31/$R31</f>
        <v>0.102904027602911</v>
      </c>
      <c r="V31" s="25" cm="1">
        <f t="array" ref="V31">O31/$R31</f>
        <v>-0.0357221203779155</v>
      </c>
      <c r="W31" s="2"/>
      <c r="X31" s="25" cm="1">
        <f t="array" ref="X31">AVERAGE(S30:S32)</f>
        <v>0.406063914327494</v>
      </c>
      <c r="Y31" s="25" cm="1">
        <f t="array" ref="Y31">AVERAGE(T30:T32)</f>
        <v>0.0609888545493931</v>
      </c>
      <c r="Z31" s="25" cm="1">
        <f t="array" ref="Z31">AVERAGE(U30:U32)</f>
        <v>0.0604712833517199</v>
      </c>
      <c r="AA31" s="25" cm="1">
        <f t="array" ref="AA31">AVERAGE(V30:V32)</f>
        <v>-0.0312426204965929</v>
      </c>
      <c r="AB31" s="2"/>
      <c r="AC31" s="26"/>
      <c r="AD31" s="26"/>
      <c r="AE31" s="26"/>
      <c r="AF31" s="26"/>
    </row>
    <row r="32" ht="17" customHeight="1">
      <c r="A32" s="2"/>
      <c r="B32" t="s" s="36">
        <v>72</v>
      </c>
      <c r="C32" t="s" s="20">
        <v>73</v>
      </c>
      <c r="D32" s="25">
        <v>189.533751658085</v>
      </c>
      <c r="E32" s="25">
        <v>11.128106035269</v>
      </c>
      <c r="F32" s="25">
        <v>8.675472106574849</v>
      </c>
      <c r="G32" s="25">
        <v>-6.14668204399059</v>
      </c>
      <c r="H32" s="2"/>
      <c r="I32" s="25">
        <v>4.7</v>
      </c>
      <c r="J32" s="25" cm="1">
        <f t="array" ref="J32">I32/1000</f>
        <v>0.0047</v>
      </c>
      <c r="K32" s="2"/>
      <c r="L32" s="25" cm="1">
        <f t="array" ref="L32">D32*$J32</f>
        <v>0.890808632793</v>
      </c>
      <c r="M32" s="25" cm="1">
        <f t="array" ref="M32">E32*$J32</f>
        <v>0.0523020983657643</v>
      </c>
      <c r="N32" s="25" cm="1">
        <f t="array" ref="N32">F32*$J32</f>
        <v>0.0407747189009018</v>
      </c>
      <c r="O32" s="25" cm="1">
        <f t="array" ref="O32">G32*$J32</f>
        <v>-0.0288894056067558</v>
      </c>
      <c r="P32" s="2"/>
      <c r="Q32" s="25">
        <v>0.0182000000000002</v>
      </c>
      <c r="R32" s="25">
        <v>1</v>
      </c>
      <c r="S32" s="25" cm="1">
        <f t="array" ref="S32">L32/$R32</f>
        <v>0.890808632793</v>
      </c>
      <c r="T32" s="25" cm="1">
        <f t="array" ref="T32">M32/$R32</f>
        <v>0.0523020983657643</v>
      </c>
      <c r="U32" s="25" cm="1">
        <f t="array" ref="U32">N32/$R32</f>
        <v>0.0407747189009018</v>
      </c>
      <c r="V32" s="25" cm="1">
        <f t="array" ref="V32">O32/$R32</f>
        <v>-0.0288894056067558</v>
      </c>
      <c r="W32" s="2"/>
      <c r="X32" s="2"/>
      <c r="Y32" s="2"/>
      <c r="Z32" s="2"/>
      <c r="AA32" s="2"/>
      <c r="AB32" s="2"/>
      <c r="AC32" s="26"/>
      <c r="AD32" s="26"/>
      <c r="AE32" s="26"/>
      <c r="AF32" s="26"/>
    </row>
    <row r="33" ht="17" customHeight="1">
      <c r="A33" s="2"/>
      <c r="B33" t="s" s="19">
        <v>74</v>
      </c>
      <c r="C33" t="s" s="20">
        <v>75</v>
      </c>
      <c r="D33" s="25">
        <v>25.1144141711334</v>
      </c>
      <c r="E33" s="25">
        <v>65.960495666784</v>
      </c>
      <c r="F33" s="25">
        <v>30.6642247066849</v>
      </c>
      <c r="G33" s="25">
        <v>-7.04521085378034</v>
      </c>
      <c r="H33" s="2"/>
      <c r="I33" s="25">
        <v>4.7</v>
      </c>
      <c r="J33" s="25" cm="1">
        <f t="array" ref="J33">I33/1000</f>
        <v>0.0047</v>
      </c>
      <c r="K33" s="2"/>
      <c r="L33" s="25" cm="1">
        <f t="array" ref="L33">D33*$J33</f>
        <v>0.118037746604327</v>
      </c>
      <c r="M33" s="25" cm="1">
        <f t="array" ref="M33">E33*$J33</f>
        <v>0.310014329633885</v>
      </c>
      <c r="N33" s="25" cm="1">
        <f t="array" ref="N33">F33*$J33</f>
        <v>0.144121856121419</v>
      </c>
      <c r="O33" s="25" cm="1">
        <f t="array" ref="O33">G33*$J33</f>
        <v>-0.0331124910127676</v>
      </c>
      <c r="P33" s="2"/>
      <c r="Q33" s="25">
        <v>0.0185999999999993</v>
      </c>
      <c r="R33" s="25">
        <v>1</v>
      </c>
      <c r="S33" s="25" cm="1">
        <f t="array" ref="S33">L33/$R33</f>
        <v>0.118037746604327</v>
      </c>
      <c r="T33" s="25" cm="1">
        <f t="array" ref="T33">M33/$R33</f>
        <v>0.310014329633885</v>
      </c>
      <c r="U33" s="25" cm="1">
        <f t="array" ref="U33">N33/$R33</f>
        <v>0.144121856121419</v>
      </c>
      <c r="V33" s="25" cm="1">
        <f t="array" ref="V33">O33/$R33</f>
        <v>-0.0331124910127676</v>
      </c>
      <c r="W33" s="2"/>
      <c r="X33" s="25" cm="1">
        <f t="array" ref="X33">S33-X$3-X$40</f>
        <v>0.0572079801621522</v>
      </c>
      <c r="Y33" s="25" cm="1">
        <f t="array" ref="Y33">T33-Y$3-Y$40</f>
        <v>0.244482894302477</v>
      </c>
      <c r="Z33" s="25" cm="1">
        <f t="array" ref="Z33">U33-Z$3-Z$40</f>
        <v>0.10294494985322</v>
      </c>
      <c r="AA33" s="25" cm="1">
        <f t="array" ref="AA33">V33-AA$3-AA$40</f>
        <v>0.000287344748537</v>
      </c>
      <c r="AB33" s="2"/>
      <c r="AC33" s="32" cm="1">
        <f t="array" ref="AC33">X33</f>
        <v>0.0572079801621522</v>
      </c>
      <c r="AD33" s="32" cm="1">
        <f t="array" ref="AD33">Y33</f>
        <v>0.244482894302477</v>
      </c>
      <c r="AE33" s="32" cm="1">
        <f t="array" ref="AE33">Z33</f>
        <v>0.10294494985322</v>
      </c>
      <c r="AF33" s="32" cm="1">
        <f t="array" ref="AF33">AA33</f>
        <v>0.000287344748537</v>
      </c>
    </row>
    <row r="34" ht="17" customHeight="1">
      <c r="A34" s="2"/>
      <c r="B34" t="s" s="24">
        <v>76</v>
      </c>
      <c r="C34" t="s" s="20">
        <v>77</v>
      </c>
      <c r="D34" s="25">
        <v>23.8765268016907</v>
      </c>
      <c r="E34" s="25">
        <v>142.237308978340</v>
      </c>
      <c r="F34" s="25">
        <v>23.3585557310147</v>
      </c>
      <c r="G34" s="25">
        <v>-7.789725684475</v>
      </c>
      <c r="H34" s="2"/>
      <c r="I34" s="25">
        <v>4.7</v>
      </c>
      <c r="J34" s="25" cm="1">
        <f t="array" ref="J34">I34/1000</f>
        <v>0.0047</v>
      </c>
      <c r="K34" s="2"/>
      <c r="L34" s="25" cm="1">
        <f t="array" ref="L34">D34*$J34</f>
        <v>0.112219675967946</v>
      </c>
      <c r="M34" s="25" cm="1">
        <f t="array" ref="M34">E34*$J34</f>
        <v>0.668515352198198</v>
      </c>
      <c r="N34" s="25" cm="1">
        <f t="array" ref="N34">F34*$J34</f>
        <v>0.109785211935769</v>
      </c>
      <c r="O34" s="25" cm="1">
        <f t="array" ref="O34">G34*$J34</f>
        <v>-0.0366117107170325</v>
      </c>
      <c r="P34" s="2"/>
      <c r="Q34" s="25">
        <v>0.0187000000000008</v>
      </c>
      <c r="R34" s="25">
        <v>1</v>
      </c>
      <c r="S34" s="25" cm="1">
        <f t="array" ref="S34">L34/$R34</f>
        <v>0.112219675967946</v>
      </c>
      <c r="T34" s="25" cm="1">
        <f t="array" ref="T34">M34/$R34</f>
        <v>0.668515352198198</v>
      </c>
      <c r="U34" s="25" cm="1">
        <f t="array" ref="U34">N34/$R34</f>
        <v>0.109785211935769</v>
      </c>
      <c r="V34" s="25" cm="1">
        <f t="array" ref="V34">O34/$R34</f>
        <v>-0.0366117107170325</v>
      </c>
      <c r="W34" s="2"/>
      <c r="X34" s="25" cm="1">
        <f t="array" ref="X34">S34-X$3-X$40</f>
        <v>0.0513899095257712</v>
      </c>
      <c r="Y34" s="25" cm="1">
        <f t="array" ref="Y34">T34-Y$3-Y$40</f>
        <v>0.60298391686679</v>
      </c>
      <c r="Z34" s="25" cm="1">
        <f t="array" ref="Z34">U34-Z$3-Z$40</f>
        <v>0.0686083056675702</v>
      </c>
      <c r="AA34" s="25" cm="1">
        <f t="array" ref="AA34">V34-AA$3-AA$40</f>
        <v>-0.0032118749557279</v>
      </c>
      <c r="AB34" s="2"/>
      <c r="AC34" s="32" cm="1">
        <f t="array" ref="AC34">X34</f>
        <v>0.0513899095257712</v>
      </c>
      <c r="AD34" s="32" cm="1">
        <f t="array" ref="AD34">Y34</f>
        <v>0.60298391686679</v>
      </c>
      <c r="AE34" s="32" cm="1">
        <f t="array" ref="AE34">Z34</f>
        <v>0.0686083056675702</v>
      </c>
      <c r="AF34" s="32" cm="1">
        <f t="array" ref="AF34">AA34</f>
        <v>-0.0032118749557279</v>
      </c>
    </row>
    <row r="35" ht="17" customHeight="1">
      <c r="A35" s="2"/>
      <c r="B35" t="s" s="24">
        <v>78</v>
      </c>
      <c r="C35" t="s" s="20">
        <v>79</v>
      </c>
      <c r="D35" s="25">
        <v>21.7049575440255</v>
      </c>
      <c r="E35" s="25">
        <v>11.1943476292013</v>
      </c>
      <c r="F35" s="25">
        <v>12.3659520406527</v>
      </c>
      <c r="G35" s="25">
        <v>-6.59878315628002</v>
      </c>
      <c r="H35" s="2"/>
      <c r="I35" s="25">
        <v>4.7</v>
      </c>
      <c r="J35" s="25" cm="1">
        <f t="array" ref="J35">I35/1000</f>
        <v>0.0047</v>
      </c>
      <c r="K35" s="2"/>
      <c r="L35" s="25" cm="1">
        <f t="array" ref="L35">D35*$J35</f>
        <v>0.10201330045692</v>
      </c>
      <c r="M35" s="25" cm="1">
        <f t="array" ref="M35">E35*$J35</f>
        <v>0.0526134338572461</v>
      </c>
      <c r="N35" s="25" cm="1">
        <f t="array" ref="N35">F35*$J35</f>
        <v>0.0581199745910677</v>
      </c>
      <c r="O35" s="25" cm="1">
        <f t="array" ref="O35">G35*$J35</f>
        <v>-0.0310142808345161</v>
      </c>
      <c r="P35" s="2"/>
      <c r="Q35" s="25">
        <v>0.0183999999999997</v>
      </c>
      <c r="R35" s="25">
        <v>1</v>
      </c>
      <c r="S35" s="25" cm="1">
        <f t="array" ref="S35">L35/$R35</f>
        <v>0.10201330045692</v>
      </c>
      <c r="T35" s="25" cm="1">
        <f t="array" ref="T35">M35/$R35</f>
        <v>0.0526134338572461</v>
      </c>
      <c r="U35" s="25" cm="1">
        <f t="array" ref="U35">N35/$R35</f>
        <v>0.0581199745910677</v>
      </c>
      <c r="V35" s="25" cm="1">
        <f t="array" ref="V35">O35/$R35</f>
        <v>-0.0310142808345161</v>
      </c>
      <c r="W35" s="2"/>
      <c r="X35" s="25" cm="1">
        <f t="array" ref="X35">S35-X$3-X$40</f>
        <v>0.0411835340147452</v>
      </c>
      <c r="Y35" s="25" cm="1">
        <f t="array" ref="Y35">T35-Y$3-Y$40</f>
        <v>-0.0129180014741619</v>
      </c>
      <c r="Z35" s="25" cm="1">
        <f t="array" ref="Z35">U35-Z$3-Z$40</f>
        <v>0.0169430683228689</v>
      </c>
      <c r="AA35" s="25" cm="1">
        <f t="array" ref="AA35">V35-AA$3-AA$40</f>
        <v>0.0023855549267885</v>
      </c>
      <c r="AB35" s="2"/>
      <c r="AC35" s="32" cm="1">
        <f t="array" ref="AC35">X35</f>
        <v>0.0411835340147452</v>
      </c>
      <c r="AD35" s="32" cm="1">
        <f t="array" ref="AD35">Y35</f>
        <v>-0.0129180014741619</v>
      </c>
      <c r="AE35" s="32" cm="1">
        <f t="array" ref="AE35">Z35</f>
        <v>0.0169430683228689</v>
      </c>
      <c r="AF35" s="32" cm="1">
        <f t="array" ref="AF35">AA35</f>
        <v>0.0023855549267885</v>
      </c>
    </row>
    <row r="36" ht="17" customHeight="1">
      <c r="A36" s="2"/>
      <c r="B36" t="s" s="24">
        <v>80</v>
      </c>
      <c r="C36" t="s" s="20">
        <v>81</v>
      </c>
      <c r="D36" s="25">
        <v>19.6209120479029</v>
      </c>
      <c r="E36" s="25">
        <v>13.5870249297569</v>
      </c>
      <c r="F36" s="25">
        <v>9.682753009407779</v>
      </c>
      <c r="G36" s="25">
        <v>-6.24979767220694</v>
      </c>
      <c r="H36" s="2"/>
      <c r="I36" s="25">
        <v>4.7</v>
      </c>
      <c r="J36" s="25" cm="1">
        <f t="array" ref="J36">I36/1000</f>
        <v>0.0047</v>
      </c>
      <c r="K36" s="2"/>
      <c r="L36" s="25" cm="1">
        <f t="array" ref="L36">D36*$J36</f>
        <v>0.0922182866251436</v>
      </c>
      <c r="M36" s="25" cm="1">
        <f t="array" ref="M36">E36*$J36</f>
        <v>0.0638590171698574</v>
      </c>
      <c r="N36" s="25" cm="1">
        <f t="array" ref="N36">F36*$J36</f>
        <v>0.0455089391442166</v>
      </c>
      <c r="O36" s="25" cm="1">
        <f t="array" ref="O36">G36*$J36</f>
        <v>-0.0293740490593726</v>
      </c>
      <c r="P36" s="2"/>
      <c r="Q36" s="25">
        <v>0.0188000000000006</v>
      </c>
      <c r="R36" s="25">
        <v>1</v>
      </c>
      <c r="S36" s="25" cm="1">
        <f t="array" ref="S36">L36/$R36</f>
        <v>0.0922182866251436</v>
      </c>
      <c r="T36" s="25" cm="1">
        <f t="array" ref="T36">M36/$R36</f>
        <v>0.0638590171698574</v>
      </c>
      <c r="U36" s="25" cm="1">
        <f t="array" ref="U36">N36/$R36</f>
        <v>0.0455089391442166</v>
      </c>
      <c r="V36" s="25" cm="1">
        <f t="array" ref="V36">O36/$R36</f>
        <v>-0.0293740490593726</v>
      </c>
      <c r="W36" s="2"/>
      <c r="X36" s="25" cm="1">
        <f t="array" ref="X36">S36-X$3-X$40</f>
        <v>0.0313885201829688</v>
      </c>
      <c r="Y36" s="25" cm="1">
        <f t="array" ref="Y36">T36-Y$3-Y$40</f>
        <v>-0.0016724181615506</v>
      </c>
      <c r="Z36" s="25" cm="1">
        <f t="array" ref="Z36">U36-Z$3-Z$40</f>
        <v>0.0043320328760178</v>
      </c>
      <c r="AA36" s="25" cm="1">
        <f t="array" ref="AA36">V36-AA$3-AA$40</f>
        <v>0.004025786701932</v>
      </c>
      <c r="AB36" s="2"/>
      <c r="AC36" s="32" cm="1">
        <f t="array" ref="AC36">X36</f>
        <v>0.0313885201829688</v>
      </c>
      <c r="AD36" s="32" cm="1">
        <f t="array" ref="AD36">Y36</f>
        <v>-0.0016724181615506</v>
      </c>
      <c r="AE36" s="32" cm="1">
        <f t="array" ref="AE36">Z36</f>
        <v>0.0043320328760178</v>
      </c>
      <c r="AF36" s="32" cm="1">
        <f t="array" ref="AF36">AA36</f>
        <v>0.004025786701932</v>
      </c>
    </row>
    <row r="37" ht="17" customHeight="1">
      <c r="A37" s="2"/>
      <c r="B37" t="s" s="24">
        <v>82</v>
      </c>
      <c r="C37" t="s" s="20">
        <v>83</v>
      </c>
      <c r="D37" s="25">
        <v>24.1742966086213</v>
      </c>
      <c r="E37" s="25">
        <v>95.3273784638066</v>
      </c>
      <c r="F37" s="25">
        <v>67.0809865296268</v>
      </c>
      <c r="G37" s="25">
        <v>-5.88974640959199</v>
      </c>
      <c r="H37" s="2"/>
      <c r="I37" s="25">
        <v>4.7</v>
      </c>
      <c r="J37" s="25" cm="1">
        <f t="array" ref="J37">I37/1000</f>
        <v>0.0047</v>
      </c>
      <c r="K37" s="2"/>
      <c r="L37" s="25" cm="1">
        <f t="array" ref="L37">D37*$J37</f>
        <v>0.11361919406052</v>
      </c>
      <c r="M37" s="25" cm="1">
        <f t="array" ref="M37">E37*$J37</f>
        <v>0.448038678779891</v>
      </c>
      <c r="N37" s="25" cm="1">
        <f t="array" ref="N37">F37*$J37</f>
        <v>0.315280636689246</v>
      </c>
      <c r="O37" s="25" cm="1">
        <f t="array" ref="O37">G37*$J37</f>
        <v>-0.0276818081250824</v>
      </c>
      <c r="P37" s="2"/>
      <c r="Q37" s="25">
        <v>0.0191000000000017</v>
      </c>
      <c r="R37" s="25">
        <v>1</v>
      </c>
      <c r="S37" s="25" cm="1">
        <f t="array" ref="S37">L37/$R37</f>
        <v>0.11361919406052</v>
      </c>
      <c r="T37" s="25" cm="1">
        <f t="array" ref="T37">M37/$R37</f>
        <v>0.448038678779891</v>
      </c>
      <c r="U37" s="25" cm="1">
        <f t="array" ref="U37">N37/$R37</f>
        <v>0.315280636689246</v>
      </c>
      <c r="V37" s="25" cm="1">
        <f t="array" ref="V37">O37/$R37</f>
        <v>-0.0276818081250824</v>
      </c>
      <c r="W37" s="2"/>
      <c r="X37" s="25" cm="1">
        <f t="array" ref="X37">S37-X$3-X$40</f>
        <v>0.0527894276183452</v>
      </c>
      <c r="Y37" s="25" cm="1">
        <f t="array" ref="Y37">T37-Y$3-Y$40</f>
        <v>0.382507243448483</v>
      </c>
      <c r="Z37" s="25" cm="1">
        <f t="array" ref="Z37">U37-Z$3-Z$40</f>
        <v>0.274103730421047</v>
      </c>
      <c r="AA37" s="25" cm="1">
        <f t="array" ref="AA37">V37-AA$3-AA$40</f>
        <v>0.0057180276362222</v>
      </c>
      <c r="AB37" s="2"/>
      <c r="AC37" s="32" cm="1">
        <f t="array" ref="AC37">X37</f>
        <v>0.0527894276183452</v>
      </c>
      <c r="AD37" s="32" cm="1">
        <f t="array" ref="AD37">Y37</f>
        <v>0.382507243448483</v>
      </c>
      <c r="AE37" s="32" cm="1">
        <f t="array" ref="AE37">Z37</f>
        <v>0.274103730421047</v>
      </c>
      <c r="AF37" s="32" cm="1">
        <f t="array" ref="AF37">AA37</f>
        <v>0.0057180276362222</v>
      </c>
    </row>
    <row r="38" ht="17" customHeight="1">
      <c r="A38" s="2"/>
      <c r="B38" t="s" s="24">
        <v>84</v>
      </c>
      <c r="C38" t="s" s="20">
        <v>85</v>
      </c>
      <c r="D38" s="25">
        <v>11.9967419508887</v>
      </c>
      <c r="E38" s="25">
        <v>11.4371799581931</v>
      </c>
      <c r="F38" s="25">
        <v>6.47748246674319</v>
      </c>
      <c r="G38" s="25">
        <v>-4.95313204476188</v>
      </c>
      <c r="H38" s="2"/>
      <c r="I38" s="25">
        <v>4.7</v>
      </c>
      <c r="J38" s="25" cm="1">
        <f t="array" ref="J38">I38/1000</f>
        <v>0.0047</v>
      </c>
      <c r="K38" s="2"/>
      <c r="L38" s="25" cm="1">
        <f t="array" ref="L38">D38*$J38</f>
        <v>0.0563846871691769</v>
      </c>
      <c r="M38" s="25" cm="1">
        <f t="array" ref="M38">E38*$J38</f>
        <v>0.0537547458035076</v>
      </c>
      <c r="N38" s="25" cm="1">
        <f t="array" ref="N38">F38*$J38</f>
        <v>0.030444167593693</v>
      </c>
      <c r="O38" s="25" cm="1">
        <f t="array" ref="O38">G38*$J38</f>
        <v>-0.0232797206103808</v>
      </c>
      <c r="P38" s="2"/>
      <c r="Q38" s="25">
        <v>0.0192999999999994</v>
      </c>
      <c r="R38" s="25">
        <v>1</v>
      </c>
      <c r="S38" s="25" cm="1">
        <f t="array" ref="S38">L38/$R38</f>
        <v>0.0563846871691769</v>
      </c>
      <c r="T38" s="25" cm="1">
        <f t="array" ref="T38">M38/$R38</f>
        <v>0.0537547458035076</v>
      </c>
      <c r="U38" s="25" cm="1">
        <f t="array" ref="U38">N38/$R38</f>
        <v>0.030444167593693</v>
      </c>
      <c r="V38" s="25" cm="1">
        <f t="array" ref="V38">O38/$R38</f>
        <v>-0.0232797206103808</v>
      </c>
      <c r="W38" s="2"/>
      <c r="X38" s="25" cm="1">
        <f t="array" ref="X38">S38-X$3-X$40</f>
        <v>-0.0044450792729979</v>
      </c>
      <c r="Y38" s="25" cm="1">
        <f t="array" ref="Y38">T38-Y$3-Y$40</f>
        <v>-0.0117766895279004</v>
      </c>
      <c r="Z38" s="25" cm="1">
        <f t="array" ref="Z38">U38-Z$3-Z$40</f>
        <v>-0.0107327386745058</v>
      </c>
      <c r="AA38" s="25" cm="1">
        <f t="array" ref="AA38">V38-AA$3-AA$40</f>
        <v>0.0101201151509238</v>
      </c>
      <c r="AB38" s="2"/>
      <c r="AC38" s="32" cm="1">
        <f t="array" ref="AC38">X38</f>
        <v>-0.0044450792729979</v>
      </c>
      <c r="AD38" s="32" cm="1">
        <f t="array" ref="AD38">Y38</f>
        <v>-0.0117766895279004</v>
      </c>
      <c r="AE38" s="32" cm="1">
        <f t="array" ref="AE38">Z38</f>
        <v>-0.0107327386745058</v>
      </c>
      <c r="AF38" s="32" cm="1">
        <f t="array" ref="AF38">AA38</f>
        <v>0.0101201151509238</v>
      </c>
    </row>
    <row r="39" ht="17" customHeight="1">
      <c r="A39" s="2"/>
      <c r="B39" t="s" s="24">
        <v>86</v>
      </c>
      <c r="C39" t="s" s="20">
        <v>87</v>
      </c>
      <c r="D39" s="25">
        <v>12.3149693887224</v>
      </c>
      <c r="E39" s="25">
        <v>16.1994364531174</v>
      </c>
      <c r="F39" s="25">
        <v>9.702369457625419</v>
      </c>
      <c r="G39" s="25">
        <v>-7.49396299889429</v>
      </c>
      <c r="H39" s="2"/>
      <c r="I39" s="25">
        <v>4.7</v>
      </c>
      <c r="J39" s="25" cm="1">
        <f t="array" ref="J39">I39/1000</f>
        <v>0.0047</v>
      </c>
      <c r="K39" s="2"/>
      <c r="L39" s="25" cm="1">
        <f t="array" ref="L39">D39*$J39</f>
        <v>0.0578803561269953</v>
      </c>
      <c r="M39" s="25" cm="1">
        <f t="array" ref="M39">E39*$J39</f>
        <v>0.0761373513296518</v>
      </c>
      <c r="N39" s="25" cm="1">
        <f t="array" ref="N39">F39*$J39</f>
        <v>0.0456011364508395</v>
      </c>
      <c r="O39" s="25" cm="1">
        <f t="array" ref="O39">G39*$J39</f>
        <v>-0.0352216260948032</v>
      </c>
      <c r="P39" s="2"/>
      <c r="Q39" s="25">
        <v>0.0206999999999997</v>
      </c>
      <c r="R39" s="25">
        <v>1</v>
      </c>
      <c r="S39" s="25" cm="1">
        <f t="array" ref="S39">L39/$R39</f>
        <v>0.0578803561269953</v>
      </c>
      <c r="T39" s="25" cm="1">
        <f t="array" ref="T39">M39/$R39</f>
        <v>0.0761373513296518</v>
      </c>
      <c r="U39" s="25" cm="1">
        <f t="array" ref="U39">N39/$R39</f>
        <v>0.0456011364508395</v>
      </c>
      <c r="V39" s="25" cm="1">
        <f t="array" ref="V39">O39/$R39</f>
        <v>-0.0352216260948032</v>
      </c>
      <c r="W39" s="2"/>
      <c r="X39" s="2"/>
      <c r="Y39" s="2"/>
      <c r="Z39" s="2"/>
      <c r="AA39" s="2"/>
      <c r="AB39" s="2"/>
      <c r="AC39" s="26"/>
      <c r="AD39" s="26"/>
      <c r="AE39" s="26"/>
      <c r="AF39" s="26"/>
    </row>
    <row r="40" ht="17" customHeight="1">
      <c r="A40" s="2"/>
      <c r="B40" t="s" s="24">
        <v>88</v>
      </c>
      <c r="C40" t="s" s="20">
        <v>89</v>
      </c>
      <c r="D40" s="25">
        <v>16.5292947075847</v>
      </c>
      <c r="E40" s="25">
        <v>12.9688477233233</v>
      </c>
      <c r="F40" s="25">
        <v>6.10800066556259</v>
      </c>
      <c r="G40" s="25">
        <v>-6.67276548200879</v>
      </c>
      <c r="H40" s="2"/>
      <c r="I40" s="25">
        <v>4.7</v>
      </c>
      <c r="J40" s="25" cm="1">
        <f t="array" ref="J40">I40/1000</f>
        <v>0.0047</v>
      </c>
      <c r="K40" s="2"/>
      <c r="L40" s="25" cm="1">
        <f t="array" ref="L40">D40*$J40</f>
        <v>0.0776876851256481</v>
      </c>
      <c r="M40" s="25" cm="1">
        <f t="array" ref="M40">E40*$J40</f>
        <v>0.0609535842996195</v>
      </c>
      <c r="N40" s="25" cm="1">
        <f t="array" ref="N40">F40*$J40</f>
        <v>0.0287076031281442</v>
      </c>
      <c r="O40" s="25" cm="1">
        <f t="array" ref="O40">G40*$J40</f>
        <v>-0.0313619977654413</v>
      </c>
      <c r="P40" s="2"/>
      <c r="Q40" s="25">
        <v>0.0373000000000001</v>
      </c>
      <c r="R40" s="25">
        <v>1</v>
      </c>
      <c r="S40" s="25" cm="1">
        <f t="array" ref="S40">L40/$R40</f>
        <v>0.0776876851256481</v>
      </c>
      <c r="T40" s="25" cm="1">
        <f t="array" ref="T40">M40/$R40</f>
        <v>0.0609535842996195</v>
      </c>
      <c r="U40" s="25" cm="1">
        <f t="array" ref="U40">N40/$R40</f>
        <v>0.0287076031281442</v>
      </c>
      <c r="V40" s="25" cm="1">
        <f t="array" ref="V40">O40/$R40</f>
        <v>-0.0313619977654413</v>
      </c>
      <c r="W40" s="2"/>
      <c r="X40" s="25" cm="1">
        <f t="array" ref="X40">AVERAGE(S39:S41)</f>
        <v>0.0608297664421748</v>
      </c>
      <c r="Y40" s="25" cm="1">
        <f t="array" ref="Y40">AVERAGE(T39:T41)</f>
        <v>0.065531435331408</v>
      </c>
      <c r="Z40" s="25" cm="1">
        <f t="array" ref="Z40">AVERAGE(U39:U41)</f>
        <v>0.0411769062681988</v>
      </c>
      <c r="AA40" s="25" cm="1">
        <f t="array" ref="AA40">AVERAGE(V39:V41)</f>
        <v>-0.0333998357613046</v>
      </c>
      <c r="AB40" s="2"/>
      <c r="AC40" s="26"/>
      <c r="AD40" s="26"/>
      <c r="AE40" s="26"/>
      <c r="AF40" s="26"/>
    </row>
    <row r="41" ht="17" customHeight="1">
      <c r="A41" s="2"/>
      <c r="B41" t="s" s="36">
        <v>90</v>
      </c>
      <c r="C41" t="s" s="20">
        <v>91</v>
      </c>
      <c r="D41" s="25">
        <v>9.9832463986981</v>
      </c>
      <c r="E41" s="25">
        <v>12.6602915670112</v>
      </c>
      <c r="F41" s="25">
        <v>10.4727615373644</v>
      </c>
      <c r="G41" s="25">
        <v>-7.15231562205732</v>
      </c>
      <c r="H41" s="2"/>
      <c r="I41" s="25">
        <v>4.7</v>
      </c>
      <c r="J41" s="25" cm="1">
        <f t="array" ref="J41">I41/1000</f>
        <v>0.0047</v>
      </c>
      <c r="K41" s="2"/>
      <c r="L41" s="25" cm="1">
        <f t="array" ref="L41">D41*$J41</f>
        <v>0.0469212580738811</v>
      </c>
      <c r="M41" s="25" cm="1">
        <f t="array" ref="M41">E41*$J41</f>
        <v>0.0595033703649526</v>
      </c>
      <c r="N41" s="25" cm="1">
        <f t="array" ref="N41">F41*$J41</f>
        <v>0.0492219792256127</v>
      </c>
      <c r="O41" s="25" cm="1">
        <f t="array" ref="O41">G41*$J41</f>
        <v>-0.0336158834236694</v>
      </c>
      <c r="P41" s="2"/>
      <c r="Q41" s="25">
        <v>0.0175000000000001</v>
      </c>
      <c r="R41" s="25">
        <v>1</v>
      </c>
      <c r="S41" s="25" cm="1">
        <f t="array" ref="S41">L41/$R41</f>
        <v>0.0469212580738811</v>
      </c>
      <c r="T41" s="25" cm="1">
        <f t="array" ref="T41">M41/$R41</f>
        <v>0.0595033703649526</v>
      </c>
      <c r="U41" s="25" cm="1">
        <f t="array" ref="U41">N41/$R41</f>
        <v>0.0492219792256127</v>
      </c>
      <c r="V41" s="25" cm="1">
        <f t="array" ref="V41">O41/$R41</f>
        <v>-0.0336158834236694</v>
      </c>
      <c r="W41" s="2"/>
      <c r="X41" s="2"/>
      <c r="Y41" s="2"/>
      <c r="Z41" s="2"/>
      <c r="AA41" s="2"/>
      <c r="AB41" s="2"/>
      <c r="AC41" s="26"/>
      <c r="AD41" s="26"/>
      <c r="AE41" s="26"/>
      <c r="AF41" s="26"/>
    </row>
    <row r="42" ht="17" customHeight="1">
      <c r="A42" s="2"/>
      <c r="B42" t="s" s="19">
        <v>92</v>
      </c>
      <c r="C42" t="s" s="20">
        <v>93</v>
      </c>
      <c r="D42" s="25">
        <v>52.5199382655948</v>
      </c>
      <c r="E42" s="25">
        <v>11.9122780411153</v>
      </c>
      <c r="F42" s="25">
        <v>13.7497862637152</v>
      </c>
      <c r="G42" s="25">
        <v>-6.40007543544479</v>
      </c>
      <c r="H42" s="2"/>
      <c r="I42" s="25">
        <v>4.7</v>
      </c>
      <c r="J42" s="25" cm="1">
        <f t="array" ref="J42">I42/1000</f>
        <v>0.0047</v>
      </c>
      <c r="K42" s="2"/>
      <c r="L42" s="25" cm="1">
        <f t="array" ref="L42">D42*$J42</f>
        <v>0.246843709848296</v>
      </c>
      <c r="M42" s="25" cm="1">
        <f t="array" ref="M42">E42*$J42</f>
        <v>0.0559877067932419</v>
      </c>
      <c r="N42" s="25" cm="1">
        <f t="array" ref="N42">F42*$J42</f>
        <v>0.0646239954394614</v>
      </c>
      <c r="O42" s="25" cm="1">
        <f t="array" ref="O42">G42*$J42</f>
        <v>-0.0300803545465905</v>
      </c>
      <c r="P42" s="2"/>
      <c r="Q42" s="25">
        <v>0.0190000000000001</v>
      </c>
      <c r="R42" s="25">
        <v>1</v>
      </c>
      <c r="S42" s="25" cm="1">
        <f t="array" ref="S42">L42/$R42</f>
        <v>0.246843709848296</v>
      </c>
      <c r="T42" s="25" cm="1">
        <f t="array" ref="T42">M42/$R42</f>
        <v>0.0559877067932419</v>
      </c>
      <c r="U42" s="25" cm="1">
        <f t="array" ref="U42">N42/$R42</f>
        <v>0.0646239954394614</v>
      </c>
      <c r="V42" s="25" cm="1">
        <f t="array" ref="V42">O42/$R42</f>
        <v>-0.0300803545465905</v>
      </c>
      <c r="W42" s="2"/>
      <c r="X42" s="25" cm="1">
        <f t="array" ref="X42">S42-X$3-X$49</f>
        <v>0.168794888390292</v>
      </c>
      <c r="Y42" s="25" cm="1">
        <f t="array" ref="Y42">T42-Y$3-Y$49</f>
        <v>-0.177112340478817</v>
      </c>
      <c r="Z42" s="25" cm="1">
        <f t="array" ref="Z42">U42-Z$3-Z$49</f>
        <v>-0.0016607996297134</v>
      </c>
      <c r="AA42" s="25" cm="1">
        <f t="array" ref="AA42">V42-AA$3-AA$49</f>
        <v>-0.0005985633865133</v>
      </c>
      <c r="AB42" s="2"/>
      <c r="AC42" s="32" cm="1">
        <f t="array" ref="AC42">X42</f>
        <v>0.168794888390292</v>
      </c>
      <c r="AD42" s="32" cm="1">
        <f t="array" ref="AD42">Y42</f>
        <v>-0.177112340478817</v>
      </c>
      <c r="AE42" s="32" cm="1">
        <f t="array" ref="AE42">Z42</f>
        <v>-0.0016607996297134</v>
      </c>
      <c r="AF42" s="32" cm="1">
        <f t="array" ref="AF42">AA42</f>
        <v>-0.0005985633865133</v>
      </c>
    </row>
    <row r="43" ht="17" customHeight="1">
      <c r="A43" s="2"/>
      <c r="B43" t="s" s="24">
        <v>94</v>
      </c>
      <c r="C43" t="s" s="20">
        <v>95</v>
      </c>
      <c r="D43" s="25">
        <v>16.3987171376099</v>
      </c>
      <c r="E43" s="25">
        <v>21.6342130376317</v>
      </c>
      <c r="F43" s="25">
        <v>19.3230808569503</v>
      </c>
      <c r="G43" s="25">
        <v>-7.85342849664557</v>
      </c>
      <c r="H43" s="2"/>
      <c r="I43" s="25">
        <v>4.7</v>
      </c>
      <c r="J43" s="25" cm="1">
        <f t="array" ref="J43">I43/1000</f>
        <v>0.0047</v>
      </c>
      <c r="K43" s="2"/>
      <c r="L43" s="25" cm="1">
        <f t="array" ref="L43">D43*$J43</f>
        <v>0.0770739705467665</v>
      </c>
      <c r="M43" s="25" cm="1">
        <f t="array" ref="M43">E43*$J43</f>
        <v>0.101680801276869</v>
      </c>
      <c r="N43" s="25" cm="1">
        <f t="array" ref="N43">F43*$J43</f>
        <v>0.0908184800276664</v>
      </c>
      <c r="O43" s="25" cm="1">
        <f t="array" ref="O43">G43*$J43</f>
        <v>-0.0369111139342342</v>
      </c>
      <c r="P43" s="2"/>
      <c r="Q43" s="25">
        <v>0.0193999999999992</v>
      </c>
      <c r="R43" s="25">
        <v>1</v>
      </c>
      <c r="S43" s="25" cm="1">
        <f t="array" ref="S43">L43/$R43</f>
        <v>0.0770739705467665</v>
      </c>
      <c r="T43" s="25" cm="1">
        <f t="array" ref="T43">M43/$R43</f>
        <v>0.101680801276869</v>
      </c>
      <c r="U43" s="25" cm="1">
        <f t="array" ref="U43">N43/$R43</f>
        <v>0.0908184800276664</v>
      </c>
      <c r="V43" s="25" cm="1">
        <f t="array" ref="V43">O43/$R43</f>
        <v>-0.0369111139342342</v>
      </c>
      <c r="W43" s="2"/>
      <c r="X43" s="25" cm="1">
        <f t="array" ref="X43">S43-X$3-X$49</f>
        <v>-0.0009748509112372</v>
      </c>
      <c r="Y43" s="25" cm="1">
        <f t="array" ref="Y43">T43-Y$3-Y$49</f>
        <v>-0.13141924599519</v>
      </c>
      <c r="Z43" s="25" cm="1">
        <f t="array" ref="Z43">U43-Z$3-Z$49</f>
        <v>0.0245336849584916</v>
      </c>
      <c r="AA43" s="25" cm="1">
        <f t="array" ref="AA43">V43-AA$3-AA$49</f>
        <v>-0.007429322774157</v>
      </c>
      <c r="AB43" s="2"/>
      <c r="AC43" s="32" cm="1">
        <f t="array" ref="AC43">X43</f>
        <v>-0.0009748509112372</v>
      </c>
      <c r="AD43" s="32" cm="1">
        <f t="array" ref="AD43">Y43</f>
        <v>-0.13141924599519</v>
      </c>
      <c r="AE43" s="32" cm="1">
        <f t="array" ref="AE43">Z43</f>
        <v>0.0245336849584916</v>
      </c>
      <c r="AF43" s="32" cm="1">
        <f t="array" ref="AF43">AA43</f>
        <v>-0.007429322774157</v>
      </c>
    </row>
    <row r="44" ht="17" customHeight="1">
      <c r="A44" s="2"/>
      <c r="B44" t="s" s="24">
        <v>96</v>
      </c>
      <c r="C44" t="s" s="20">
        <v>97</v>
      </c>
      <c r="D44" s="25">
        <v>10.3195113188211</v>
      </c>
      <c r="E44" s="25">
        <v>13.7935054532931</v>
      </c>
      <c r="F44" s="25">
        <v>16.9339382369437</v>
      </c>
      <c r="G44" s="25">
        <v>-5.98614962134125</v>
      </c>
      <c r="H44" s="2"/>
      <c r="I44" s="25">
        <v>4.7</v>
      </c>
      <c r="J44" s="25" cm="1">
        <f t="array" ref="J44">I44/1000</f>
        <v>0.0047</v>
      </c>
      <c r="K44" s="2"/>
      <c r="L44" s="25" cm="1">
        <f t="array" ref="L44">D44*$J44</f>
        <v>0.0485017031984592</v>
      </c>
      <c r="M44" s="25" cm="1">
        <f t="array" ref="M44">E44*$J44</f>
        <v>0.0648294756304776</v>
      </c>
      <c r="N44" s="25" cm="1">
        <f t="array" ref="N44">F44*$J44</f>
        <v>0.0795895097136354</v>
      </c>
      <c r="O44" s="25" cm="1">
        <f t="array" ref="O44">G44*$J44</f>
        <v>-0.0281349032203039</v>
      </c>
      <c r="P44" s="2"/>
      <c r="Q44" s="25">
        <v>0.019499999999999</v>
      </c>
      <c r="R44" s="25">
        <v>1</v>
      </c>
      <c r="S44" s="25" cm="1">
        <f t="array" ref="S44">L44/$R44</f>
        <v>0.0485017031984592</v>
      </c>
      <c r="T44" s="25" cm="1">
        <f t="array" ref="T44">M44/$R44</f>
        <v>0.0648294756304776</v>
      </c>
      <c r="U44" s="25" cm="1">
        <f t="array" ref="U44">N44/$R44</f>
        <v>0.0795895097136354</v>
      </c>
      <c r="V44" s="25" cm="1">
        <f t="array" ref="V44">O44/$R44</f>
        <v>-0.0281349032203039</v>
      </c>
      <c r="W44" s="2"/>
      <c r="X44" s="25" cm="1">
        <f t="array" ref="X44">S44-X$3-X$49</f>
        <v>-0.0295471182595445</v>
      </c>
      <c r="Y44" s="25" cm="1">
        <f t="array" ref="Y44">T44-Y$3-Y$49</f>
        <v>-0.168270571641581</v>
      </c>
      <c r="Z44" s="25" cm="1">
        <f t="array" ref="Z44">U44-Z$3-Z$49</f>
        <v>0.0133047146444606</v>
      </c>
      <c r="AA44" s="25" cm="1">
        <f t="array" ref="AA44">V44-AA$3-AA$49</f>
        <v>0.0013468879397733</v>
      </c>
      <c r="AB44" s="2"/>
      <c r="AC44" s="32" cm="1">
        <f t="array" ref="AC44">X44</f>
        <v>-0.0295471182595445</v>
      </c>
      <c r="AD44" s="32" cm="1">
        <f t="array" ref="AD44">Y44</f>
        <v>-0.168270571641581</v>
      </c>
      <c r="AE44" s="32" cm="1">
        <f t="array" ref="AE44">Z44</f>
        <v>0.0133047146444606</v>
      </c>
      <c r="AF44" s="32" cm="1">
        <f t="array" ref="AF44">AA44</f>
        <v>0.0013468879397733</v>
      </c>
    </row>
    <row r="45" ht="17" customHeight="1">
      <c r="A45" s="2"/>
      <c r="B45" t="s" s="24">
        <v>98</v>
      </c>
      <c r="C45" t="s" s="20">
        <v>99</v>
      </c>
      <c r="D45" s="25">
        <v>9.66119717326257</v>
      </c>
      <c r="E45" s="25">
        <v>91.4138112648356</v>
      </c>
      <c r="F45" s="25">
        <v>9.192288309699119</v>
      </c>
      <c r="G45" s="25">
        <v>-5.51282305423841</v>
      </c>
      <c r="H45" s="2"/>
      <c r="I45" s="25">
        <v>4.7</v>
      </c>
      <c r="J45" s="25" cm="1">
        <f t="array" ref="J45">I45/1000</f>
        <v>0.0047</v>
      </c>
      <c r="K45" s="2"/>
      <c r="L45" s="25" cm="1">
        <f t="array" ref="L45">D45*$J45</f>
        <v>0.0454076267143341</v>
      </c>
      <c r="M45" s="25" cm="1">
        <f t="array" ref="M45">E45*$J45</f>
        <v>0.429644912944727</v>
      </c>
      <c r="N45" s="25" cm="1">
        <f t="array" ref="N45">F45*$J45</f>
        <v>0.0432037550555859</v>
      </c>
      <c r="O45" s="25" cm="1">
        <f t="array" ref="O45">G45*$J45</f>
        <v>-0.0259102683549205</v>
      </c>
      <c r="P45" s="2"/>
      <c r="Q45" s="25">
        <v>0.0213000000000001</v>
      </c>
      <c r="R45" s="25">
        <v>1</v>
      </c>
      <c r="S45" s="25" cm="1">
        <f t="array" ref="S45">L45/$R45</f>
        <v>0.0454076267143341</v>
      </c>
      <c r="T45" s="25" cm="1">
        <f t="array" ref="T45">M45/$R45</f>
        <v>0.429644912944727</v>
      </c>
      <c r="U45" s="25" cm="1">
        <f t="array" ref="U45">N45/$R45</f>
        <v>0.0432037550555859</v>
      </c>
      <c r="V45" s="25" cm="1">
        <f t="array" ref="V45">O45/$R45</f>
        <v>-0.0259102683549205</v>
      </c>
      <c r="W45" s="2"/>
      <c r="X45" s="25" cm="1">
        <f t="array" ref="X45">S45-X$3-X$49</f>
        <v>-0.0326411947436696</v>
      </c>
      <c r="Y45" s="25" cm="1">
        <f t="array" ref="Y45">T45-Y$3-Y$49</f>
        <v>0.196544865672668</v>
      </c>
      <c r="Z45" s="25" cm="1">
        <f t="array" ref="Z45">U45-Z$3-Z$49</f>
        <v>-0.0230810400135889</v>
      </c>
      <c r="AA45" s="25" cm="1">
        <f t="array" ref="AA45">V45-AA$3-AA$49</f>
        <v>0.0035715228051567</v>
      </c>
      <c r="AB45" s="2"/>
      <c r="AC45" s="32" cm="1">
        <f t="array" ref="AC45">X45</f>
        <v>-0.0326411947436696</v>
      </c>
      <c r="AD45" s="32" cm="1">
        <f t="array" ref="AD45">Y45</f>
        <v>0.196544865672668</v>
      </c>
      <c r="AE45" s="32" cm="1">
        <f t="array" ref="AE45">Z45</f>
        <v>-0.0230810400135889</v>
      </c>
      <c r="AF45" s="32" cm="1">
        <f t="array" ref="AF45">AA45</f>
        <v>0.0035715228051567</v>
      </c>
    </row>
    <row r="46" ht="17" customHeight="1">
      <c r="A46" s="2"/>
      <c r="B46" t="s" s="24">
        <v>100</v>
      </c>
      <c r="C46" t="s" s="20">
        <v>101</v>
      </c>
      <c r="D46" s="25">
        <v>14.7384613454624</v>
      </c>
      <c r="E46" s="25">
        <v>64.52389946931829</v>
      </c>
      <c r="F46" s="25">
        <v>9.331105116858391</v>
      </c>
      <c r="G46" s="25">
        <v>-5.21583388620971</v>
      </c>
      <c r="H46" s="2"/>
      <c r="I46" s="25">
        <v>4.7</v>
      </c>
      <c r="J46" s="25" cm="1">
        <f t="array" ref="J46">I46/1000</f>
        <v>0.0047</v>
      </c>
      <c r="K46" s="2"/>
      <c r="L46" s="25" cm="1">
        <f t="array" ref="L46">D46*$J46</f>
        <v>0.06927076832367331</v>
      </c>
      <c r="M46" s="25" cm="1">
        <f t="array" ref="M46">E46*$J46</f>
        <v>0.303262327505796</v>
      </c>
      <c r="N46" s="25" cm="1">
        <f t="array" ref="N46">F46*$J46</f>
        <v>0.0438561940492344</v>
      </c>
      <c r="O46" s="25" cm="1">
        <f t="array" ref="O46">G46*$J46</f>
        <v>-0.0245144192651856</v>
      </c>
      <c r="P46" s="2"/>
      <c r="Q46" s="25">
        <v>0.0185999999999993</v>
      </c>
      <c r="R46" s="25">
        <v>1</v>
      </c>
      <c r="S46" s="25" cm="1">
        <f t="array" ref="S46">L46/$R46</f>
        <v>0.06927076832367331</v>
      </c>
      <c r="T46" s="25" cm="1">
        <f t="array" ref="T46">M46/$R46</f>
        <v>0.303262327505796</v>
      </c>
      <c r="U46" s="25" cm="1">
        <f t="array" ref="U46">N46/$R46</f>
        <v>0.0438561940492344</v>
      </c>
      <c r="V46" s="25" cm="1">
        <f t="array" ref="V46">O46/$R46</f>
        <v>-0.0245144192651856</v>
      </c>
      <c r="W46" s="2"/>
      <c r="X46" s="25" cm="1">
        <f t="array" ref="X46">S46-X$3-X$49</f>
        <v>-0.0087780531343304</v>
      </c>
      <c r="Y46" s="25" cm="1">
        <f t="array" ref="Y46">T46-Y$3-Y$49</f>
        <v>0.070162280233737</v>
      </c>
      <c r="Z46" s="25" cm="1">
        <f t="array" ref="Z46">U46-Z$3-Z$49</f>
        <v>-0.0224286010199404</v>
      </c>
      <c r="AA46" s="25" cm="1">
        <f t="array" ref="AA46">V46-AA$3-AA$49</f>
        <v>0.0049673718948916</v>
      </c>
      <c r="AB46" s="2"/>
      <c r="AC46" s="32" cm="1">
        <f t="array" ref="AC46">X46</f>
        <v>-0.0087780531343304</v>
      </c>
      <c r="AD46" s="32" cm="1">
        <f t="array" ref="AD46">Y46</f>
        <v>0.070162280233737</v>
      </c>
      <c r="AE46" s="32" cm="1">
        <f t="array" ref="AE46">Z46</f>
        <v>-0.0224286010199404</v>
      </c>
      <c r="AF46" s="32" cm="1">
        <f t="array" ref="AF46">AA46</f>
        <v>0.0049673718948916</v>
      </c>
    </row>
    <row r="47" ht="17" customHeight="1">
      <c r="A47" s="2"/>
      <c r="B47" t="s" s="24">
        <v>102</v>
      </c>
      <c r="C47" t="s" s="20">
        <v>103</v>
      </c>
      <c r="D47" s="25">
        <v>10.6043997819237</v>
      </c>
      <c r="E47" s="25">
        <v>68.4631974482095</v>
      </c>
      <c r="F47" s="25">
        <v>12.4916545213807</v>
      </c>
      <c r="G47" s="25">
        <v>-2.69471860627593</v>
      </c>
      <c r="H47" s="2"/>
      <c r="I47" s="25">
        <v>4.7</v>
      </c>
      <c r="J47" s="25" cm="1">
        <f t="array" ref="J47">I47/1000</f>
        <v>0.0047</v>
      </c>
      <c r="K47" s="2"/>
      <c r="L47" s="25" cm="1">
        <f t="array" ref="L47">D47*$J47</f>
        <v>0.0498406789750414</v>
      </c>
      <c r="M47" s="25" cm="1">
        <f t="array" ref="M47">E47*$J47</f>
        <v>0.321777028006585</v>
      </c>
      <c r="N47" s="25" cm="1">
        <f t="array" ref="N47">F47*$J47</f>
        <v>0.0587107762504893</v>
      </c>
      <c r="O47" s="25" cm="1">
        <f t="array" ref="O47">G47*$J47</f>
        <v>-0.0126651774494969</v>
      </c>
      <c r="P47" s="2"/>
      <c r="Q47" s="25">
        <v>0.0198</v>
      </c>
      <c r="R47" s="25">
        <v>1</v>
      </c>
      <c r="S47" s="25" cm="1">
        <f t="array" ref="S47">L47/$R47</f>
        <v>0.0498406789750414</v>
      </c>
      <c r="T47" s="25" cm="1">
        <f t="array" ref="T47">M47/$R47</f>
        <v>0.321777028006585</v>
      </c>
      <c r="U47" s="25" cm="1">
        <f t="array" ref="U47">N47/$R47</f>
        <v>0.0587107762504893</v>
      </c>
      <c r="V47" s="25" cm="1">
        <f t="array" ref="V47">O47/$R47</f>
        <v>-0.0126651774494969</v>
      </c>
      <c r="W47" s="2"/>
      <c r="X47" s="25" cm="1">
        <f t="array" ref="X47">S47-X$3-X$49</f>
        <v>-0.0282081424829623</v>
      </c>
      <c r="Y47" s="25" cm="1">
        <f t="array" ref="Y47">T47-Y$3-Y$49</f>
        <v>0.088676980734526</v>
      </c>
      <c r="Z47" s="25" cm="1">
        <f t="array" ref="Z47">U47-Z$3-Z$49</f>
        <v>-0.0075740188186855</v>
      </c>
      <c r="AA47" s="25" cm="1">
        <f t="array" ref="AA47">V47-AA$3-AA$49</f>
        <v>0.0168166137105803</v>
      </c>
      <c r="AB47" s="2"/>
      <c r="AC47" s="32" cm="1">
        <f t="array" ref="AC47">X47</f>
        <v>-0.0282081424829623</v>
      </c>
      <c r="AD47" s="32" cm="1">
        <f t="array" ref="AD47">Y47</f>
        <v>0.088676980734526</v>
      </c>
      <c r="AE47" s="32" cm="1">
        <f t="array" ref="AE47">Z47</f>
        <v>-0.0075740188186855</v>
      </c>
      <c r="AF47" s="32" cm="1">
        <f t="array" ref="AF47">AA47</f>
        <v>0.0168166137105803</v>
      </c>
    </row>
    <row r="48" ht="17" customHeight="1">
      <c r="A48" s="2"/>
      <c r="B48" t="s" s="24">
        <v>104</v>
      </c>
      <c r="C48" t="s" s="20">
        <v>105</v>
      </c>
      <c r="D48" s="25">
        <v>15.9341497583873</v>
      </c>
      <c r="E48" s="25">
        <v>50.7132592476372</v>
      </c>
      <c r="F48" s="25">
        <v>15.0988190310348</v>
      </c>
      <c r="G48" s="25">
        <v>-6.3910360101528</v>
      </c>
      <c r="H48" s="2"/>
      <c r="I48" s="25">
        <v>4.7</v>
      </c>
      <c r="J48" s="25" cm="1">
        <f t="array" ref="J48">I48/1000</f>
        <v>0.0047</v>
      </c>
      <c r="K48" s="2"/>
      <c r="L48" s="25" cm="1">
        <f t="array" ref="L48">D48*$J48</f>
        <v>0.0748905038644203</v>
      </c>
      <c r="M48" s="25" cm="1">
        <f t="array" ref="M48">E48*$J48</f>
        <v>0.238352318463895</v>
      </c>
      <c r="N48" s="25" cm="1">
        <f t="array" ref="N48">F48*$J48</f>
        <v>0.07096444944586359</v>
      </c>
      <c r="O48" s="25" cm="1">
        <f t="array" ref="O48">G48*$J48</f>
        <v>-0.0300378692477182</v>
      </c>
      <c r="P48" s="2"/>
      <c r="Q48" s="25">
        <v>0.019400000000001</v>
      </c>
      <c r="R48" s="25">
        <v>1</v>
      </c>
      <c r="S48" s="25" cm="1">
        <f t="array" ref="S48">L48/$R48</f>
        <v>0.0748905038644203</v>
      </c>
      <c r="T48" s="25" cm="1">
        <f t="array" ref="T48">M48/$R48</f>
        <v>0.238352318463895</v>
      </c>
      <c r="U48" s="25" cm="1">
        <f t="array" ref="U48">N48/$R48</f>
        <v>0.07096444944586359</v>
      </c>
      <c r="V48" s="25" cm="1">
        <f t="array" ref="V48">O48/$R48</f>
        <v>-0.0300378692477182</v>
      </c>
      <c r="W48" s="2"/>
      <c r="X48" s="2"/>
      <c r="Y48" s="2"/>
      <c r="Z48" s="2"/>
      <c r="AA48" s="2"/>
      <c r="AB48" s="2"/>
      <c r="AC48" s="26"/>
      <c r="AD48" s="26"/>
      <c r="AE48" s="26"/>
      <c r="AF48" s="26"/>
    </row>
    <row r="49" ht="17" customHeight="1">
      <c r="A49" s="2"/>
      <c r="B49" t="s" s="24">
        <v>106</v>
      </c>
      <c r="C49" t="s" s="20">
        <v>107</v>
      </c>
      <c r="D49" s="25">
        <v>16.8254006010122</v>
      </c>
      <c r="E49" s="25">
        <v>52.9328055571988</v>
      </c>
      <c r="F49" s="25">
        <v>16.9811850194935</v>
      </c>
      <c r="G49" s="25">
        <v>-6.16187526227493</v>
      </c>
      <c r="H49" s="2"/>
      <c r="I49" s="25">
        <v>4.7</v>
      </c>
      <c r="J49" s="25" cm="1">
        <f t="array" ref="J49">I49/1000</f>
        <v>0.0047</v>
      </c>
      <c r="K49" s="2"/>
      <c r="L49" s="25" cm="1">
        <f t="array" ref="L49">D49*$J49</f>
        <v>0.07907938282475729</v>
      </c>
      <c r="M49" s="25" cm="1">
        <f t="array" ref="M49">E49*$J49</f>
        <v>0.248784186118834</v>
      </c>
      <c r="N49" s="25" cm="1">
        <f t="array" ref="N49">F49*$J49</f>
        <v>0.0798115695916195</v>
      </c>
      <c r="O49" s="25" cm="1">
        <f t="array" ref="O49">G49*$J49</f>
        <v>-0.0289608137326922</v>
      </c>
      <c r="P49" s="2"/>
      <c r="Q49" s="25">
        <v>0.0190000000000001</v>
      </c>
      <c r="R49" s="25">
        <v>1</v>
      </c>
      <c r="S49" s="25" cm="1">
        <f t="array" ref="S49">L49/$R49</f>
        <v>0.07907938282475729</v>
      </c>
      <c r="T49" s="25" cm="1">
        <f t="array" ref="T49">M49/$R49</f>
        <v>0.248784186118834</v>
      </c>
      <c r="U49" s="25" cm="1">
        <f t="array" ref="U49">N49/$R49</f>
        <v>0.0798115695916195</v>
      </c>
      <c r="V49" s="25" cm="1">
        <f t="array" ref="V49">O49/$R49</f>
        <v>-0.0289608137326922</v>
      </c>
      <c r="W49" s="2"/>
      <c r="X49" s="25" cm="1">
        <f t="array" ref="X49">AVERAGE(S48:S50)</f>
        <v>0.07804882145800369</v>
      </c>
      <c r="Y49" s="25" cm="1">
        <f t="array" ref="Y49">AVERAGE(T48:T50)</f>
        <v>0.233100047272059</v>
      </c>
      <c r="Z49" s="25" cm="1">
        <f t="array" ref="Z49">AVERAGE(U48:U50)</f>
        <v>0.0662847950691748</v>
      </c>
      <c r="AA49" s="25" cm="1">
        <f t="array" ref="AA49">AVERAGE(V48:V50)</f>
        <v>-0.0294817911600772</v>
      </c>
      <c r="AB49" s="2"/>
      <c r="AC49" s="26"/>
      <c r="AD49" s="26"/>
      <c r="AE49" s="26"/>
      <c r="AF49" s="26"/>
    </row>
    <row r="50" ht="17" customHeight="1">
      <c r="A50" s="2"/>
      <c r="B50" t="s" s="24">
        <v>108</v>
      </c>
      <c r="C50" t="s" s="38">
        <v>109</v>
      </c>
      <c r="D50" s="25">
        <v>17.058846315922</v>
      </c>
      <c r="E50" s="25">
        <v>45.1411994113721</v>
      </c>
      <c r="F50" s="25">
        <v>10.2294396106471</v>
      </c>
      <c r="G50" s="25">
        <v>-6.2652532978343</v>
      </c>
      <c r="H50" s="2"/>
      <c r="I50" s="25">
        <v>4.7</v>
      </c>
      <c r="J50" s="25" cm="1">
        <f t="array" ref="J50">I50/1000</f>
        <v>0.0047</v>
      </c>
      <c r="K50" s="2"/>
      <c r="L50" s="25" cm="1">
        <f t="array" ref="L50">D50*$J50</f>
        <v>0.0801765776848334</v>
      </c>
      <c r="M50" s="25" cm="1">
        <f t="array" ref="M50">E50*$J50</f>
        <v>0.212163637233449</v>
      </c>
      <c r="N50" s="25" cm="1">
        <f t="array" ref="N50">F50*$J50</f>
        <v>0.0480783661700414</v>
      </c>
      <c r="O50" s="25" cm="1">
        <f t="array" ref="O50">G50*$J50</f>
        <v>-0.0294466904998212</v>
      </c>
      <c r="P50" s="2"/>
      <c r="Q50" s="25">
        <v>0.0184999999999995</v>
      </c>
      <c r="R50" s="25">
        <v>1</v>
      </c>
      <c r="S50" s="25" cm="1">
        <f t="array" ref="S50">L50/$R50</f>
        <v>0.0801765776848334</v>
      </c>
      <c r="T50" s="25" cm="1">
        <f t="array" ref="T50">M50/$R50</f>
        <v>0.212163637233449</v>
      </c>
      <c r="U50" s="25" cm="1">
        <f t="array" ref="U50">N50/$R50</f>
        <v>0.0480783661700414</v>
      </c>
      <c r="V50" s="25" cm="1">
        <f t="array" ref="V50">O50/$R50</f>
        <v>-0.0294466904998212</v>
      </c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7" customHeight="1">
      <c r="A51" s="2"/>
      <c r="B51" t="s" s="24">
        <v>20</v>
      </c>
      <c r="C51" t="s" s="39">
        <v>110</v>
      </c>
      <c r="D51" s="25">
        <v>38.7465211063752</v>
      </c>
      <c r="E51" s="25">
        <v>212.773039722088</v>
      </c>
      <c r="F51" s="25">
        <v>264.595985235274</v>
      </c>
      <c r="G51" s="25">
        <v>-5.65542096266678</v>
      </c>
      <c r="H51" s="2"/>
      <c r="I51" s="25">
        <v>4.7093</v>
      </c>
      <c r="J51" s="25" cm="1">
        <f t="array" ref="J51">I51/1000</f>
        <v>0.0047093</v>
      </c>
      <c r="K51" s="2"/>
      <c r="L51" s="25" cm="1">
        <f t="array" ref="L51">D51*$J51</f>
        <v>0.182468991846253</v>
      </c>
      <c r="M51" s="25" cm="1">
        <f t="array" ref="M51">E51*$J51</f>
        <v>1.00201207596323</v>
      </c>
      <c r="N51" s="25" cm="1">
        <f t="array" ref="N51">F51*$J51</f>
        <v>1.24606187326848</v>
      </c>
      <c r="O51" s="25" cm="1">
        <f t="array" ref="O51">G51*$J51</f>
        <v>-0.0266330739394867</v>
      </c>
      <c r="P51" s="2"/>
      <c r="Q51" s="25">
        <v>0.0182000000000002</v>
      </c>
      <c r="R51" s="25">
        <v>1</v>
      </c>
      <c r="S51" s="25" cm="1">
        <f t="array" ref="S51">L51/$R51</f>
        <v>0.182468991846253</v>
      </c>
      <c r="T51" s="25" cm="1">
        <f t="array" ref="T51">M51/$R51</f>
        <v>1.00201207596323</v>
      </c>
      <c r="U51" s="25" cm="1">
        <f t="array" ref="U51">N51/$R51</f>
        <v>1.24606187326848</v>
      </c>
      <c r="V51" s="25" cm="1">
        <f t="array" ref="V51">O51/$R51</f>
        <v>-0.0266330739394867</v>
      </c>
      <c r="W51" s="2"/>
      <c r="X51" s="25" cm="1">
        <f t="array" ref="X51">S51-X$3-X$58</f>
        <v>-0.239315896451127</v>
      </c>
      <c r="Y51" s="25" cm="1">
        <f t="array" ref="Y51">T51-Y$3-Y$58</f>
        <v>0.915456707098252</v>
      </c>
      <c r="Z51" s="25" cm="1">
        <f t="array" ref="Z51">U51-Z$3-Z$49</f>
        <v>1.17977707819931</v>
      </c>
      <c r="AA51" s="25" cm="1">
        <f t="array" ref="AA51">V51-AA$3-AA$49</f>
        <v>0.0028487172205905</v>
      </c>
      <c r="AB51" s="2"/>
      <c r="AC51" s="32" cm="1">
        <f t="array" ref="AC51">X51</f>
        <v>-0.239315896451127</v>
      </c>
      <c r="AD51" s="32" cm="1">
        <f t="array" ref="AD51">Y51</f>
        <v>0.915456707098252</v>
      </c>
      <c r="AE51" s="32" cm="1">
        <f t="array" ref="AE51">Z51</f>
        <v>1.17977707819931</v>
      </c>
      <c r="AF51" s="32" cm="1">
        <f t="array" ref="AF51">AA51</f>
        <v>0.0028487172205905</v>
      </c>
    </row>
    <row r="52" ht="17" customHeight="1">
      <c r="A52" s="2"/>
      <c r="B52" t="s" s="24">
        <v>22</v>
      </c>
      <c r="C52" t="s" s="39">
        <v>111</v>
      </c>
      <c r="D52" s="25">
        <v>281.846672178822</v>
      </c>
      <c r="E52" s="25">
        <v>210.136556034287</v>
      </c>
      <c r="F52" s="25">
        <v>272.248865472176</v>
      </c>
      <c r="G52" s="25">
        <v>-5.82466017631408</v>
      </c>
      <c r="H52" s="2"/>
      <c r="I52" s="25">
        <v>4.6945</v>
      </c>
      <c r="J52" s="25" cm="1">
        <f t="array" ref="J52">I52/1000</f>
        <v>0.0046945</v>
      </c>
      <c r="K52" s="2"/>
      <c r="L52" s="25" cm="1">
        <f t="array" ref="L52">D52*$J52</f>
        <v>1.32312920254348</v>
      </c>
      <c r="M52" s="25" cm="1">
        <f t="array" ref="M52">E52*$J52</f>
        <v>0.98648606230296</v>
      </c>
      <c r="N52" s="25" cm="1">
        <f t="array" ref="N52">F52*$J52</f>
        <v>1.27807229895913</v>
      </c>
      <c r="O52" s="25" cm="1">
        <f t="array" ref="O52">G52*$J52</f>
        <v>-0.0273438671977064</v>
      </c>
      <c r="P52" s="2"/>
      <c r="Q52" s="25">
        <v>0.0177999999999994</v>
      </c>
      <c r="R52" s="25">
        <v>1</v>
      </c>
      <c r="S52" s="25" cm="1">
        <f t="array" ref="S52">L52/$R52</f>
        <v>1.32312920254348</v>
      </c>
      <c r="T52" s="25" cm="1">
        <f t="array" ref="T52">M52/$R52</f>
        <v>0.98648606230296</v>
      </c>
      <c r="U52" s="25" cm="1">
        <f t="array" ref="U52">N52/$R52</f>
        <v>1.27807229895913</v>
      </c>
      <c r="V52" s="25" cm="1">
        <f t="array" ref="V52">O52/$R52</f>
        <v>-0.0273438671977064</v>
      </c>
      <c r="W52" s="2"/>
      <c r="X52" s="25" cm="1">
        <f t="array" ref="X52">S52-X$3-X$58</f>
        <v>0.9013443142461</v>
      </c>
      <c r="Y52" s="25" cm="1">
        <f t="array" ref="Y52">T52-Y$3-Y$58</f>
        <v>0.899930693437982</v>
      </c>
      <c r="Z52" s="25" cm="1">
        <f t="array" ref="Z52">U52-Z$3-Z$49</f>
        <v>1.21178750388996</v>
      </c>
      <c r="AA52" s="25" cm="1">
        <f t="array" ref="AA52">V52-AA$3-AA$49</f>
        <v>0.0021379239623708</v>
      </c>
      <c r="AB52" s="2"/>
      <c r="AC52" s="32" cm="1">
        <f t="array" ref="AC52">X52</f>
        <v>0.9013443142461</v>
      </c>
      <c r="AD52" s="32" cm="1">
        <f t="array" ref="AD52">Y52</f>
        <v>0.899930693437982</v>
      </c>
      <c r="AE52" s="32" cm="1">
        <f t="array" ref="AE52">Z52</f>
        <v>1.21178750388996</v>
      </c>
      <c r="AF52" s="32" cm="1">
        <f t="array" ref="AF52">AA52</f>
        <v>0.0021379239623708</v>
      </c>
    </row>
    <row r="53" ht="17" customHeight="1">
      <c r="A53" s="2"/>
      <c r="B53" t="s" s="24">
        <v>24</v>
      </c>
      <c r="C53" t="s" s="39">
        <v>112</v>
      </c>
      <c r="D53" s="25">
        <v>15.5664729726685</v>
      </c>
      <c r="E53" s="25">
        <v>233.732217270675</v>
      </c>
      <c r="F53" s="25">
        <v>336.554641370523</v>
      </c>
      <c r="G53" s="25">
        <v>-5.24531280299193</v>
      </c>
      <c r="H53" s="2"/>
      <c r="I53" s="25">
        <v>4.7005</v>
      </c>
      <c r="J53" s="25" cm="1">
        <f t="array" ref="J53">I53/1000</f>
        <v>0.0047005</v>
      </c>
      <c r="K53" s="2"/>
      <c r="L53" s="25" cm="1">
        <f t="array" ref="L53">D53*$J53</f>
        <v>0.0731702062080283</v>
      </c>
      <c r="M53" s="25" cm="1">
        <f t="array" ref="M53">E53*$J53</f>
        <v>1.09865828728081</v>
      </c>
      <c r="N53" s="25" cm="1">
        <f t="array" ref="N53">F53*$J53</f>
        <v>1.58197509176214</v>
      </c>
      <c r="O53" s="25" cm="1">
        <f t="array" ref="O53">G53*$J53</f>
        <v>-0.0246555928304636</v>
      </c>
      <c r="P53" s="2"/>
      <c r="Q53" s="25">
        <v>0.0183999999999997</v>
      </c>
      <c r="R53" s="25">
        <v>1</v>
      </c>
      <c r="S53" s="25" cm="1">
        <f t="array" ref="S53">L53/$R53</f>
        <v>0.0731702062080283</v>
      </c>
      <c r="T53" s="25" cm="1">
        <f t="array" ref="T53">M53/$R53</f>
        <v>1.09865828728081</v>
      </c>
      <c r="U53" s="25" cm="1">
        <f t="array" ref="U53">N53/$R53</f>
        <v>1.58197509176214</v>
      </c>
      <c r="V53" s="25" cm="1">
        <f t="array" ref="V53">O53/$R53</f>
        <v>-0.0246555928304636</v>
      </c>
      <c r="W53" s="2"/>
      <c r="X53" s="25" cm="1">
        <f t="array" ref="X53">S53-X$3-X$58</f>
        <v>-0.348614682089352</v>
      </c>
      <c r="Y53" s="25" cm="1">
        <f t="array" ref="Y53">T53-Y$3-Y$58</f>
        <v>1.01210291841583</v>
      </c>
      <c r="Z53" s="25" cm="1">
        <f t="array" ref="Z53">U53-Z$3-Z$49</f>
        <v>1.51569029669297</v>
      </c>
      <c r="AA53" s="25" cm="1">
        <f t="array" ref="AA53">V53-AA$3-AA$49</f>
        <v>0.0048261983296136</v>
      </c>
      <c r="AB53" s="2"/>
      <c r="AC53" s="32" cm="1">
        <f t="array" ref="AC53">X53</f>
        <v>-0.348614682089352</v>
      </c>
      <c r="AD53" s="32" cm="1">
        <f t="array" ref="AD53">Y53</f>
        <v>1.01210291841583</v>
      </c>
      <c r="AE53" s="32" cm="1">
        <f t="array" ref="AE53">Z53</f>
        <v>1.51569029669297</v>
      </c>
      <c r="AF53" s="32" cm="1">
        <f t="array" ref="AF53">AA53</f>
        <v>0.0048261983296136</v>
      </c>
    </row>
    <row r="54" ht="17" customHeight="1">
      <c r="A54" s="2"/>
      <c r="B54" t="s" s="24">
        <v>26</v>
      </c>
      <c r="C54" t="s" s="39">
        <v>113</v>
      </c>
      <c r="D54" s="25">
        <v>38.3253990248313</v>
      </c>
      <c r="E54" s="25">
        <v>20.2513415892197</v>
      </c>
      <c r="F54" s="25">
        <v>11.7974329617576</v>
      </c>
      <c r="G54" s="25">
        <v>72.7779804362232</v>
      </c>
      <c r="H54" s="2"/>
      <c r="I54" s="25">
        <v>4.623</v>
      </c>
      <c r="J54" s="25" cm="1">
        <f t="array" ref="J54">I54/1000</f>
        <v>0.004623</v>
      </c>
      <c r="K54" s="2"/>
      <c r="L54" s="25" cm="1">
        <f t="array" ref="L54">D54*$J54</f>
        <v>0.177178319691795</v>
      </c>
      <c r="M54" s="25" cm="1">
        <f t="array" ref="M54">E54*$J54</f>
        <v>0.0936219521669627</v>
      </c>
      <c r="N54" s="25" cm="1">
        <f t="array" ref="N54">F54*$J54</f>
        <v>0.0545395325822054</v>
      </c>
      <c r="O54" s="25" cm="1">
        <f t="array" ref="O54">G54*$J54</f>
        <v>0.33645260355666</v>
      </c>
      <c r="P54" s="2"/>
      <c r="Q54" s="25">
        <v>0.0179000000000009</v>
      </c>
      <c r="R54" s="25">
        <v>1</v>
      </c>
      <c r="S54" s="25" cm="1">
        <f t="array" ref="S54">L54/$R54</f>
        <v>0.177178319691795</v>
      </c>
      <c r="T54" s="25" cm="1">
        <f t="array" ref="T54">M54/$R54</f>
        <v>0.0936219521669627</v>
      </c>
      <c r="U54" s="25" cm="1">
        <f t="array" ref="U54">N54/$R54</f>
        <v>0.0545395325822054</v>
      </c>
      <c r="V54" s="25" cm="1">
        <f t="array" ref="V54">O54/$R54</f>
        <v>0.33645260355666</v>
      </c>
      <c r="W54" s="2"/>
      <c r="X54" s="25" cm="1">
        <f t="array" ref="X54">S54-X$3-X$58</f>
        <v>-0.244606568605585</v>
      </c>
      <c r="Y54" s="25" cm="1">
        <f t="array" ref="Y54">T54-Y$3-Y$58</f>
        <v>0.0070665833019849</v>
      </c>
      <c r="Z54" s="25" cm="1">
        <f t="array" ref="Z54">U54-Z$3-Z$49</f>
        <v>-0.0117452624869694</v>
      </c>
      <c r="AA54" s="25" cm="1">
        <f t="array" ref="AA54">V54-AA$3-AA$49</f>
        <v>0.365934394716737</v>
      </c>
      <c r="AB54" s="2"/>
      <c r="AC54" s="32" cm="1">
        <f t="array" ref="AC54">X54</f>
        <v>-0.244606568605585</v>
      </c>
      <c r="AD54" s="32" cm="1">
        <f t="array" ref="AD54">Y54</f>
        <v>0.0070665833019849</v>
      </c>
      <c r="AE54" s="32" cm="1">
        <f t="array" ref="AE54">Z54</f>
        <v>-0.0117452624869694</v>
      </c>
      <c r="AF54" s="32" cm="1">
        <f t="array" ref="AF54">AA54</f>
        <v>0.365934394716737</v>
      </c>
    </row>
    <row r="55" ht="17" customHeight="1">
      <c r="A55" s="2"/>
      <c r="B55" t="s" s="24">
        <v>28</v>
      </c>
      <c r="C55" t="s" s="39">
        <v>114</v>
      </c>
      <c r="D55" s="25">
        <v>36.4599471023017</v>
      </c>
      <c r="E55" s="25">
        <v>12.4334890266111</v>
      </c>
      <c r="F55" s="25">
        <v>14.791978861778</v>
      </c>
      <c r="G55" s="25">
        <v>67.34633361976771</v>
      </c>
      <c r="H55" s="2"/>
      <c r="I55" s="25">
        <v>4.6957</v>
      </c>
      <c r="J55" s="25" cm="1">
        <f t="array" ref="J55">I55/1000</f>
        <v>0.0046957</v>
      </c>
      <c r="K55" s="2"/>
      <c r="L55" s="25" cm="1">
        <f t="array" ref="L55">D55*$J55</f>
        <v>0.171204973608278</v>
      </c>
      <c r="M55" s="25" cm="1">
        <f t="array" ref="M55">E55*$J55</f>
        <v>0.0583839344222577</v>
      </c>
      <c r="N55" s="25" cm="1">
        <f t="array" ref="N55">F55*$J55</f>
        <v>0.069458695141251</v>
      </c>
      <c r="O55" s="25" cm="1">
        <f t="array" ref="O55">G55*$J55</f>
        <v>0.316238178778343</v>
      </c>
      <c r="P55" s="2"/>
      <c r="Q55" s="25">
        <v>0.0181000000000004</v>
      </c>
      <c r="R55" s="25">
        <v>1</v>
      </c>
      <c r="S55" s="25" cm="1">
        <f t="array" ref="S55">L55/$R55</f>
        <v>0.171204973608278</v>
      </c>
      <c r="T55" s="25" cm="1">
        <f t="array" ref="T55">M55/$R55</f>
        <v>0.0583839344222577</v>
      </c>
      <c r="U55" s="25" cm="1">
        <f t="array" ref="U55">N55/$R55</f>
        <v>0.069458695141251</v>
      </c>
      <c r="V55" s="25" cm="1">
        <f t="array" ref="V55">O55/$R55</f>
        <v>0.316238178778343</v>
      </c>
      <c r="W55" s="2"/>
      <c r="X55" s="25" cm="1">
        <f t="array" ref="X55">S55-X$3-X$58</f>
        <v>-0.250579914689102</v>
      </c>
      <c r="Y55" s="25" cm="1">
        <f t="array" ref="Y55">T55-Y$3-Y$58</f>
        <v>-0.0281714344427201</v>
      </c>
      <c r="Z55" s="25" cm="1">
        <f t="array" ref="Z55">U55-Z$3-Z$49</f>
        <v>0.0031739000720762</v>
      </c>
      <c r="AA55" s="25" cm="1">
        <f t="array" ref="AA55">V55-AA$3-AA$49</f>
        <v>0.34571996993842</v>
      </c>
      <c r="AB55" s="2"/>
      <c r="AC55" s="32" cm="1">
        <f t="array" ref="AC55">X55</f>
        <v>-0.250579914689102</v>
      </c>
      <c r="AD55" s="32" cm="1">
        <f t="array" ref="AD55">Y55</f>
        <v>-0.0281714344427201</v>
      </c>
      <c r="AE55" s="32" cm="1">
        <f t="array" ref="AE55">Z55</f>
        <v>0.0031739000720762</v>
      </c>
      <c r="AF55" s="32" cm="1">
        <f t="array" ref="AF55">AA55</f>
        <v>0.34571996993842</v>
      </c>
    </row>
    <row r="56" ht="17" customHeight="1">
      <c r="A56" s="2"/>
      <c r="B56" t="s" s="24">
        <v>30</v>
      </c>
      <c r="C56" t="s" s="39">
        <v>115</v>
      </c>
      <c r="D56" s="25">
        <v>79.92146772277241</v>
      </c>
      <c r="E56" s="25">
        <v>11.4813076885263</v>
      </c>
      <c r="F56" s="25">
        <v>6.79069344150092</v>
      </c>
      <c r="G56" s="25">
        <v>-6.9345847201698</v>
      </c>
      <c r="H56" s="2"/>
      <c r="I56" s="25">
        <v>4.6982</v>
      </c>
      <c r="J56" s="25" cm="1">
        <f t="array" ref="J56">I56/1000</f>
        <v>0.0046982</v>
      </c>
      <c r="K56" s="2"/>
      <c r="L56" s="25" cm="1">
        <f t="array" ref="L56">D56*$J56</f>
        <v>0.375487039655129</v>
      </c>
      <c r="M56" s="25" cm="1">
        <f t="array" ref="M56">E56*$J56</f>
        <v>0.0539414797822343</v>
      </c>
      <c r="N56" s="25" cm="1">
        <f t="array" ref="N56">F56*$J56</f>
        <v>0.0319040359268596</v>
      </c>
      <c r="O56" s="25" cm="1">
        <f t="array" ref="O56">G56*$J56</f>
        <v>-0.0325800659323018</v>
      </c>
      <c r="P56" s="2"/>
      <c r="Q56" s="25">
        <v>0.0187999999999988</v>
      </c>
      <c r="R56" s="25">
        <v>1</v>
      </c>
      <c r="S56" s="25" cm="1">
        <f t="array" ref="S56">L56/$R56</f>
        <v>0.375487039655129</v>
      </c>
      <c r="T56" s="25" cm="1">
        <f t="array" ref="T56">M56/$R56</f>
        <v>0.0539414797822343</v>
      </c>
      <c r="U56" s="25" cm="1">
        <f t="array" ref="U56">N56/$R56</f>
        <v>0.0319040359268596</v>
      </c>
      <c r="V56" s="25" cm="1">
        <f t="array" ref="V56">O56/$R56</f>
        <v>-0.0325800659323018</v>
      </c>
      <c r="W56" s="2"/>
      <c r="X56" s="25" cm="1">
        <f t="array" ref="X56">S56-X$3-X$58</f>
        <v>-0.046297848642251</v>
      </c>
      <c r="Y56" s="25" cm="1">
        <f t="array" ref="Y56">T56-Y$3-Y$58</f>
        <v>-0.0326138890827435</v>
      </c>
      <c r="Z56" s="25" cm="1">
        <f t="array" ref="Z56">U56-Z$3-Z$49</f>
        <v>-0.0343807591423152</v>
      </c>
      <c r="AA56" s="25" cm="1">
        <f t="array" ref="AA56">V56-AA$3-AA$49</f>
        <v>-0.0030982747722246</v>
      </c>
      <c r="AB56" s="2"/>
      <c r="AC56" s="32" cm="1">
        <f t="array" ref="AC56">X56</f>
        <v>-0.046297848642251</v>
      </c>
      <c r="AD56" s="32" cm="1">
        <f t="array" ref="AD56">Y56</f>
        <v>-0.0326138890827435</v>
      </c>
      <c r="AE56" s="32" cm="1">
        <f t="array" ref="AE56">Z56</f>
        <v>-0.0343807591423152</v>
      </c>
      <c r="AF56" s="32" cm="1">
        <f t="array" ref="AF56">AA56</f>
        <v>-0.0030982747722246</v>
      </c>
    </row>
    <row r="57" ht="17" customHeight="1">
      <c r="A57" s="2"/>
      <c r="B57" t="s" s="24">
        <v>32</v>
      </c>
      <c r="C57" t="s" s="39">
        <v>116</v>
      </c>
      <c r="D57" s="25">
        <v>154.605245012620</v>
      </c>
      <c r="E57" s="25">
        <v>22.1474125781487</v>
      </c>
      <c r="F57" s="25">
        <v>20.5863587991581</v>
      </c>
      <c r="G57" s="25">
        <v>-7.01278143537268</v>
      </c>
      <c r="H57" s="2"/>
      <c r="I57" s="25">
        <v>4.6903</v>
      </c>
      <c r="J57" s="25" cm="1">
        <f t="array" ref="J57">I57/1000</f>
        <v>0.0046903</v>
      </c>
      <c r="K57" s="2"/>
      <c r="L57" s="25" cm="1">
        <f t="array" ref="L57">D57*$J57</f>
        <v>0.725144980682692</v>
      </c>
      <c r="M57" s="25" cm="1">
        <f t="array" ref="M57">E57*$J57</f>
        <v>0.103878009215291</v>
      </c>
      <c r="N57" s="25" cm="1">
        <f t="array" ref="N57">F57*$J57</f>
        <v>0.09655619867569119</v>
      </c>
      <c r="O57" s="25" cm="1">
        <f t="array" ref="O57">G57*$J57</f>
        <v>-0.0328920487663285</v>
      </c>
      <c r="P57" s="2"/>
      <c r="Q57" s="25">
        <v>0.0183999999999997</v>
      </c>
      <c r="R57" s="25">
        <v>1</v>
      </c>
      <c r="S57" s="25" cm="1">
        <f t="array" ref="S57">L57/$R57</f>
        <v>0.725144980682692</v>
      </c>
      <c r="T57" s="25" cm="1">
        <f t="array" ref="T57">M57/$R57</f>
        <v>0.103878009215291</v>
      </c>
      <c r="U57" s="25" cm="1">
        <f t="array" ref="U57">N57/$R57</f>
        <v>0.09655619867569119</v>
      </c>
      <c r="V57" s="25" cm="1">
        <f t="array" ref="V57">O57/$R57</f>
        <v>-0.0328920487663285</v>
      </c>
      <c r="W57" s="2"/>
      <c r="X57" s="2"/>
      <c r="Y57" s="2"/>
      <c r="Z57" s="2"/>
      <c r="AA57" s="2"/>
      <c r="AB57" s="2"/>
      <c r="AC57" s="26"/>
      <c r="AD57" s="26"/>
      <c r="AE57" s="26"/>
      <c r="AF57" s="26"/>
    </row>
    <row r="58" ht="17" customHeight="1">
      <c r="A58" s="2"/>
      <c r="B58" t="s" s="24">
        <v>34</v>
      </c>
      <c r="C58" t="s" s="39">
        <v>117</v>
      </c>
      <c r="D58" s="25">
        <v>84.9043021368922</v>
      </c>
      <c r="E58" s="25">
        <v>12.3274359090942</v>
      </c>
      <c r="F58" s="25">
        <v>18.0977950209813</v>
      </c>
      <c r="G58" s="25">
        <v>-7.49571783698918</v>
      </c>
      <c r="H58" s="2"/>
      <c r="I58" s="25">
        <v>4.7205</v>
      </c>
      <c r="J58" s="25" cm="1">
        <f t="array" ref="J58">I58/1000</f>
        <v>0.0047205</v>
      </c>
      <c r="K58" s="2"/>
      <c r="L58" s="25" cm="1">
        <f t="array" ref="L58">D58*$J58</f>
        <v>0.4007907582372</v>
      </c>
      <c r="M58" s="25" cm="1">
        <f t="array" ref="M58">E58*$J58</f>
        <v>0.0581916612088792</v>
      </c>
      <c r="N58" s="25" cm="1">
        <f t="array" ref="N58">F58*$J58</f>
        <v>0.0854306413965422</v>
      </c>
      <c r="O58" s="25" cm="1">
        <f t="array" ref="O58">G58*$J58</f>
        <v>-0.0353835360495074</v>
      </c>
      <c r="P58" s="2"/>
      <c r="Q58" s="25">
        <v>0.0181000000000004</v>
      </c>
      <c r="R58" s="25">
        <v>1</v>
      </c>
      <c r="S58" s="25" cm="1">
        <f t="array" ref="S58">L58/$R58</f>
        <v>0.4007907582372</v>
      </c>
      <c r="T58" s="25" cm="1">
        <f t="array" ref="T58">M58/$R58</f>
        <v>0.0581916612088792</v>
      </c>
      <c r="U58" s="25" cm="1">
        <f t="array" ref="U58">N58/$R58</f>
        <v>0.0854306413965422</v>
      </c>
      <c r="V58" s="25" cm="1">
        <f t="array" ref="V58">O58/$R58</f>
        <v>-0.0353835360495074</v>
      </c>
      <c r="W58" s="2"/>
      <c r="X58" s="25" cm="1">
        <f t="array" ref="X58">AVERAGE(S57:S59)</f>
        <v>0.42178488829738</v>
      </c>
      <c r="Y58" s="25" cm="1">
        <f t="array" ref="Y58">AVERAGE(T57:T59)</f>
        <v>0.08655536886497781</v>
      </c>
      <c r="Z58" s="25" cm="1">
        <f t="array" ref="Z58">AVERAGE(U57:U59)</f>
        <v>0.0947044065146425</v>
      </c>
      <c r="AA58" s="25" cm="1">
        <f t="array" ref="AA58">AVERAGE(V57:V59)</f>
        <v>0.101287038101813</v>
      </c>
      <c r="AB58" s="2"/>
      <c r="AC58" s="26"/>
      <c r="AD58" s="26"/>
      <c r="AE58" s="26"/>
      <c r="AF58" s="26"/>
    </row>
    <row r="59" ht="17" customHeight="1">
      <c r="A59" s="2"/>
      <c r="B59" t="s" s="24">
        <v>36</v>
      </c>
      <c r="C59" t="s" s="39">
        <v>118</v>
      </c>
      <c r="D59" s="25">
        <v>29.5999927755775</v>
      </c>
      <c r="E59" s="25">
        <v>20.7206717842006</v>
      </c>
      <c r="F59" s="25">
        <v>21.6824227663307</v>
      </c>
      <c r="G59" s="25">
        <v>79.0082374304737</v>
      </c>
      <c r="H59" s="2"/>
      <c r="I59" s="25">
        <v>4.7101</v>
      </c>
      <c r="J59" s="25" cm="1">
        <f t="array" ref="J59">I59/1000</f>
        <v>0.0047101</v>
      </c>
      <c r="K59" s="2"/>
      <c r="L59" s="25" cm="1">
        <f t="array" ref="L59">D59*$J59</f>
        <v>0.139418925972248</v>
      </c>
      <c r="M59" s="25" cm="1">
        <f t="array" ref="M59">E59*$J59</f>
        <v>0.0975964361707632</v>
      </c>
      <c r="N59" s="25" cm="1">
        <f t="array" ref="N59">F59*$J59</f>
        <v>0.102126379471694</v>
      </c>
      <c r="O59" s="25" cm="1">
        <f t="array" ref="O59">G59*$J59</f>
        <v>0.372136699121274</v>
      </c>
      <c r="P59" s="2"/>
      <c r="Q59" s="25">
        <v>0.0176999999999996</v>
      </c>
      <c r="R59" s="25">
        <v>1</v>
      </c>
      <c r="S59" s="25" cm="1">
        <f t="array" ref="S59">L59/$R59</f>
        <v>0.139418925972248</v>
      </c>
      <c r="T59" s="25" cm="1">
        <f t="array" ref="T59">M59/$R59</f>
        <v>0.0975964361707632</v>
      </c>
      <c r="U59" s="25" cm="1">
        <f t="array" ref="U59">N59/$R59</f>
        <v>0.102126379471694</v>
      </c>
      <c r="V59" s="25" cm="1">
        <f t="array" ref="V59">O59/$R59</f>
        <v>0.372136699121274</v>
      </c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7" customHeight="1">
      <c r="A60" s="2"/>
      <c r="B60" t="s" s="24">
        <v>38</v>
      </c>
      <c r="C60" t="s" s="39">
        <v>119</v>
      </c>
      <c r="D60" s="25">
        <v>13.4738366378627</v>
      </c>
      <c r="E60" s="25">
        <v>90.51786864226079</v>
      </c>
      <c r="F60" s="25">
        <v>81.1918318807957</v>
      </c>
      <c r="G60" s="25">
        <v>-6.61425518236792</v>
      </c>
      <c r="H60" s="2"/>
      <c r="I60" s="25">
        <v>4.7095</v>
      </c>
      <c r="J60" s="25" cm="1">
        <f t="array" ref="J60">I60/1000</f>
        <v>0.0047095</v>
      </c>
      <c r="K60" s="2"/>
      <c r="L60" s="25" cm="1">
        <f t="array" ref="L60">D60*$J60</f>
        <v>0.0634550336460144</v>
      </c>
      <c r="M60" s="25" cm="1">
        <f t="array" ref="M60">E60*$J60</f>
        <v>0.426293902370727</v>
      </c>
      <c r="N60" s="25" cm="1">
        <f t="array" ref="N60">F60*$J60</f>
        <v>0.382372932242607</v>
      </c>
      <c r="O60" s="25" cm="1">
        <f t="array" ref="O60">G60*$J60</f>
        <v>-0.0311498347813617</v>
      </c>
      <c r="P60" s="2"/>
      <c r="Q60" s="25">
        <v>0.0183</v>
      </c>
      <c r="R60" s="25">
        <v>1</v>
      </c>
      <c r="S60" s="25" cm="1">
        <f t="array" ref="S60">L60/$R60</f>
        <v>0.0634550336460144</v>
      </c>
      <c r="T60" s="25" cm="1">
        <f t="array" ref="T60">M60/$R60</f>
        <v>0.426293902370727</v>
      </c>
      <c r="U60" s="25" cm="1">
        <f t="array" ref="U60">N60/$R60</f>
        <v>0.382372932242607</v>
      </c>
      <c r="V60" s="25" cm="1">
        <f t="array" ref="V60">O60/$R60</f>
        <v>-0.0311498347813617</v>
      </c>
      <c r="W60" s="2"/>
      <c r="X60" s="25" cm="1">
        <f t="array" ref="X60">S60-X$3-X$67</f>
        <v>-0.125334143099295</v>
      </c>
      <c r="Y60" s="25" cm="1">
        <f t="array" ref="Y60">T60-Y$3-Y$67</f>
        <v>0.358484529301651</v>
      </c>
      <c r="Z60" s="25" cm="1">
        <f t="array" ref="Z60">U60-Z$3-Z$49</f>
        <v>0.316088137173432</v>
      </c>
      <c r="AA60" s="25" cm="1">
        <f t="array" ref="AA60">V60-AA$3-AA$49</f>
        <v>-0.0016680436212845</v>
      </c>
      <c r="AB60" s="2"/>
      <c r="AC60" s="32" cm="1">
        <f t="array" ref="AC60">X60</f>
        <v>-0.125334143099295</v>
      </c>
      <c r="AD60" s="32" cm="1">
        <f t="array" ref="AD60">Y60</f>
        <v>0.358484529301651</v>
      </c>
      <c r="AE60" s="32" cm="1">
        <f t="array" ref="AE60">Z60</f>
        <v>0.316088137173432</v>
      </c>
      <c r="AF60" s="32" cm="1">
        <f t="array" ref="AF60">AA60</f>
        <v>-0.0016680436212845</v>
      </c>
    </row>
    <row r="61" ht="17" customHeight="1">
      <c r="A61" s="2"/>
      <c r="B61" t="s" s="24">
        <v>40</v>
      </c>
      <c r="C61" t="s" s="39">
        <v>120</v>
      </c>
      <c r="D61" s="25">
        <v>16.0398668664087</v>
      </c>
      <c r="E61" s="25">
        <v>42.2378642334372</v>
      </c>
      <c r="F61" s="25">
        <v>55.3897599400201</v>
      </c>
      <c r="G61" s="25">
        <v>-7.02377112906226</v>
      </c>
      <c r="H61" s="2"/>
      <c r="I61" s="25">
        <v>4.7003</v>
      </c>
      <c r="J61" s="25" cm="1">
        <f t="array" ref="J61">I61/1000</f>
        <v>0.0047003</v>
      </c>
      <c r="K61" s="2"/>
      <c r="L61" s="25" cm="1">
        <f t="array" ref="L61">D61*$J61</f>
        <v>0.0753921862321808</v>
      </c>
      <c r="M61" s="25" cm="1">
        <f t="array" ref="M61">E61*$J61</f>
        <v>0.198530633256425</v>
      </c>
      <c r="N61" s="25" cm="1">
        <f t="array" ref="N61">F61*$J61</f>
        <v>0.260348488646076</v>
      </c>
      <c r="O61" s="25" cm="1">
        <f t="array" ref="O61">G61*$J61</f>
        <v>-0.0330138314379313</v>
      </c>
      <c r="P61" s="2"/>
      <c r="Q61" s="25">
        <v>0.0174000000000003</v>
      </c>
      <c r="R61" s="25">
        <v>1</v>
      </c>
      <c r="S61" s="25" cm="1">
        <f t="array" ref="S61">L61/$R61</f>
        <v>0.0753921862321808</v>
      </c>
      <c r="T61" s="25" cm="1">
        <f t="array" ref="T61">M61/$R61</f>
        <v>0.198530633256425</v>
      </c>
      <c r="U61" s="25" cm="1">
        <f t="array" ref="U61">N61/$R61</f>
        <v>0.260348488646076</v>
      </c>
      <c r="V61" s="25" cm="1">
        <f t="array" ref="V61">O61/$R61</f>
        <v>-0.0330138314379313</v>
      </c>
      <c r="W61" s="2"/>
      <c r="X61" s="25" cm="1">
        <f t="array" ref="X61">S61-X$3-X$67</f>
        <v>-0.113396990513128</v>
      </c>
      <c r="Y61" s="25" cm="1">
        <f t="array" ref="Y61">T61-Y$3-Y$67</f>
        <v>0.130721260187349</v>
      </c>
      <c r="Z61" s="25" cm="1">
        <f t="array" ref="Z61">U61-Z$3-Z$49</f>
        <v>0.194063693576901</v>
      </c>
      <c r="AA61" s="25" cm="1">
        <f t="array" ref="AA61">V61-AA$3-AA$49</f>
        <v>-0.0035320402778541</v>
      </c>
      <c r="AB61" s="2"/>
      <c r="AC61" s="32" cm="1">
        <f t="array" ref="AC61">X61</f>
        <v>-0.113396990513128</v>
      </c>
      <c r="AD61" s="32" cm="1">
        <f t="array" ref="AD61">Y61</f>
        <v>0.130721260187349</v>
      </c>
      <c r="AE61" s="32" cm="1">
        <f t="array" ref="AE61">Z61</f>
        <v>0.194063693576901</v>
      </c>
      <c r="AF61" s="32" cm="1">
        <f t="array" ref="AF61">AA61</f>
        <v>-0.0035320402778541</v>
      </c>
    </row>
    <row r="62" ht="17" customHeight="1">
      <c r="A62" s="2"/>
      <c r="B62" t="s" s="24">
        <v>42</v>
      </c>
      <c r="C62" t="s" s="39">
        <v>121</v>
      </c>
      <c r="D62" s="25">
        <v>195.936564441041</v>
      </c>
      <c r="E62" s="25">
        <v>129.242199375281</v>
      </c>
      <c r="F62" s="25">
        <v>87.5394433853569</v>
      </c>
      <c r="G62" s="25">
        <v>-6.434649208036</v>
      </c>
      <c r="H62" s="2"/>
      <c r="I62" s="25">
        <v>4.6977</v>
      </c>
      <c r="J62" s="25" cm="1">
        <f t="array" ref="J62">I62/1000</f>
        <v>0.0046977</v>
      </c>
      <c r="K62" s="2"/>
      <c r="L62" s="25" cm="1">
        <f t="array" ref="L62">D62*$J62</f>
        <v>0.920451198774678</v>
      </c>
      <c r="M62" s="25" cm="1">
        <f t="array" ref="M62">E62*$J62</f>
        <v>0.607141080005258</v>
      </c>
      <c r="N62" s="25" cm="1">
        <f t="array" ref="N62">F62*$J62</f>
        <v>0.411234043191391</v>
      </c>
      <c r="O62" s="25" cm="1">
        <f t="array" ref="O62">G62*$J62</f>
        <v>-0.0302280515845907</v>
      </c>
      <c r="P62" s="2"/>
      <c r="Q62" s="25">
        <v>0.0177999999999994</v>
      </c>
      <c r="R62" s="25">
        <v>1</v>
      </c>
      <c r="S62" s="25" cm="1">
        <f t="array" ref="S62">L62/$R62</f>
        <v>0.920451198774678</v>
      </c>
      <c r="T62" s="25" cm="1">
        <f t="array" ref="T62">M62/$R62</f>
        <v>0.607141080005258</v>
      </c>
      <c r="U62" s="25" cm="1">
        <f t="array" ref="U62">N62/$R62</f>
        <v>0.411234043191391</v>
      </c>
      <c r="V62" s="25" cm="1">
        <f t="array" ref="V62">O62/$R62</f>
        <v>-0.0302280515845907</v>
      </c>
      <c r="W62" s="2"/>
      <c r="X62" s="25" cm="1">
        <f t="array" ref="X62">S62-X$3-X$67</f>
        <v>0.731662022029369</v>
      </c>
      <c r="Y62" s="25" cm="1">
        <f t="array" ref="Y62">T62-Y$3-Y$67</f>
        <v>0.539331706936182</v>
      </c>
      <c r="Z62" s="25" cm="1">
        <f t="array" ref="Z62">U62-Z$3-Z$49</f>
        <v>0.344949248122216</v>
      </c>
      <c r="AA62" s="25" cm="1">
        <f t="array" ref="AA62">V62-AA$3-AA$49</f>
        <v>-0.0007462604245135</v>
      </c>
      <c r="AB62" s="2"/>
      <c r="AC62" s="32" cm="1">
        <f t="array" ref="AC62">X62</f>
        <v>0.731662022029369</v>
      </c>
      <c r="AD62" s="32" cm="1">
        <f t="array" ref="AD62">Y62</f>
        <v>0.539331706936182</v>
      </c>
      <c r="AE62" s="32" cm="1">
        <f t="array" ref="AE62">Z62</f>
        <v>0.344949248122216</v>
      </c>
      <c r="AF62" s="32" cm="1">
        <f t="array" ref="AF62">AA62</f>
        <v>-0.0007462604245135</v>
      </c>
    </row>
    <row r="63" ht="17" customHeight="1">
      <c r="A63" s="2"/>
      <c r="B63" t="s" s="24">
        <v>44</v>
      </c>
      <c r="C63" t="s" s="39">
        <v>122</v>
      </c>
      <c r="D63" s="25">
        <v>60.8647632316415</v>
      </c>
      <c r="E63" s="25">
        <v>13.9772099640806</v>
      </c>
      <c r="F63" s="25">
        <v>16.2504013963791</v>
      </c>
      <c r="G63" s="25">
        <v>22.7574983519163</v>
      </c>
      <c r="H63" s="2"/>
      <c r="I63" s="25">
        <v>4.7201</v>
      </c>
      <c r="J63" s="25" cm="1">
        <f t="array" ref="J63">I63/1000</f>
        <v>0.0047201</v>
      </c>
      <c r="K63" s="2"/>
      <c r="L63" s="25" cm="1">
        <f t="array" ref="L63">D63*$J63</f>
        <v>0.287287768929671</v>
      </c>
      <c r="M63" s="25" cm="1">
        <f t="array" ref="M63">E63*$J63</f>
        <v>0.0659738287514568</v>
      </c>
      <c r="N63" s="25" cm="1">
        <f t="array" ref="N63">F63*$J63</f>
        <v>0.076703519631049</v>
      </c>
      <c r="O63" s="25" cm="1">
        <f t="array" ref="O63">G63*$J63</f>
        <v>0.10741766797088</v>
      </c>
      <c r="P63" s="2"/>
      <c r="Q63" s="25">
        <v>0.0178999999999991</v>
      </c>
      <c r="R63" s="25">
        <v>1</v>
      </c>
      <c r="S63" s="25" cm="1">
        <f t="array" ref="S63">L63/$R63</f>
        <v>0.287287768929671</v>
      </c>
      <c r="T63" s="25" cm="1">
        <f t="array" ref="T63">M63/$R63</f>
        <v>0.0659738287514568</v>
      </c>
      <c r="U63" s="25" cm="1">
        <f t="array" ref="U63">N63/$R63</f>
        <v>0.076703519631049</v>
      </c>
      <c r="V63" s="25" cm="1">
        <f t="array" ref="V63">O63/$R63</f>
        <v>0.10741766797088</v>
      </c>
      <c r="W63" s="2"/>
      <c r="X63" s="25" cm="1">
        <f t="array" ref="X63">S63-X$3-X$67</f>
        <v>0.09849859218436199</v>
      </c>
      <c r="Y63" s="25" cm="1">
        <f t="array" ref="Y63">T63-Y$3-Y$67</f>
        <v>-0.001835544317619</v>
      </c>
      <c r="Z63" s="25" cm="1">
        <f t="array" ref="Z63">U63-Z$3-Z$49</f>
        <v>0.0104187245618742</v>
      </c>
      <c r="AA63" s="25" cm="1">
        <f t="array" ref="AA63">V63-AA$3-AA$49</f>
        <v>0.136899459130957</v>
      </c>
      <c r="AB63" s="2"/>
      <c r="AC63" s="32" cm="1">
        <f t="array" ref="AC63">X63</f>
        <v>0.09849859218436199</v>
      </c>
      <c r="AD63" s="32" cm="1">
        <f t="array" ref="AD63">Y63</f>
        <v>-0.001835544317619</v>
      </c>
      <c r="AE63" s="32" cm="1">
        <f t="array" ref="AE63">Z63</f>
        <v>0.0104187245618742</v>
      </c>
      <c r="AF63" s="32" cm="1">
        <f t="array" ref="AF63">AA63</f>
        <v>0.136899459130957</v>
      </c>
    </row>
    <row r="64" ht="17" customHeight="1">
      <c r="A64" s="2"/>
      <c r="B64" t="s" s="24">
        <v>46</v>
      </c>
      <c r="C64" t="s" s="39">
        <v>123</v>
      </c>
      <c r="D64" s="25">
        <v>30.5029909858293</v>
      </c>
      <c r="E64" s="25">
        <v>38.6893027075189</v>
      </c>
      <c r="F64" s="25">
        <v>11.2028120002287</v>
      </c>
      <c r="G64" s="25">
        <v>82.074631839792</v>
      </c>
      <c r="H64" s="2"/>
      <c r="I64" s="25">
        <v>4.7206</v>
      </c>
      <c r="J64" s="25" cm="1">
        <f t="array" ref="J64">I64/1000</f>
        <v>0.0047206</v>
      </c>
      <c r="K64" s="2"/>
      <c r="L64" s="25" cm="1">
        <f t="array" ref="L64">D64*$J64</f>
        <v>0.143992419247706</v>
      </c>
      <c r="M64" s="25" cm="1">
        <f t="array" ref="M64">E64*$J64</f>
        <v>0.182636722361114</v>
      </c>
      <c r="N64" s="25" cm="1">
        <f t="array" ref="N64">F64*$J64</f>
        <v>0.0528839943282796</v>
      </c>
      <c r="O64" s="25" cm="1">
        <f t="array" ref="O64">G64*$J64</f>
        <v>0.387441507062922</v>
      </c>
      <c r="P64" s="2"/>
      <c r="Q64" s="25">
        <v>0.0178999999999991</v>
      </c>
      <c r="R64" s="25">
        <v>1</v>
      </c>
      <c r="S64" s="25" cm="1">
        <f t="array" ref="S64">L64/$R64</f>
        <v>0.143992419247706</v>
      </c>
      <c r="T64" s="25" cm="1">
        <f t="array" ref="T64">M64/$R64</f>
        <v>0.182636722361114</v>
      </c>
      <c r="U64" s="25" cm="1">
        <f t="array" ref="U64">N64/$R64</f>
        <v>0.0528839943282796</v>
      </c>
      <c r="V64" s="25" cm="1">
        <f t="array" ref="V64">O64/$R64</f>
        <v>0.387441507062922</v>
      </c>
      <c r="W64" s="2"/>
      <c r="X64" s="25" cm="1">
        <f t="array" ref="X64">S64-X$3-X$67</f>
        <v>-0.044796757497603</v>
      </c>
      <c r="Y64" s="25" cm="1">
        <f t="array" ref="Y64">T64-Y$3-Y$67</f>
        <v>0.114827349292038</v>
      </c>
      <c r="Z64" s="25" cm="1">
        <f t="array" ref="Z64">U64-Z$3-Z$49</f>
        <v>-0.0134008007408952</v>
      </c>
      <c r="AA64" s="25" cm="1">
        <f t="array" ref="AA64">V64-AA$3-AA$49</f>
        <v>0.416923298222999</v>
      </c>
      <c r="AB64" s="2"/>
      <c r="AC64" s="32" cm="1">
        <f t="array" ref="AC64">X64</f>
        <v>-0.044796757497603</v>
      </c>
      <c r="AD64" s="32" cm="1">
        <f t="array" ref="AD64">Y64</f>
        <v>0.114827349292038</v>
      </c>
      <c r="AE64" s="32" cm="1">
        <f t="array" ref="AE64">Z64</f>
        <v>-0.0134008007408952</v>
      </c>
      <c r="AF64" s="32" cm="1">
        <f t="array" ref="AF64">AA64</f>
        <v>0.416923298222999</v>
      </c>
    </row>
    <row r="65" ht="17" customHeight="1">
      <c r="A65" s="2"/>
      <c r="B65" t="s" s="24">
        <v>48</v>
      </c>
      <c r="C65" t="s" s="39">
        <v>124</v>
      </c>
      <c r="D65" s="25">
        <v>39.1828039101706</v>
      </c>
      <c r="E65" s="25">
        <v>8.963795930316341</v>
      </c>
      <c r="F65" s="25">
        <v>11.4394303837695</v>
      </c>
      <c r="G65" s="25">
        <v>12.4234091369783</v>
      </c>
      <c r="H65" s="2"/>
      <c r="I65" s="25">
        <v>4.7005</v>
      </c>
      <c r="J65" s="25" cm="1">
        <f t="array" ref="J65">I65/1000</f>
        <v>0.0047005</v>
      </c>
      <c r="K65" s="2"/>
      <c r="L65" s="25" cm="1">
        <f t="array" ref="L65">D65*$J65</f>
        <v>0.184178769779757</v>
      </c>
      <c r="M65" s="25" cm="1">
        <f t="array" ref="M65">E65*$J65</f>
        <v>0.042134322770452</v>
      </c>
      <c r="N65" s="25" cm="1">
        <f t="array" ref="N65">F65*$J65</f>
        <v>0.0537710425189085</v>
      </c>
      <c r="O65" s="25" cm="1">
        <f t="array" ref="O65">G65*$J65</f>
        <v>0.0583962346483665</v>
      </c>
      <c r="P65" s="2"/>
      <c r="Q65" s="25">
        <v>0.0175999999999998</v>
      </c>
      <c r="R65" s="25">
        <v>1</v>
      </c>
      <c r="S65" s="25" cm="1">
        <f t="array" ref="S65">L65/$R65</f>
        <v>0.184178769779757</v>
      </c>
      <c r="T65" s="25" cm="1">
        <f t="array" ref="T65">M65/$R65</f>
        <v>0.042134322770452</v>
      </c>
      <c r="U65" s="25" cm="1">
        <f t="array" ref="U65">N65/$R65</f>
        <v>0.0537710425189085</v>
      </c>
      <c r="V65" s="25" cm="1">
        <f t="array" ref="V65">O65/$R65</f>
        <v>0.0583962346483665</v>
      </c>
      <c r="W65" s="2"/>
      <c r="X65" s="25" cm="1">
        <f t="array" ref="X65">S65-X$3-X$67</f>
        <v>-0.004610406965552</v>
      </c>
      <c r="Y65" s="25" cm="1">
        <f t="array" ref="Y65">T65-Y$3-Y$67</f>
        <v>-0.0256750502986238</v>
      </c>
      <c r="Z65" s="25" cm="1">
        <f t="array" ref="Z65">U65-Z$3-Z$49</f>
        <v>-0.0125137525502663</v>
      </c>
      <c r="AA65" s="25" cm="1">
        <f t="array" ref="AA65">V65-AA$3-AA$49</f>
        <v>0.0878780258084437</v>
      </c>
      <c r="AB65" s="2"/>
      <c r="AC65" s="32" cm="1">
        <f t="array" ref="AC65">X65</f>
        <v>-0.004610406965552</v>
      </c>
      <c r="AD65" s="32" cm="1">
        <f t="array" ref="AD65">Y65</f>
        <v>-0.0256750502986238</v>
      </c>
      <c r="AE65" s="32" cm="1">
        <f t="array" ref="AE65">Z65</f>
        <v>-0.0125137525502663</v>
      </c>
      <c r="AF65" s="32" cm="1">
        <f t="array" ref="AF65">AA65</f>
        <v>0.0878780258084437</v>
      </c>
    </row>
    <row r="66" ht="17" customHeight="1">
      <c r="A66" s="2"/>
      <c r="B66" t="s" s="24">
        <v>50</v>
      </c>
      <c r="C66" t="s" s="39">
        <v>125</v>
      </c>
      <c r="D66" s="25">
        <v>65.9249558323329</v>
      </c>
      <c r="E66" s="25">
        <v>19.2379242731276</v>
      </c>
      <c r="F66" s="25">
        <v>46.5500624252682</v>
      </c>
      <c r="G66" s="25">
        <v>-6.90487394730322</v>
      </c>
      <c r="H66" s="2"/>
      <c r="I66" s="25">
        <v>4.7162</v>
      </c>
      <c r="J66" s="25" cm="1">
        <f t="array" ref="J66">I66/1000</f>
        <v>0.0047162</v>
      </c>
      <c r="K66" s="2"/>
      <c r="L66" s="25" cm="1">
        <f t="array" ref="L66">D66*$J66</f>
        <v>0.310915276696448</v>
      </c>
      <c r="M66" s="25" cm="1">
        <f t="array" ref="M66">E66*$J66</f>
        <v>0.0907298984569244</v>
      </c>
      <c r="N66" s="25" cm="1">
        <f t="array" ref="N66">F66*$J66</f>
        <v>0.21953940441005</v>
      </c>
      <c r="O66" s="25" cm="1">
        <f t="array" ref="O66">G66*$J66</f>
        <v>-0.0325647665102714</v>
      </c>
      <c r="P66" s="2"/>
      <c r="Q66" s="25">
        <v>0.0180000000000007</v>
      </c>
      <c r="R66" s="25">
        <v>1</v>
      </c>
      <c r="S66" s="25" cm="1">
        <f t="array" ref="S66">L66/$R66</f>
        <v>0.310915276696448</v>
      </c>
      <c r="T66" s="25" cm="1">
        <f t="array" ref="T66">M66/$R66</f>
        <v>0.0907298984569244</v>
      </c>
      <c r="U66" s="25" cm="1">
        <f t="array" ref="U66">N66/$R66</f>
        <v>0.21953940441005</v>
      </c>
      <c r="V66" s="25" cm="1">
        <f t="array" ref="V66">O66/$R66</f>
        <v>-0.0325647665102714</v>
      </c>
      <c r="W66" s="2"/>
      <c r="X66" s="2"/>
      <c r="Y66" s="2"/>
      <c r="Z66" s="2"/>
      <c r="AA66" s="2"/>
      <c r="AB66" s="2"/>
      <c r="AC66" s="26"/>
      <c r="AD66" s="26"/>
      <c r="AE66" s="26"/>
      <c r="AF66" s="26"/>
    </row>
    <row r="67" ht="17" customHeight="1">
      <c r="A67" s="2"/>
      <c r="B67" t="s" s="24">
        <v>52</v>
      </c>
      <c r="C67" t="s" s="39">
        <v>126</v>
      </c>
      <c r="D67" s="25">
        <v>25.7387910326664</v>
      </c>
      <c r="E67" s="25">
        <v>11.2091822559581</v>
      </c>
      <c r="F67" s="25">
        <v>7.62105776953383</v>
      </c>
      <c r="G67" s="25">
        <v>-7.13131885742527</v>
      </c>
      <c r="H67" s="2"/>
      <c r="I67" s="25">
        <v>4.8088</v>
      </c>
      <c r="J67" s="25" cm="1">
        <f t="array" ref="J67">I67/1000</f>
        <v>0.0048088</v>
      </c>
      <c r="K67" s="2"/>
      <c r="L67" s="25" cm="1">
        <f t="array" ref="L67">D67*$J67</f>
        <v>0.123772698317886</v>
      </c>
      <c r="M67" s="25" cm="1">
        <f t="array" ref="M67">E67*$J67</f>
        <v>0.0539027156324513</v>
      </c>
      <c r="N67" s="25" cm="1">
        <f t="array" ref="N67">F67*$J67</f>
        <v>0.0366481426021343</v>
      </c>
      <c r="O67" s="25" cm="1">
        <f t="array" ref="O67">G67*$J67</f>
        <v>-0.0342930861215866</v>
      </c>
      <c r="P67" s="2"/>
      <c r="Q67" s="25">
        <v>0.0183</v>
      </c>
      <c r="R67" s="25">
        <v>1</v>
      </c>
      <c r="S67" s="25" cm="1">
        <f t="array" ref="S67">L67/$R67</f>
        <v>0.123772698317886</v>
      </c>
      <c r="T67" s="25" cm="1">
        <f t="array" ref="T67">M67/$R67</f>
        <v>0.0539027156324513</v>
      </c>
      <c r="U67" s="25" cm="1">
        <f t="array" ref="U67">N67/$R67</f>
        <v>0.0366481426021343</v>
      </c>
      <c r="V67" s="25" cm="1">
        <f t="array" ref="V67">O67/$R67</f>
        <v>-0.0342930861215866</v>
      </c>
      <c r="W67" s="2"/>
      <c r="X67" s="25" cm="1">
        <f t="array" ref="X67">AVERAGE(S66:S68)</f>
        <v>0.188789176745309</v>
      </c>
      <c r="Y67" s="25" cm="1">
        <f t="array" ref="Y67">AVERAGE(T66:T68)</f>
        <v>0.06780937306907581</v>
      </c>
      <c r="Z67" s="25" cm="1">
        <f t="array" ref="Z67">AVERAGE(U66:U68)</f>
        <v>0.104616856562618</v>
      </c>
      <c r="AA67" s="25" cm="1">
        <f t="array" ref="AA67">AVERAGE(V66:V68)</f>
        <v>-0.0342181738900183</v>
      </c>
      <c r="AB67" s="2"/>
      <c r="AC67" s="26"/>
      <c r="AD67" s="26"/>
      <c r="AE67" s="26"/>
      <c r="AF67" s="26"/>
    </row>
    <row r="68" ht="17" customHeight="1">
      <c r="A68" s="2"/>
      <c r="B68" t="s" s="24">
        <v>54</v>
      </c>
      <c r="C68" t="s" s="39">
        <v>127</v>
      </c>
      <c r="D68" s="25">
        <v>27.8804902014807</v>
      </c>
      <c r="E68" s="25">
        <v>12.4487624640804</v>
      </c>
      <c r="F68" s="25">
        <v>12.2089821460234</v>
      </c>
      <c r="G68" s="25">
        <v>-7.57922274787149</v>
      </c>
      <c r="H68" s="2"/>
      <c r="I68" s="25">
        <v>4.723</v>
      </c>
      <c r="J68" s="25" cm="1">
        <f t="array" ref="J68">I68/1000</f>
        <v>0.004723</v>
      </c>
      <c r="K68" s="2"/>
      <c r="L68" s="25" cm="1">
        <f t="array" ref="L68">D68*$J68</f>
        <v>0.131679555221593</v>
      </c>
      <c r="M68" s="25" cm="1">
        <f t="array" ref="M68">E68*$J68</f>
        <v>0.0587955051178517</v>
      </c>
      <c r="N68" s="25" cm="1">
        <f t="array" ref="N68">F68*$J68</f>
        <v>0.0576630226756685</v>
      </c>
      <c r="O68" s="25" cm="1">
        <f t="array" ref="O68">G68*$J68</f>
        <v>-0.035796669038197</v>
      </c>
      <c r="P68" s="2"/>
      <c r="Q68" s="25">
        <v>0.0183999999999997</v>
      </c>
      <c r="R68" s="25">
        <v>1</v>
      </c>
      <c r="S68" s="25" cm="1">
        <f t="array" ref="S68">L68/$R68</f>
        <v>0.131679555221593</v>
      </c>
      <c r="T68" s="25" cm="1">
        <f t="array" ref="T68">M68/$R68</f>
        <v>0.0587955051178517</v>
      </c>
      <c r="U68" s="25" cm="1">
        <f t="array" ref="U68">N68/$R68</f>
        <v>0.0576630226756685</v>
      </c>
      <c r="V68" s="25" cm="1">
        <f t="array" ref="V68">O68/$R68</f>
        <v>-0.035796669038197</v>
      </c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7" customHeight="1">
      <c r="A69" s="2"/>
      <c r="B69" t="s" s="24">
        <v>56</v>
      </c>
      <c r="C69" t="s" s="39">
        <v>128</v>
      </c>
      <c r="D69" s="25">
        <v>30.5758979188472</v>
      </c>
      <c r="E69" s="25">
        <v>593.821391562920</v>
      </c>
      <c r="F69" s="25">
        <v>1065.1719248268</v>
      </c>
      <c r="G69" s="25">
        <v>-6.83122897473137</v>
      </c>
      <c r="H69" s="2"/>
      <c r="I69" s="25">
        <v>4.6507</v>
      </c>
      <c r="J69" s="25" cm="1">
        <f t="array" ref="J69">I69/1000</f>
        <v>0.0046507</v>
      </c>
      <c r="K69" s="2"/>
      <c r="L69" s="25" cm="1">
        <f t="array" ref="L69">D69*$J69</f>
        <v>0.142199328451183</v>
      </c>
      <c r="M69" s="25" cm="1">
        <f t="array" ref="M69">E69*$J69</f>
        <v>2.76168514574167</v>
      </c>
      <c r="N69" s="25" cm="1">
        <f t="array" ref="N69">F69*$J69</f>
        <v>4.953795070792</v>
      </c>
      <c r="O69" s="25" cm="1">
        <f t="array" ref="O69">G69*$J69</f>
        <v>-0.0317699965927832</v>
      </c>
      <c r="P69" s="2"/>
      <c r="Q69" s="25">
        <v>0.0182000000000002</v>
      </c>
      <c r="R69" s="25">
        <v>1</v>
      </c>
      <c r="S69" s="25" cm="1">
        <f t="array" ref="S69">L69/$R69</f>
        <v>0.142199328451183</v>
      </c>
      <c r="T69" s="25" cm="1">
        <f t="array" ref="T69">M69/$R69</f>
        <v>2.76168514574167</v>
      </c>
      <c r="U69" s="25" cm="1">
        <f t="array" ref="U69">N69/$R69</f>
        <v>4.953795070792</v>
      </c>
      <c r="V69" s="25" cm="1">
        <f t="array" ref="V69">O69/$R69</f>
        <v>-0.0317699965927832</v>
      </c>
      <c r="W69" s="2"/>
      <c r="X69" s="25" cm="1">
        <f t="array" ref="X69">S69-X$3-X$76</f>
        <v>-0.397341274000628</v>
      </c>
      <c r="Y69" s="25" cm="1">
        <f t="array" ref="Y69">T69-Y$3-Y$76</f>
        <v>2.74909269696222</v>
      </c>
      <c r="Z69" s="25" cm="1">
        <f t="array" ref="Z69">U69-Z$3-Z$49</f>
        <v>4.88751027572283</v>
      </c>
      <c r="AA69" s="25" cm="1">
        <f t="array" ref="AA69">V69-AA$3-AA$49</f>
        <v>-0.002288205432706</v>
      </c>
      <c r="AB69" s="2"/>
      <c r="AC69" s="32" cm="1">
        <f t="array" ref="AC69">X69</f>
        <v>-0.397341274000628</v>
      </c>
      <c r="AD69" s="32" cm="1">
        <f t="array" ref="AD69">Y69</f>
        <v>2.74909269696222</v>
      </c>
      <c r="AE69" s="32" cm="1">
        <f t="array" ref="AE69">Z69</f>
        <v>4.88751027572283</v>
      </c>
      <c r="AF69" s="32" cm="1">
        <f t="array" ref="AF69">AA69</f>
        <v>-0.002288205432706</v>
      </c>
    </row>
    <row r="70" ht="17" customHeight="1">
      <c r="A70" s="2"/>
      <c r="B70" t="s" s="24">
        <v>58</v>
      </c>
      <c r="C70" t="s" s="39">
        <v>129</v>
      </c>
      <c r="D70" s="25">
        <v>15.3847013134825</v>
      </c>
      <c r="E70" s="25">
        <v>433.372309826740</v>
      </c>
      <c r="F70" s="25">
        <v>1148.212813664370</v>
      </c>
      <c r="G70" s="25">
        <v>-6.47539076499171</v>
      </c>
      <c r="H70" s="2"/>
      <c r="I70" s="25">
        <v>4.7281</v>
      </c>
      <c r="J70" s="25" cm="1">
        <f t="array" ref="J70">I70/1000</f>
        <v>0.0047281</v>
      </c>
      <c r="K70" s="2"/>
      <c r="L70" s="25" cm="1">
        <f t="array" ref="L70">D70*$J70</f>
        <v>0.0727404062802766</v>
      </c>
      <c r="M70" s="25" cm="1">
        <f t="array" ref="M70">E70*$J70</f>
        <v>2.04902761809181</v>
      </c>
      <c r="N70" s="25" cm="1">
        <f t="array" ref="N70">F70*$J70</f>
        <v>5.42886500428651</v>
      </c>
      <c r="O70" s="25" cm="1">
        <f t="array" ref="O70">G70*$J70</f>
        <v>-0.0306162950759573</v>
      </c>
      <c r="P70" s="2"/>
      <c r="Q70" s="25">
        <v>0.0186999999999991</v>
      </c>
      <c r="R70" s="25">
        <v>1</v>
      </c>
      <c r="S70" s="25" cm="1">
        <f t="array" ref="S70">L70/$R70</f>
        <v>0.0727404062802766</v>
      </c>
      <c r="T70" s="25" cm="1">
        <f t="array" ref="T70">M70/$R70</f>
        <v>2.04902761809181</v>
      </c>
      <c r="U70" s="25" cm="1">
        <f t="array" ref="U70">N70/$R70</f>
        <v>5.42886500428651</v>
      </c>
      <c r="V70" s="25" cm="1">
        <f t="array" ref="V70">O70/$R70</f>
        <v>-0.0306162950759573</v>
      </c>
      <c r="W70" s="2"/>
      <c r="X70" s="25" cm="1">
        <f t="array" ref="X70">S70-X$3-X$76</f>
        <v>-0.466800196171534</v>
      </c>
      <c r="Y70" s="25" cm="1">
        <f t="array" ref="Y70">T70-Y$3-Y$76</f>
        <v>2.03643516931236</v>
      </c>
      <c r="Z70" s="25" cm="1">
        <f t="array" ref="Z70">U70-Z$3-Z$49</f>
        <v>5.36258020921734</v>
      </c>
      <c r="AA70" s="25" cm="1">
        <f t="array" ref="AA70">V70-AA$3-AA$49</f>
        <v>-0.0011345039158801</v>
      </c>
      <c r="AB70" s="2"/>
      <c r="AC70" s="32" cm="1">
        <f t="array" ref="AC70">X70</f>
        <v>-0.466800196171534</v>
      </c>
      <c r="AD70" s="32" cm="1">
        <f t="array" ref="AD70">Y70</f>
        <v>2.03643516931236</v>
      </c>
      <c r="AE70" s="32" cm="1">
        <f t="array" ref="AE70">Z70</f>
        <v>5.36258020921734</v>
      </c>
      <c r="AF70" s="32" cm="1">
        <f t="array" ref="AF70">AA70</f>
        <v>-0.0011345039158801</v>
      </c>
    </row>
    <row r="71" ht="17" customHeight="1">
      <c r="A71" s="2"/>
      <c r="B71" t="s" s="24">
        <v>60</v>
      </c>
      <c r="C71" t="s" s="39">
        <v>130</v>
      </c>
      <c r="D71" s="25">
        <v>39.5651565415562</v>
      </c>
      <c r="E71" s="25">
        <v>793.037243234668</v>
      </c>
      <c r="F71" s="25">
        <v>864.3495062472811</v>
      </c>
      <c r="G71" s="25">
        <v>-5.72673587276845</v>
      </c>
      <c r="H71" s="2"/>
      <c r="I71" s="25">
        <v>4.7144</v>
      </c>
      <c r="J71" s="25" cm="1">
        <f t="array" ref="J71">I71/1000</f>
        <v>0.0047144</v>
      </c>
      <c r="K71" s="2"/>
      <c r="L71" s="25" cm="1">
        <f t="array" ref="L71">D71*$J71</f>
        <v>0.186525973999513</v>
      </c>
      <c r="M71" s="25" cm="1">
        <f t="array" ref="M71">E71*$J71</f>
        <v>3.73869477950552</v>
      </c>
      <c r="N71" s="25" cm="1">
        <f t="array" ref="N71">F71*$J71</f>
        <v>4.07488931225218</v>
      </c>
      <c r="O71" s="25" cm="1">
        <f t="array" ref="O71">G71*$J71</f>
        <v>-0.0269981235985796</v>
      </c>
      <c r="P71" s="2"/>
      <c r="Q71" s="25">
        <v>0.0178999999999991</v>
      </c>
      <c r="R71" s="25">
        <v>1</v>
      </c>
      <c r="S71" s="25" cm="1">
        <f t="array" ref="S71">L71/$R71</f>
        <v>0.186525973999513</v>
      </c>
      <c r="T71" s="25" cm="1">
        <f t="array" ref="T71">M71/$R71</f>
        <v>3.73869477950552</v>
      </c>
      <c r="U71" s="25" cm="1">
        <f t="array" ref="U71">N71/$R71</f>
        <v>4.07488931225218</v>
      </c>
      <c r="V71" s="25" cm="1">
        <f t="array" ref="V71">O71/$R71</f>
        <v>-0.0269981235985796</v>
      </c>
      <c r="W71" s="2"/>
      <c r="X71" s="25" cm="1">
        <f t="array" ref="X71">S71-X$3-X$76</f>
        <v>-0.353014628452298</v>
      </c>
      <c r="Y71" s="25" cm="1">
        <f t="array" ref="Y71">T71-Y$3-Y$76</f>
        <v>3.72610233072607</v>
      </c>
      <c r="Z71" s="25" cm="1">
        <f t="array" ref="Z71">U71-Z$3-Z$49</f>
        <v>4.00860451718301</v>
      </c>
      <c r="AA71" s="25" cm="1">
        <f t="array" ref="AA71">V71-AA$3-AA$49</f>
        <v>0.0024836675614976</v>
      </c>
      <c r="AB71" s="2"/>
      <c r="AC71" s="32" cm="1">
        <f t="array" ref="AC71">X71</f>
        <v>-0.353014628452298</v>
      </c>
      <c r="AD71" s="32" cm="1">
        <f t="array" ref="AD71">Y71</f>
        <v>3.72610233072607</v>
      </c>
      <c r="AE71" s="32" cm="1">
        <f t="array" ref="AE71">Z71</f>
        <v>4.00860451718301</v>
      </c>
      <c r="AF71" s="32" cm="1">
        <f t="array" ref="AF71">AA71</f>
        <v>0.0024836675614976</v>
      </c>
    </row>
    <row r="72" ht="17" customHeight="1">
      <c r="A72" s="2"/>
      <c r="B72" t="s" s="24">
        <v>62</v>
      </c>
      <c r="C72" t="s" s="39">
        <v>131</v>
      </c>
      <c r="D72" s="25">
        <v>951.676836093376</v>
      </c>
      <c r="E72" s="25">
        <v>8.207083011982871</v>
      </c>
      <c r="F72" s="25">
        <v>8.43166644842997</v>
      </c>
      <c r="G72" s="25">
        <v>85.7300961913337</v>
      </c>
      <c r="H72" s="2"/>
      <c r="I72" s="25">
        <v>4.7697</v>
      </c>
      <c r="J72" s="25" cm="1">
        <f t="array" ref="J72">I72/1000</f>
        <v>0.0047697</v>
      </c>
      <c r="K72" s="2"/>
      <c r="L72" s="25" cm="1">
        <f t="array" ref="L72">D72*$J72</f>
        <v>4.53921300511458</v>
      </c>
      <c r="M72" s="25" cm="1">
        <f t="array" ref="M72">E72*$J72</f>
        <v>0.0391453238422547</v>
      </c>
      <c r="N72" s="25" cm="1">
        <f t="array" ref="N72">F72*$J72</f>
        <v>0.0402165194590764</v>
      </c>
      <c r="O72" s="25" cm="1">
        <f t="array" ref="O72">G72*$J72</f>
        <v>0.408906839803804</v>
      </c>
      <c r="P72" s="2"/>
      <c r="Q72" s="25">
        <v>0.0177999999999994</v>
      </c>
      <c r="R72" s="25">
        <v>1</v>
      </c>
      <c r="S72" s="25" cm="1">
        <f t="array" ref="S72">L72/$R72</f>
        <v>4.53921300511458</v>
      </c>
      <c r="T72" s="25" cm="1">
        <f t="array" ref="T72">M72/$R72</f>
        <v>0.0391453238422547</v>
      </c>
      <c r="U72" s="25" cm="1">
        <f t="array" ref="U72">N72/$R72</f>
        <v>0.0402165194590764</v>
      </c>
      <c r="V72" s="25" cm="1">
        <f t="array" ref="V72">O72/$R72</f>
        <v>0.408906839803804</v>
      </c>
      <c r="W72" s="2"/>
      <c r="X72" s="25" cm="1">
        <f t="array" ref="X72">S72-X$3-X$76</f>
        <v>3.99967240266277</v>
      </c>
      <c r="Y72" s="25" cm="1">
        <f t="array" ref="Y72">T72-Y$3-Y$76</f>
        <v>0.0265528750628027</v>
      </c>
      <c r="Z72" s="25" cm="1">
        <f t="array" ref="Z72">U72-Z$3-Z$49</f>
        <v>-0.0260682756100984</v>
      </c>
      <c r="AA72" s="25" cm="1">
        <f t="array" ref="AA72">V72-AA$3-AA$49</f>
        <v>0.438388630963881</v>
      </c>
      <c r="AB72" s="2"/>
      <c r="AC72" s="32" cm="1">
        <f t="array" ref="AC72">X72</f>
        <v>3.99967240266277</v>
      </c>
      <c r="AD72" s="32" cm="1">
        <f t="array" ref="AD72">Y72</f>
        <v>0.0265528750628027</v>
      </c>
      <c r="AE72" s="32" cm="1">
        <f t="array" ref="AE72">Z72</f>
        <v>-0.0260682756100984</v>
      </c>
      <c r="AF72" s="32" cm="1">
        <f t="array" ref="AF72">AA72</f>
        <v>0.438388630963881</v>
      </c>
    </row>
    <row r="73" ht="17" customHeight="1">
      <c r="A73" s="2"/>
      <c r="B73" t="s" s="24">
        <v>64</v>
      </c>
      <c r="C73" t="s" s="39">
        <v>132</v>
      </c>
      <c r="D73" s="25">
        <v>799.161429944456</v>
      </c>
      <c r="E73" s="25">
        <v>7.49547245558504</v>
      </c>
      <c r="F73" s="25">
        <v>14.1010802785475</v>
      </c>
      <c r="G73" s="25">
        <v>278.599517575508</v>
      </c>
      <c r="H73" s="2"/>
      <c r="I73" s="25">
        <v>4.5657</v>
      </c>
      <c r="J73" s="25" cm="1">
        <f t="array" ref="J73">I73/1000</f>
        <v>0.0045657</v>
      </c>
      <c r="K73" s="2"/>
      <c r="L73" s="25" cm="1">
        <f t="array" ref="L73">D73*$J73</f>
        <v>3.6487313406974</v>
      </c>
      <c r="M73" s="25" cm="1">
        <f t="array" ref="M73">E73*$J73</f>
        <v>0.0342220785904646</v>
      </c>
      <c r="N73" s="25" cm="1">
        <f t="array" ref="N73">F73*$J73</f>
        <v>0.06438130222776429</v>
      </c>
      <c r="O73" s="25" cm="1">
        <f t="array" ref="O73">G73*$J73</f>
        <v>1.2720018173945</v>
      </c>
      <c r="P73" s="2"/>
      <c r="Q73" s="25">
        <v>0.0172999999999988</v>
      </c>
      <c r="R73" s="25">
        <v>1</v>
      </c>
      <c r="S73" s="25" cm="1">
        <f t="array" ref="S73">L73/$R73</f>
        <v>3.6487313406974</v>
      </c>
      <c r="T73" s="25" cm="1">
        <f t="array" ref="T73">M73/$R73</f>
        <v>0.0342220785904646</v>
      </c>
      <c r="U73" s="25" cm="1">
        <f t="array" ref="U73">N73/$R73</f>
        <v>0.06438130222776429</v>
      </c>
      <c r="V73" s="25" cm="1">
        <f t="array" ref="V73">O73/$R73</f>
        <v>1.2720018173945</v>
      </c>
      <c r="W73" s="2"/>
      <c r="X73" s="25" cm="1">
        <f t="array" ref="X73">S73-X$3-X$76</f>
        <v>3.10919073824559</v>
      </c>
      <c r="Y73" s="25" cm="1">
        <f t="array" ref="Y73">T73-Y$3-Y$76</f>
        <v>0.0216296298110126</v>
      </c>
      <c r="Z73" s="25" cm="1">
        <f t="array" ref="Z73">U73-Z$3-Z$49</f>
        <v>-0.0019034928414105</v>
      </c>
      <c r="AA73" s="25" cm="1">
        <f t="array" ref="AA73">V73-AA$3-AA$49</f>
        <v>1.30148360855458</v>
      </c>
      <c r="AB73" s="2"/>
      <c r="AC73" s="32" cm="1">
        <f t="array" ref="AC73">X73</f>
        <v>3.10919073824559</v>
      </c>
      <c r="AD73" s="32" cm="1">
        <f t="array" ref="AD73">Y73</f>
        <v>0.0216296298110126</v>
      </c>
      <c r="AE73" s="32" cm="1">
        <f t="array" ref="AE73">Z73</f>
        <v>-0.0019034928414105</v>
      </c>
      <c r="AF73" s="32" cm="1">
        <f t="array" ref="AF73">AA73</f>
        <v>1.30148360855458</v>
      </c>
    </row>
    <row r="74" ht="17" customHeight="1">
      <c r="A74" s="2"/>
      <c r="B74" t="s" s="24">
        <v>66</v>
      </c>
      <c r="C74" t="s" s="39">
        <v>133</v>
      </c>
      <c r="D74" s="25">
        <v>908.9524432565109</v>
      </c>
      <c r="E74" s="25">
        <v>4.87199255045965</v>
      </c>
      <c r="F74" s="25">
        <v>7.34537129389037</v>
      </c>
      <c r="G74" s="25">
        <v>167.634187043050</v>
      </c>
      <c r="H74" s="2"/>
      <c r="I74" s="25">
        <v>4.8765</v>
      </c>
      <c r="J74" s="25" cm="1">
        <f t="array" ref="J74">I74/1000</f>
        <v>0.0048765</v>
      </c>
      <c r="K74" s="2"/>
      <c r="L74" s="25" cm="1">
        <f t="array" ref="L74">D74*$J74</f>
        <v>4.43250658954038</v>
      </c>
      <c r="M74" s="25" cm="1">
        <f t="array" ref="M74">E74*$J74</f>
        <v>0.0237582716723165</v>
      </c>
      <c r="N74" s="25" cm="1">
        <f t="array" ref="N74">F74*$J74</f>
        <v>0.0358197031146564</v>
      </c>
      <c r="O74" s="25" cm="1">
        <f t="array" ref="O74">G74*$J74</f>
        <v>0.817468113115433</v>
      </c>
      <c r="P74" s="2"/>
      <c r="Q74" s="25">
        <v>0.0173000000000005</v>
      </c>
      <c r="R74" s="25">
        <v>1</v>
      </c>
      <c r="S74" s="25" cm="1">
        <f t="array" ref="S74">L74/$R74</f>
        <v>4.43250658954038</v>
      </c>
      <c r="T74" s="25" cm="1">
        <f t="array" ref="T74">M74/$R74</f>
        <v>0.0237582716723165</v>
      </c>
      <c r="U74" s="25" cm="1">
        <f t="array" ref="U74">N74/$R74</f>
        <v>0.0358197031146564</v>
      </c>
      <c r="V74" s="25" cm="1">
        <f t="array" ref="V74">O74/$R74</f>
        <v>0.817468113115433</v>
      </c>
      <c r="W74" s="2"/>
      <c r="X74" s="25" cm="1">
        <f t="array" ref="X74">S74-X$3-X$76</f>
        <v>3.89296598708857</v>
      </c>
      <c r="Y74" s="25" cm="1">
        <f t="array" ref="Y74">T74-Y$3-Y$76</f>
        <v>0.0111658228928645</v>
      </c>
      <c r="Z74" s="25" cm="1">
        <f t="array" ref="Z74">U74-Z$3-Z$49</f>
        <v>-0.0304650919545184</v>
      </c>
      <c r="AA74" s="25" cm="1">
        <f t="array" ref="AA74">V74-AA$3-AA$49</f>
        <v>0.84694990427551</v>
      </c>
      <c r="AB74" s="2"/>
      <c r="AC74" s="32" cm="1">
        <f t="array" ref="AC74">X74</f>
        <v>3.89296598708857</v>
      </c>
      <c r="AD74" s="32" cm="1">
        <f t="array" ref="AD74">Y74</f>
        <v>0.0111658228928645</v>
      </c>
      <c r="AE74" s="32" cm="1">
        <f t="array" ref="AE74">Z74</f>
        <v>-0.0304650919545184</v>
      </c>
      <c r="AF74" s="32" cm="1">
        <f t="array" ref="AF74">AA74</f>
        <v>0.84694990427551</v>
      </c>
    </row>
    <row r="75" ht="17" customHeight="1">
      <c r="A75" s="2"/>
      <c r="B75" t="s" s="24">
        <v>68</v>
      </c>
      <c r="C75" t="s" s="39">
        <v>134</v>
      </c>
      <c r="D75" s="25">
        <v>114.681526392145</v>
      </c>
      <c r="E75" s="25">
        <v>4.17826959528917</v>
      </c>
      <c r="F75" s="25">
        <v>6.34193874998479</v>
      </c>
      <c r="G75" s="25">
        <v>-7.45989600081979</v>
      </c>
      <c r="H75" s="2"/>
      <c r="I75" s="25">
        <v>4.7</v>
      </c>
      <c r="J75" s="25" cm="1">
        <f t="array" ref="J75">I75/1000</f>
        <v>0.0047</v>
      </c>
      <c r="K75" s="2"/>
      <c r="L75" s="25" cm="1">
        <f t="array" ref="L75">D75*$J75</f>
        <v>0.539003174043082</v>
      </c>
      <c r="M75" s="25" cm="1">
        <f t="array" ref="M75">E75*$J75</f>
        <v>0.0196378670978591</v>
      </c>
      <c r="N75" s="25" cm="1">
        <f t="array" ref="N75">F75*$J75</f>
        <v>0.0298071121249285</v>
      </c>
      <c r="O75" s="25" cm="1">
        <f t="array" ref="O75">G75*$J75</f>
        <v>-0.035061511203853</v>
      </c>
      <c r="P75" s="2"/>
      <c r="Q75" s="25">
        <v>0.0174000000000003</v>
      </c>
      <c r="R75" s="25">
        <v>1</v>
      </c>
      <c r="S75" s="25" cm="1">
        <f t="array" ref="S75">L75/$R75</f>
        <v>0.539003174043082</v>
      </c>
      <c r="T75" s="25" cm="1">
        <f t="array" ref="T75">M75/$R75</f>
        <v>0.0196378670978591</v>
      </c>
      <c r="U75" s="25" cm="1">
        <f t="array" ref="U75">N75/$R75</f>
        <v>0.0298071121249285</v>
      </c>
      <c r="V75" s="25" cm="1">
        <f t="array" ref="V75">O75/$R75</f>
        <v>-0.035061511203853</v>
      </c>
      <c r="W75" s="2"/>
      <c r="X75" s="2"/>
      <c r="Y75" s="2"/>
      <c r="Z75" s="2"/>
      <c r="AA75" s="2"/>
      <c r="AB75" s="2"/>
      <c r="AC75" s="26"/>
      <c r="AD75" s="26"/>
      <c r="AE75" s="26"/>
      <c r="AF75" s="26"/>
    </row>
    <row r="76" ht="17" customHeight="1">
      <c r="A76" s="2"/>
      <c r="B76" t="s" s="24">
        <v>70</v>
      </c>
      <c r="C76" t="s" s="39">
        <v>135</v>
      </c>
      <c r="D76" s="25">
        <v>165.597369201847</v>
      </c>
      <c r="E76" s="25">
        <v>0.0118922868913612</v>
      </c>
      <c r="F76" s="25">
        <v>4.25273776664476</v>
      </c>
      <c r="G76" s="25">
        <v>-4.4353480593198</v>
      </c>
      <c r="H76" s="2"/>
      <c r="I76" s="25">
        <v>4.7</v>
      </c>
      <c r="J76" s="25" cm="1">
        <f t="array" ref="J76">I76/1000</f>
        <v>0.0047</v>
      </c>
      <c r="K76" s="2"/>
      <c r="L76" s="25" cm="1">
        <f t="array" ref="L76">D76*$J76</f>
        <v>0.778307635248681</v>
      </c>
      <c r="M76" s="25" cm="1">
        <f t="array" ref="M76">E76*$J76</f>
        <v>5.58937483893976e-05</v>
      </c>
      <c r="N76" s="25" cm="1">
        <f t="array" ref="N76">F76*$J76</f>
        <v>0.0199878675032304</v>
      </c>
      <c r="O76" s="25" cm="1">
        <f t="array" ref="O76">G76*$J76</f>
        <v>-0.0208461358788031</v>
      </c>
      <c r="P76" s="2"/>
      <c r="Q76" s="25">
        <v>0.0181999999999984</v>
      </c>
      <c r="R76" s="25">
        <v>1</v>
      </c>
      <c r="S76" s="25" cm="1">
        <f t="array" ref="S76">L76/$R76</f>
        <v>0.778307635248681</v>
      </c>
      <c r="T76" s="25" cm="1">
        <f t="array" ref="T76">M76/$R76</f>
        <v>5.58937483893976e-05</v>
      </c>
      <c r="U76" s="25" cm="1">
        <f t="array" ref="U76">N76/$R76</f>
        <v>0.0199878675032304</v>
      </c>
      <c r="V76" s="25" cm="1">
        <f t="array" ref="V76">O76/$R76</f>
        <v>-0.0208461358788031</v>
      </c>
      <c r="W76" s="2"/>
      <c r="X76" s="25" cm="1">
        <f t="array" ref="X76">AVERAGE(S75:S77)</f>
        <v>0.539540602451811</v>
      </c>
      <c r="Y76" s="25" cm="1">
        <f t="array" ref="Y76">AVERAGE(T75:T77)</f>
        <v>0.012592448779452</v>
      </c>
      <c r="Z76" s="25" cm="1">
        <f t="array" ref="Z76">AVERAGE(U75:U77)</f>
        <v>0.0301055819745508</v>
      </c>
      <c r="AA76" s="25" cm="1">
        <f t="array" ref="AA76">AVERAGE(V75:V77)</f>
        <v>-0.0277022801111828</v>
      </c>
      <c r="AB76" s="2"/>
      <c r="AC76" s="26"/>
      <c r="AD76" s="26"/>
      <c r="AE76" s="26"/>
      <c r="AF76" s="26"/>
    </row>
    <row r="77" ht="17" customHeight="1">
      <c r="A77" s="2"/>
      <c r="B77" t="s" s="36">
        <v>72</v>
      </c>
      <c r="C77" t="s" s="39">
        <v>136</v>
      </c>
      <c r="D77" s="25">
        <v>64.108722992270</v>
      </c>
      <c r="E77" s="25">
        <v>3.84757138129946</v>
      </c>
      <c r="F77" s="25">
        <v>8.621652403296521</v>
      </c>
      <c r="G77" s="25">
        <v>-5.78706239380688</v>
      </c>
      <c r="H77" s="2"/>
      <c r="I77" s="25">
        <v>4.7</v>
      </c>
      <c r="J77" s="25" cm="1">
        <f t="array" ref="J77">I77/1000</f>
        <v>0.0047</v>
      </c>
      <c r="K77" s="2"/>
      <c r="L77" s="25" cm="1">
        <f t="array" ref="L77">D77*$J77</f>
        <v>0.301310998063669</v>
      </c>
      <c r="M77" s="25" cm="1">
        <f t="array" ref="M77">E77*$J77</f>
        <v>0.0180835854921075</v>
      </c>
      <c r="N77" s="25" cm="1">
        <f t="array" ref="N77">F77*$J77</f>
        <v>0.0405217662954936</v>
      </c>
      <c r="O77" s="25" cm="1">
        <f t="array" ref="O77">G77*$J77</f>
        <v>-0.0271991932508923</v>
      </c>
      <c r="P77" s="2"/>
      <c r="Q77" s="25">
        <v>0.0190999999999999</v>
      </c>
      <c r="R77" s="25">
        <v>1</v>
      </c>
      <c r="S77" s="25" cm="1">
        <f t="array" ref="S77">L77/$R77</f>
        <v>0.301310998063669</v>
      </c>
      <c r="T77" s="25" cm="1">
        <f t="array" ref="T77">M77/$R77</f>
        <v>0.0180835854921075</v>
      </c>
      <c r="U77" s="25" cm="1">
        <f t="array" ref="U77">N77/$R77</f>
        <v>0.0405217662954936</v>
      </c>
      <c r="V77" s="25" cm="1">
        <f t="array" ref="V77">O77/$R77</f>
        <v>-0.0271991932508923</v>
      </c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7" customHeight="1">
      <c r="A78" s="2"/>
      <c r="B78" t="s" s="19">
        <v>74</v>
      </c>
      <c r="C78" t="s" s="39">
        <v>137</v>
      </c>
      <c r="D78" s="25">
        <v>14.1499092756669</v>
      </c>
      <c r="E78" s="25">
        <v>31.3906274269078</v>
      </c>
      <c r="F78" s="25">
        <v>64.4850632858011</v>
      </c>
      <c r="G78" s="25">
        <v>-5.97986595918415</v>
      </c>
      <c r="H78" s="2"/>
      <c r="I78" s="25">
        <v>4.7</v>
      </c>
      <c r="J78" s="25" cm="1">
        <f t="array" ref="J78">I78/1000</f>
        <v>0.0047</v>
      </c>
      <c r="K78" s="2"/>
      <c r="L78" s="25" cm="1">
        <f t="array" ref="L78">D78*$J78</f>
        <v>0.0665045735956344</v>
      </c>
      <c r="M78" s="25" cm="1">
        <f t="array" ref="M78">E78*$J78</f>
        <v>0.147535948906467</v>
      </c>
      <c r="N78" s="25" cm="1">
        <f t="array" ref="N78">F78*$J78</f>
        <v>0.303079797443265</v>
      </c>
      <c r="O78" s="25" cm="1">
        <f t="array" ref="O78">G78*$J78</f>
        <v>-0.0281053700081655</v>
      </c>
      <c r="P78" s="2"/>
      <c r="Q78" s="25">
        <v>0.0193999999999992</v>
      </c>
      <c r="R78" s="25">
        <v>1</v>
      </c>
      <c r="S78" s="25" cm="1">
        <f t="array" ref="S78">L78/$R78</f>
        <v>0.0665045735956344</v>
      </c>
      <c r="T78" s="25" cm="1">
        <f t="array" ref="T78">M78/$R78</f>
        <v>0.147535948906467</v>
      </c>
      <c r="U78" s="25" cm="1">
        <f t="array" ref="U78">N78/$R78</f>
        <v>0.303079797443265</v>
      </c>
      <c r="V78" s="25" cm="1">
        <f t="array" ref="V78">O78/$R78</f>
        <v>-0.0281053700081655</v>
      </c>
      <c r="W78" s="2"/>
      <c r="X78" s="25" cm="1">
        <f t="array" ref="X78">S78-X$3-X$85</f>
        <v>-0.0982622566513626</v>
      </c>
      <c r="Y78" s="25" cm="1">
        <f t="array" ref="Y78">T78-Y$3-Y$85</f>
        <v>0.125653601784921</v>
      </c>
      <c r="Z78" s="25" cm="1">
        <f t="array" ref="Z78">U78-Z$3-Z$85</f>
        <v>0.24278877037462</v>
      </c>
      <c r="AA78" s="25" cm="1">
        <f t="array" ref="AA78">V78-AA$3-AA$85</f>
        <v>0.0073617124900511</v>
      </c>
      <c r="AB78" s="2"/>
      <c r="AC78" s="32" cm="1">
        <f t="array" ref="AC78">X78</f>
        <v>-0.0982622566513626</v>
      </c>
      <c r="AD78" s="32" cm="1">
        <f t="array" ref="AD78">Y78</f>
        <v>0.125653601784921</v>
      </c>
      <c r="AE78" s="32" cm="1">
        <f t="array" ref="AE78">Z78</f>
        <v>0.24278877037462</v>
      </c>
      <c r="AF78" s="32" cm="1">
        <f t="array" ref="AF78">AA78</f>
        <v>0.0073617124900511</v>
      </c>
    </row>
    <row r="79" ht="17" customHeight="1">
      <c r="A79" s="2"/>
      <c r="B79" t="s" s="24">
        <v>76</v>
      </c>
      <c r="C79" t="s" s="39">
        <v>138</v>
      </c>
      <c r="D79" s="25">
        <v>17.6948214328558</v>
      </c>
      <c r="E79" s="25">
        <v>38.1395888060115</v>
      </c>
      <c r="F79" s="25">
        <v>61.8060569528692</v>
      </c>
      <c r="G79" s="25">
        <v>-7.34488903105803</v>
      </c>
      <c r="H79" s="2"/>
      <c r="I79" s="25">
        <v>4.7</v>
      </c>
      <c r="J79" s="25" cm="1">
        <f t="array" ref="J79">I79/1000</f>
        <v>0.0047</v>
      </c>
      <c r="K79" s="2"/>
      <c r="L79" s="25" cm="1">
        <f t="array" ref="L79">D79*$J79</f>
        <v>0.0831656607344223</v>
      </c>
      <c r="M79" s="25" cm="1">
        <f t="array" ref="M79">E79*$J79</f>
        <v>0.179256067388254</v>
      </c>
      <c r="N79" s="25" cm="1">
        <f t="array" ref="N79">F79*$J79</f>
        <v>0.290488467678485</v>
      </c>
      <c r="O79" s="25" cm="1">
        <f t="array" ref="O79">G79*$J79</f>
        <v>-0.0345209784459727</v>
      </c>
      <c r="P79" s="2"/>
      <c r="Q79" s="25">
        <v>0.019499999999999</v>
      </c>
      <c r="R79" s="25">
        <v>1</v>
      </c>
      <c r="S79" s="25" cm="1">
        <f t="array" ref="S79">L79/$R79</f>
        <v>0.0831656607344223</v>
      </c>
      <c r="T79" s="25" cm="1">
        <f t="array" ref="T79">M79/$R79</f>
        <v>0.179256067388254</v>
      </c>
      <c r="U79" s="25" cm="1">
        <f t="array" ref="U79">N79/$R79</f>
        <v>0.290488467678485</v>
      </c>
      <c r="V79" s="25" cm="1">
        <f t="array" ref="V79">O79/$R79</f>
        <v>-0.0345209784459727</v>
      </c>
      <c r="W79" s="2"/>
      <c r="X79" s="25" cm="1">
        <f t="array" ref="X79">S79-X$3-X$85</f>
        <v>-0.08160116951257471</v>
      </c>
      <c r="Y79" s="25" cm="1">
        <f t="array" ref="Y79">T79-Y$3-Y$85</f>
        <v>0.157373720266708</v>
      </c>
      <c r="Z79" s="25" cm="1">
        <f t="array" ref="Z79">U79-Z$3-Z$85</f>
        <v>0.23019744060984</v>
      </c>
      <c r="AA79" s="25" cm="1">
        <f t="array" ref="AA79">V79-AA$3-AA$85</f>
        <v>0.0009461040522439</v>
      </c>
      <c r="AB79" s="2"/>
      <c r="AC79" s="32" cm="1">
        <f t="array" ref="AC79">X79</f>
        <v>-0.08160116951257471</v>
      </c>
      <c r="AD79" s="32" cm="1">
        <f t="array" ref="AD79">Y79</f>
        <v>0.157373720266708</v>
      </c>
      <c r="AE79" s="32" cm="1">
        <f t="array" ref="AE79">Z79</f>
        <v>0.23019744060984</v>
      </c>
      <c r="AF79" s="32" cm="1">
        <f t="array" ref="AF79">AA79</f>
        <v>0.0009461040522439</v>
      </c>
    </row>
    <row r="80" ht="17" customHeight="1">
      <c r="A80" s="2"/>
      <c r="B80" t="s" s="24">
        <v>78</v>
      </c>
      <c r="C80" t="s" s="39">
        <v>139</v>
      </c>
      <c r="D80" s="25">
        <v>42.6554828143176</v>
      </c>
      <c r="E80" s="25">
        <v>21.1445564665319</v>
      </c>
      <c r="F80" s="25">
        <v>54.9110207118482</v>
      </c>
      <c r="G80" s="25">
        <v>-7.44298221020348</v>
      </c>
      <c r="H80" s="2"/>
      <c r="I80" s="25">
        <v>4.7</v>
      </c>
      <c r="J80" s="25" cm="1">
        <f t="array" ref="J80">I80/1000</f>
        <v>0.0047</v>
      </c>
      <c r="K80" s="2"/>
      <c r="L80" s="25" cm="1">
        <f t="array" ref="L80">D80*$J80</f>
        <v>0.200480769227293</v>
      </c>
      <c r="M80" s="25" cm="1">
        <f t="array" ref="M80">E80*$J80</f>
        <v>0.0993794153926999</v>
      </c>
      <c r="N80" s="25" cm="1">
        <f t="array" ref="N80">F80*$J80</f>
        <v>0.258081797345687</v>
      </c>
      <c r="O80" s="25" cm="1">
        <f t="array" ref="O80">G80*$J80</f>
        <v>-0.0349820163879564</v>
      </c>
      <c r="P80" s="2"/>
      <c r="Q80" s="25">
        <v>0.0193999999999992</v>
      </c>
      <c r="R80" s="25">
        <v>1</v>
      </c>
      <c r="S80" s="25" cm="1">
        <f t="array" ref="S80">L80/$R80</f>
        <v>0.200480769227293</v>
      </c>
      <c r="T80" s="25" cm="1">
        <f t="array" ref="T80">M80/$R80</f>
        <v>0.0993794153926999</v>
      </c>
      <c r="U80" s="25" cm="1">
        <f t="array" ref="U80">N80/$R80</f>
        <v>0.258081797345687</v>
      </c>
      <c r="V80" s="25" cm="1">
        <f t="array" ref="V80">O80/$R80</f>
        <v>-0.0349820163879564</v>
      </c>
      <c r="W80" s="2"/>
      <c r="X80" s="25" cm="1">
        <f t="array" ref="X80">S80-X$3-X$85</f>
        <v>0.035713938980296</v>
      </c>
      <c r="Y80" s="25" cm="1">
        <f t="array" ref="Y80">T80-Y$3-Y$85</f>
        <v>0.0774970682711536</v>
      </c>
      <c r="Z80" s="25" cm="1">
        <f t="array" ref="Z80">U80-Z$3-Z$85</f>
        <v>0.197790770277042</v>
      </c>
      <c r="AA80" s="25" cm="1">
        <f t="array" ref="AA80">V80-AA$3-AA$85</f>
        <v>0.0004850661102602</v>
      </c>
      <c r="AB80" s="2"/>
      <c r="AC80" s="32" cm="1">
        <f t="array" ref="AC80">X80</f>
        <v>0.035713938980296</v>
      </c>
      <c r="AD80" s="32" cm="1">
        <f t="array" ref="AD80">Y80</f>
        <v>0.0774970682711536</v>
      </c>
      <c r="AE80" s="32" cm="1">
        <f t="array" ref="AE80">Z80</f>
        <v>0.197790770277042</v>
      </c>
      <c r="AF80" s="32" cm="1">
        <f t="array" ref="AF80">AA80</f>
        <v>0.0004850661102602</v>
      </c>
    </row>
    <row r="81" ht="17" customHeight="1">
      <c r="A81" s="2"/>
      <c r="B81" t="s" s="24">
        <v>80</v>
      </c>
      <c r="C81" t="s" s="39">
        <v>140</v>
      </c>
      <c r="D81" s="25">
        <v>26.7694462099258</v>
      </c>
      <c r="E81" s="25">
        <v>3.36109698774163</v>
      </c>
      <c r="F81" s="25">
        <v>12.9365065937297</v>
      </c>
      <c r="G81" s="25">
        <v>35.2780951102374</v>
      </c>
      <c r="H81" s="2"/>
      <c r="I81" s="25">
        <v>4.7</v>
      </c>
      <c r="J81" s="25" cm="1">
        <f t="array" ref="J81">I81/1000</f>
        <v>0.0047</v>
      </c>
      <c r="K81" s="2"/>
      <c r="L81" s="25" cm="1">
        <f t="array" ref="L81">D81*$J81</f>
        <v>0.125816397186651</v>
      </c>
      <c r="M81" s="25" cm="1">
        <f t="array" ref="M81">E81*$J81</f>
        <v>0.0157971558423857</v>
      </c>
      <c r="N81" s="25" cm="1">
        <f t="array" ref="N81">F81*$J81</f>
        <v>0.0608015809905296</v>
      </c>
      <c r="O81" s="25" cm="1">
        <f t="array" ref="O81">G81*$J81</f>
        <v>0.165807047018116</v>
      </c>
      <c r="P81" s="2"/>
      <c r="Q81" s="25">
        <v>0.0196000000000005</v>
      </c>
      <c r="R81" s="25">
        <v>1</v>
      </c>
      <c r="S81" s="25" cm="1">
        <f t="array" ref="S81">L81/$R81</f>
        <v>0.125816397186651</v>
      </c>
      <c r="T81" s="25" cm="1">
        <f t="array" ref="T81">M81/$R81</f>
        <v>0.0157971558423857</v>
      </c>
      <c r="U81" s="25" cm="1">
        <f t="array" ref="U81">N81/$R81</f>
        <v>0.0608015809905296</v>
      </c>
      <c r="V81" s="25" cm="1">
        <f t="array" ref="V81">O81/$R81</f>
        <v>0.165807047018116</v>
      </c>
      <c r="W81" s="2"/>
      <c r="X81" s="25" cm="1">
        <f t="array" ref="X81">S81-X$3-X$85</f>
        <v>-0.038950433060346</v>
      </c>
      <c r="Y81" s="25" cm="1">
        <f t="array" ref="Y81">T81-Y$3-Y$85</f>
        <v>-0.0060851912791606</v>
      </c>
      <c r="Z81" s="25" cm="1">
        <f t="array" ref="Z81">U81-Z$3-Z$85</f>
        <v>0.0005105539218843</v>
      </c>
      <c r="AA81" s="25" cm="1">
        <f t="array" ref="AA81">V81-AA$3-AA$85</f>
        <v>0.201274129516333</v>
      </c>
      <c r="AB81" s="2"/>
      <c r="AC81" s="32" cm="1">
        <f t="array" ref="AC81">X81</f>
        <v>-0.038950433060346</v>
      </c>
      <c r="AD81" s="32" cm="1">
        <f t="array" ref="AD81">Y81</f>
        <v>-0.0060851912791606</v>
      </c>
      <c r="AE81" s="32" cm="1">
        <f t="array" ref="AE81">Z81</f>
        <v>0.0005105539218843</v>
      </c>
      <c r="AF81" s="32" cm="1">
        <f t="array" ref="AF81">AA81</f>
        <v>0.201274129516333</v>
      </c>
    </row>
    <row r="82" ht="17" customHeight="1">
      <c r="A82" s="2"/>
      <c r="B82" t="s" s="24">
        <v>82</v>
      </c>
      <c r="C82" t="s" s="39">
        <v>141</v>
      </c>
      <c r="D82" s="25">
        <v>22.7101763913273</v>
      </c>
      <c r="E82" s="25">
        <v>2.29193835780164</v>
      </c>
      <c r="F82" s="25">
        <v>16.8488416802197</v>
      </c>
      <c r="G82" s="25">
        <v>31.8604632987086</v>
      </c>
      <c r="H82" s="2"/>
      <c r="I82" s="25">
        <v>4.7</v>
      </c>
      <c r="J82" s="25" cm="1">
        <f t="array" ref="J82">I82/1000</f>
        <v>0.0047</v>
      </c>
      <c r="K82" s="2"/>
      <c r="L82" s="25" cm="1">
        <f t="array" ref="L82">D82*$J82</f>
        <v>0.106737829039238</v>
      </c>
      <c r="M82" s="25" cm="1">
        <f t="array" ref="M82">E82*$J82</f>
        <v>0.0107721102816677</v>
      </c>
      <c r="N82" s="25" cm="1">
        <f t="array" ref="N82">F82*$J82</f>
        <v>0.0791895558970326</v>
      </c>
      <c r="O82" s="25" cm="1">
        <f t="array" ref="O82">G82*$J82</f>
        <v>0.14974417750393</v>
      </c>
      <c r="P82" s="2"/>
      <c r="Q82" s="25">
        <v>0.0193000000000012</v>
      </c>
      <c r="R82" s="25">
        <v>1</v>
      </c>
      <c r="S82" s="25" cm="1">
        <f t="array" ref="S82">L82/$R82</f>
        <v>0.106737829039238</v>
      </c>
      <c r="T82" s="25" cm="1">
        <f t="array" ref="T82">M82/$R82</f>
        <v>0.0107721102816677</v>
      </c>
      <c r="U82" s="25" cm="1">
        <f t="array" ref="U82">N82/$R82</f>
        <v>0.0791895558970326</v>
      </c>
      <c r="V82" s="25" cm="1">
        <f t="array" ref="V82">O82/$R82</f>
        <v>0.14974417750393</v>
      </c>
      <c r="W82" s="2"/>
      <c r="X82" s="25" cm="1">
        <f t="array" ref="X82">S82-X$3-X$85</f>
        <v>-0.058029001207759</v>
      </c>
      <c r="Y82" s="25" cm="1">
        <f t="array" ref="Y82">T82-Y$3-Y$85</f>
        <v>-0.0111102368398786</v>
      </c>
      <c r="Z82" s="25" cm="1">
        <f t="array" ref="Z82">U82-Z$3-Z$85</f>
        <v>0.0188985288283873</v>
      </c>
      <c r="AA82" s="25" cm="1">
        <f t="array" ref="AA82">V82-AA$3-AA$85</f>
        <v>0.185211260002147</v>
      </c>
      <c r="AB82" s="2"/>
      <c r="AC82" s="32" cm="1">
        <f t="array" ref="AC82">X82</f>
        <v>-0.058029001207759</v>
      </c>
      <c r="AD82" s="32" cm="1">
        <f t="array" ref="AD82">Y82</f>
        <v>-0.0111102368398786</v>
      </c>
      <c r="AE82" s="32" cm="1">
        <f t="array" ref="AE82">Z82</f>
        <v>0.0188985288283873</v>
      </c>
      <c r="AF82" s="32" cm="1">
        <f t="array" ref="AF82">AA82</f>
        <v>0.185211260002147</v>
      </c>
    </row>
    <row r="83" ht="17" customHeight="1">
      <c r="A83" s="2"/>
      <c r="B83" t="s" s="24">
        <v>84</v>
      </c>
      <c r="C83" t="s" s="39">
        <v>142</v>
      </c>
      <c r="D83" s="25">
        <v>16.8231727923564</v>
      </c>
      <c r="E83" s="25">
        <v>2.51137789530949</v>
      </c>
      <c r="F83" s="25">
        <v>12.2286789805895</v>
      </c>
      <c r="G83" s="25">
        <v>37.2251511695673</v>
      </c>
      <c r="H83" s="2"/>
      <c r="I83" s="25">
        <v>4.7</v>
      </c>
      <c r="J83" s="25" cm="1">
        <f t="array" ref="J83">I83/1000</f>
        <v>0.0047</v>
      </c>
      <c r="K83" s="2"/>
      <c r="L83" s="25" cm="1">
        <f t="array" ref="L83">D83*$J83</f>
        <v>0.0790689121240751</v>
      </c>
      <c r="M83" s="25" cm="1">
        <f t="array" ref="M83">E83*$J83</f>
        <v>0.0118034761079546</v>
      </c>
      <c r="N83" s="25" cm="1">
        <f t="array" ref="N83">F83*$J83</f>
        <v>0.0574747912087707</v>
      </c>
      <c r="O83" s="25" cm="1">
        <f t="array" ref="O83">G83*$J83</f>
        <v>0.174958210496966</v>
      </c>
      <c r="P83" s="2"/>
      <c r="Q83" s="25">
        <v>0.0197000000000003</v>
      </c>
      <c r="R83" s="25">
        <v>1</v>
      </c>
      <c r="S83" s="25" cm="1">
        <f t="array" ref="S83">L83/$R83</f>
        <v>0.0790689121240751</v>
      </c>
      <c r="T83" s="25" cm="1">
        <f t="array" ref="T83">M83/$R83</f>
        <v>0.0118034761079546</v>
      </c>
      <c r="U83" s="25" cm="1">
        <f t="array" ref="U83">N83/$R83</f>
        <v>0.0574747912087707</v>
      </c>
      <c r="V83" s="25" cm="1">
        <f t="array" ref="V83">O83/$R83</f>
        <v>0.174958210496966</v>
      </c>
      <c r="W83" s="2"/>
      <c r="X83" s="25" cm="1">
        <f t="array" ref="X83">S83-X$3-X$85</f>
        <v>-0.08569791812292191</v>
      </c>
      <c r="Y83" s="25" cm="1">
        <f t="array" ref="Y83">T83-Y$3-Y$85</f>
        <v>-0.0100788710135917</v>
      </c>
      <c r="Z83" s="25" cm="1">
        <f t="array" ref="Z83">U83-Z$3-Z$85</f>
        <v>-0.0028162358598746</v>
      </c>
      <c r="AA83" s="25" cm="1">
        <f t="array" ref="AA83">V83-AA$3-AA$85</f>
        <v>0.210425292995183</v>
      </c>
      <c r="AB83" s="2"/>
      <c r="AC83" s="32" cm="1">
        <f t="array" ref="AC83">X83</f>
        <v>-0.08569791812292191</v>
      </c>
      <c r="AD83" s="32" cm="1">
        <f t="array" ref="AD83">Y83</f>
        <v>-0.0100788710135917</v>
      </c>
      <c r="AE83" s="32" cm="1">
        <f t="array" ref="AE83">Z83</f>
        <v>-0.0028162358598746</v>
      </c>
      <c r="AF83" s="32" cm="1">
        <f t="array" ref="AF83">AA83</f>
        <v>0.210425292995183</v>
      </c>
    </row>
    <row r="84" ht="17" customHeight="1">
      <c r="A84" s="2"/>
      <c r="B84" t="s" s="24">
        <v>86</v>
      </c>
      <c r="C84" t="s" s="39">
        <v>143</v>
      </c>
      <c r="D84" s="25">
        <v>25.1822628245174</v>
      </c>
      <c r="E84" s="25">
        <v>2.05924997722498</v>
      </c>
      <c r="F84" s="25">
        <v>13.7568944259943</v>
      </c>
      <c r="G84" s="25">
        <v>-7.54443741717351</v>
      </c>
      <c r="H84" s="2"/>
      <c r="I84" s="25">
        <v>4.7</v>
      </c>
      <c r="J84" s="25" cm="1">
        <f t="array" ref="J84">I84/1000</f>
        <v>0.0047</v>
      </c>
      <c r="K84" s="2"/>
      <c r="L84" s="25" cm="1">
        <f t="array" ref="L84">D84*$J84</f>
        <v>0.118356635275232</v>
      </c>
      <c r="M84" s="25" cm="1">
        <f t="array" ref="M84">E84*$J84</f>
        <v>0.009678474892957411</v>
      </c>
      <c r="N84" s="25" cm="1">
        <f t="array" ref="N84">F84*$J84</f>
        <v>0.06465740380217321</v>
      </c>
      <c r="O84" s="25" cm="1">
        <f t="array" ref="O84">G84*$J84</f>
        <v>-0.0354588558607155</v>
      </c>
      <c r="P84" s="2"/>
      <c r="Q84" s="25">
        <v>0.0192999999999994</v>
      </c>
      <c r="R84" s="25">
        <v>1</v>
      </c>
      <c r="S84" s="25" cm="1">
        <f t="array" ref="S84">L84/$R84</f>
        <v>0.118356635275232</v>
      </c>
      <c r="T84" s="25" cm="1">
        <f t="array" ref="T84">M84/$R84</f>
        <v>0.009678474892957411</v>
      </c>
      <c r="U84" s="25" cm="1">
        <f t="array" ref="U84">N84/$R84</f>
        <v>0.06465740380217321</v>
      </c>
      <c r="V84" s="25" cm="1">
        <f t="array" ref="V84">O84/$R84</f>
        <v>-0.0354588558607155</v>
      </c>
      <c r="W84" s="2"/>
      <c r="X84" s="2"/>
      <c r="Y84" s="2"/>
      <c r="Z84" s="2"/>
      <c r="AA84" s="2"/>
      <c r="AB84" s="2"/>
      <c r="AC84" s="26"/>
      <c r="AD84" s="26"/>
      <c r="AE84" s="26"/>
      <c r="AF84" s="26"/>
    </row>
    <row r="85" ht="17" customHeight="1">
      <c r="A85" s="2"/>
      <c r="B85" t="s" s="24">
        <v>88</v>
      </c>
      <c r="C85" t="s" s="39">
        <v>144</v>
      </c>
      <c r="D85" s="25">
        <v>16.728086949073</v>
      </c>
      <c r="E85" s="25">
        <v>9.02676763628593</v>
      </c>
      <c r="F85" s="25">
        <v>13.5914804039963</v>
      </c>
      <c r="G85" s="25">
        <v>-7.60631937973548</v>
      </c>
      <c r="H85" s="2"/>
      <c r="I85" s="25">
        <v>4.7</v>
      </c>
      <c r="J85" s="25" cm="1">
        <f t="array" ref="J85">I85/1000</f>
        <v>0.0047</v>
      </c>
      <c r="K85" s="2"/>
      <c r="L85" s="25" cm="1">
        <f t="array" ref="L85">D85*$J85</f>
        <v>0.0786220086606431</v>
      </c>
      <c r="M85" s="25" cm="1">
        <f t="array" ref="M85">E85*$J85</f>
        <v>0.0424258078905439</v>
      </c>
      <c r="N85" s="25" cm="1">
        <f t="array" ref="N85">F85*$J85</f>
        <v>0.0638799578987826</v>
      </c>
      <c r="O85" s="25" cm="1">
        <f t="array" ref="O85">G85*$J85</f>
        <v>-0.0357497010847568</v>
      </c>
      <c r="P85" s="2"/>
      <c r="Q85" s="25">
        <v>0.0193999999999992</v>
      </c>
      <c r="R85" s="25">
        <v>1</v>
      </c>
      <c r="S85" s="25" cm="1">
        <f t="array" ref="S85">L85/$R85</f>
        <v>0.0786220086606431</v>
      </c>
      <c r="T85" s="25" cm="1">
        <f t="array" ref="T85">M85/$R85</f>
        <v>0.0424258078905439</v>
      </c>
      <c r="U85" s="25" cm="1">
        <f t="array" ref="U85">N85/$R85</f>
        <v>0.0638799578987826</v>
      </c>
      <c r="V85" s="25" cm="1">
        <f t="array" ref="V85">O85/$R85</f>
        <v>-0.0357497010847568</v>
      </c>
      <c r="W85" s="2"/>
      <c r="X85" s="25" cm="1">
        <f t="array" ref="X85">AVERAGE(S84:S86)</f>
        <v>0.164766830246997</v>
      </c>
      <c r="Y85" s="25" cm="1">
        <f t="array" ref="Y85">AVERAGE(T84:T86)</f>
        <v>0.0218823471215463</v>
      </c>
      <c r="Z85" s="25" cm="1">
        <f t="array" ref="Z85">AVERAGE(U84:U86)</f>
        <v>0.0602910270686453</v>
      </c>
      <c r="AA85" s="25" cm="1">
        <f t="array" ref="AA85">AVERAGE(V84:V86)</f>
        <v>-0.0354670824982166</v>
      </c>
      <c r="AB85" s="2"/>
      <c r="AC85" s="26"/>
      <c r="AD85" s="26"/>
      <c r="AE85" s="26"/>
      <c r="AF85" s="26"/>
    </row>
    <row r="86" ht="17" customHeight="1">
      <c r="A86" s="2"/>
      <c r="B86" t="s" s="36">
        <v>90</v>
      </c>
      <c r="C86" t="s" s="39">
        <v>145</v>
      </c>
      <c r="D86" s="25">
        <v>63.2599674053437</v>
      </c>
      <c r="E86" s="25">
        <v>2.8814379959867</v>
      </c>
      <c r="F86" s="25">
        <v>11.1352594691447</v>
      </c>
      <c r="G86" s="25">
        <v>-7.48780649982502</v>
      </c>
      <c r="H86" s="2"/>
      <c r="I86" s="25">
        <v>4.7</v>
      </c>
      <c r="J86" s="25" cm="1">
        <f t="array" ref="J86">I86/1000</f>
        <v>0.0047</v>
      </c>
      <c r="K86" s="2"/>
      <c r="L86" s="25" cm="1">
        <f t="array" ref="L86">D86*$J86</f>
        <v>0.297321846805115</v>
      </c>
      <c r="M86" s="25" cm="1">
        <f t="array" ref="M86">E86*$J86</f>
        <v>0.0135427585811375</v>
      </c>
      <c r="N86" s="25" cm="1">
        <f t="array" ref="N86">F86*$J86</f>
        <v>0.0523357195049801</v>
      </c>
      <c r="O86" s="25" cm="1">
        <f t="array" ref="O86">G86*$J86</f>
        <v>-0.0351926905491776</v>
      </c>
      <c r="P86" s="2"/>
      <c r="Q86" s="25">
        <v>0.0193999999999992</v>
      </c>
      <c r="R86" s="25">
        <v>1</v>
      </c>
      <c r="S86" s="25" cm="1">
        <f t="array" ref="S86">L86/$R86</f>
        <v>0.297321846805115</v>
      </c>
      <c r="T86" s="25" cm="1">
        <f t="array" ref="T86">M86/$R86</f>
        <v>0.0135427585811375</v>
      </c>
      <c r="U86" s="25" cm="1">
        <f t="array" ref="U86">N86/$R86</f>
        <v>0.0523357195049801</v>
      </c>
      <c r="V86" s="25" cm="1">
        <f t="array" ref="V86">O86/$R86</f>
        <v>-0.0351926905491776</v>
      </c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7" customHeight="1">
      <c r="A87" s="2"/>
      <c r="B87" t="s" s="19">
        <v>92</v>
      </c>
      <c r="C87" t="s" s="39">
        <v>146</v>
      </c>
      <c r="D87" s="25">
        <v>49.6202446231435</v>
      </c>
      <c r="E87" s="25">
        <v>43.454807167982</v>
      </c>
      <c r="F87" s="25">
        <v>705.834405305503</v>
      </c>
      <c r="G87" s="25">
        <v>-4.96010135571924</v>
      </c>
      <c r="H87" s="2"/>
      <c r="I87" s="25">
        <v>4.7</v>
      </c>
      <c r="J87" s="25" cm="1">
        <f t="array" ref="J87">I87/1000</f>
        <v>0.0047</v>
      </c>
      <c r="K87" s="2"/>
      <c r="L87" s="25" cm="1">
        <f t="array" ref="L87">D87*$J87</f>
        <v>0.233215149728774</v>
      </c>
      <c r="M87" s="25" cm="1">
        <f t="array" ref="M87">E87*$J87</f>
        <v>0.204237593689515</v>
      </c>
      <c r="N87" s="25" cm="1">
        <f t="array" ref="N87">F87*$J87</f>
        <v>3.31742170493586</v>
      </c>
      <c r="O87" s="25" cm="1">
        <f t="array" ref="O87">G87*$J87</f>
        <v>-0.0233124763718804</v>
      </c>
      <c r="P87" s="2"/>
      <c r="Q87" s="25">
        <v>0.0185999999999993</v>
      </c>
      <c r="R87" s="25">
        <v>1</v>
      </c>
      <c r="S87" s="25" cm="1">
        <f t="array" ref="S87">L87/$R87</f>
        <v>0.233215149728774</v>
      </c>
      <c r="T87" s="25" cm="1">
        <f t="array" ref="T87">M87/$R87</f>
        <v>0.204237593689515</v>
      </c>
      <c r="U87" s="25" cm="1">
        <f t="array" ref="U87">N87/$R87</f>
        <v>3.31742170493586</v>
      </c>
      <c r="V87" s="25" cm="1">
        <f t="array" ref="V87">O87/$R87</f>
        <v>-0.0233124763718804</v>
      </c>
      <c r="W87" s="2"/>
      <c r="X87" s="25" cm="1">
        <f t="array" ref="X87">S87-X$3-X$94</f>
        <v>0.09283986331329</v>
      </c>
      <c r="Y87" s="25" cm="1">
        <f t="array" ref="Y87">T87-Y$3-Y$94</f>
        <v>0.173998843718456</v>
      </c>
      <c r="Z87" s="25" cm="1">
        <f t="array" ref="Z87">U87-Z$3-Z$94</f>
        <v>3.26231507202394</v>
      </c>
      <c r="AA87" s="25" cm="1">
        <f t="array" ref="AA87">V87-AA$3-AA$94</f>
        <v>0.0111991437328145</v>
      </c>
      <c r="AB87" s="2"/>
      <c r="AC87" s="32" cm="1">
        <f t="array" ref="AC87">X87</f>
        <v>0.09283986331329</v>
      </c>
      <c r="AD87" s="32" cm="1">
        <f t="array" ref="AD87">Y87</f>
        <v>0.173998843718456</v>
      </c>
      <c r="AE87" s="32" cm="1">
        <f t="array" ref="AE87">Z87</f>
        <v>3.26231507202394</v>
      </c>
      <c r="AF87" s="32" cm="1">
        <f t="array" ref="AF87">AA87</f>
        <v>0.0111991437328145</v>
      </c>
    </row>
    <row r="88" ht="17" customHeight="1">
      <c r="A88" s="2"/>
      <c r="B88" t="s" s="24">
        <v>94</v>
      </c>
      <c r="C88" t="s" s="39">
        <v>147</v>
      </c>
      <c r="D88" s="25">
        <v>12.4956439954071</v>
      </c>
      <c r="E88" s="25">
        <v>36.0502094554744</v>
      </c>
      <c r="F88" s="25">
        <v>647.570360054651</v>
      </c>
      <c r="G88" s="25">
        <v>-6.08632972438737</v>
      </c>
      <c r="H88" s="2"/>
      <c r="I88" s="25">
        <v>4.7</v>
      </c>
      <c r="J88" s="25" cm="1">
        <f t="array" ref="J88">I88/1000</f>
        <v>0.0047</v>
      </c>
      <c r="K88" s="2"/>
      <c r="L88" s="25" cm="1">
        <f t="array" ref="L88">D88*$J88</f>
        <v>0.0587295267784134</v>
      </c>
      <c r="M88" s="25" cm="1">
        <f t="array" ref="M88">E88*$J88</f>
        <v>0.16943598444073</v>
      </c>
      <c r="N88" s="25" cm="1">
        <f t="array" ref="N88">F88*$J88</f>
        <v>3.04358069225686</v>
      </c>
      <c r="O88" s="25" cm="1">
        <f t="array" ref="O88">G88*$J88</f>
        <v>-0.0286057497046206</v>
      </c>
      <c r="P88" s="2"/>
      <c r="Q88" s="25">
        <v>0.0193000000000012</v>
      </c>
      <c r="R88" s="25">
        <v>1</v>
      </c>
      <c r="S88" s="25" cm="1">
        <f t="array" ref="S88">L88/$R88</f>
        <v>0.0587295267784134</v>
      </c>
      <c r="T88" s="25" cm="1">
        <f t="array" ref="T88">M88/$R88</f>
        <v>0.16943598444073</v>
      </c>
      <c r="U88" s="25" cm="1">
        <f t="array" ref="U88">N88/$R88</f>
        <v>3.04358069225686</v>
      </c>
      <c r="V88" s="25" cm="1">
        <f t="array" ref="V88">O88/$R88</f>
        <v>-0.0286057497046206</v>
      </c>
      <c r="W88" s="2"/>
      <c r="X88" s="25" cm="1">
        <f t="array" ref="X88">S88-X$3-X$94</f>
        <v>-0.0816457596370706</v>
      </c>
      <c r="Y88" s="25" cm="1">
        <f t="array" ref="Y88">T88-Y$3-Y$94</f>
        <v>0.139197234469671</v>
      </c>
      <c r="Z88" s="25" cm="1">
        <f t="array" ref="Z88">U88-Z$3-Z$94</f>
        <v>2.98847405934494</v>
      </c>
      <c r="AA88" s="25" cm="1">
        <f t="array" ref="AA88">V88-AA$3-AA$94</f>
        <v>0.0059058704000743</v>
      </c>
      <c r="AB88" s="2"/>
      <c r="AC88" s="32" cm="1">
        <f t="array" ref="AC88">X88</f>
        <v>-0.0816457596370706</v>
      </c>
      <c r="AD88" s="32" cm="1">
        <f t="array" ref="AD88">Y88</f>
        <v>0.139197234469671</v>
      </c>
      <c r="AE88" s="32" cm="1">
        <f t="array" ref="AE88">Z88</f>
        <v>2.98847405934494</v>
      </c>
      <c r="AF88" s="32" cm="1">
        <f t="array" ref="AF88">AA88</f>
        <v>0.0059058704000743</v>
      </c>
    </row>
    <row r="89" ht="17" customHeight="1">
      <c r="A89" s="2"/>
      <c r="B89" t="s" s="24">
        <v>96</v>
      </c>
      <c r="C89" t="s" s="39">
        <v>148</v>
      </c>
      <c r="D89" s="25">
        <v>14.658418161556</v>
      </c>
      <c r="E89" s="25">
        <v>34.9519518789279</v>
      </c>
      <c r="F89" s="25">
        <v>691.972194209911</v>
      </c>
      <c r="G89" s="25">
        <v>-5.3227151365388</v>
      </c>
      <c r="H89" s="2"/>
      <c r="I89" s="25">
        <v>4.7</v>
      </c>
      <c r="J89" s="25" cm="1">
        <f t="array" ref="J89">I89/1000</f>
        <v>0.0047</v>
      </c>
      <c r="K89" s="2"/>
      <c r="L89" s="25" cm="1">
        <f t="array" ref="L89">D89*$J89</f>
        <v>0.0688945653593132</v>
      </c>
      <c r="M89" s="25" cm="1">
        <f t="array" ref="M89">E89*$J89</f>
        <v>0.164274173830961</v>
      </c>
      <c r="N89" s="25" cm="1">
        <f t="array" ref="N89">F89*$J89</f>
        <v>3.25226931278658</v>
      </c>
      <c r="O89" s="25" cm="1">
        <f t="array" ref="O89">G89*$J89</f>
        <v>-0.0250167611417324</v>
      </c>
      <c r="P89" s="2"/>
      <c r="Q89" s="25">
        <v>0.0188000000000006</v>
      </c>
      <c r="R89" s="25">
        <v>1</v>
      </c>
      <c r="S89" s="25" cm="1">
        <f t="array" ref="S89">L89/$R89</f>
        <v>0.0688945653593132</v>
      </c>
      <c r="T89" s="25" cm="1">
        <f t="array" ref="T89">M89/$R89</f>
        <v>0.164274173830961</v>
      </c>
      <c r="U89" s="25" cm="1">
        <f t="array" ref="U89">N89/$R89</f>
        <v>3.25226931278658</v>
      </c>
      <c r="V89" s="25" cm="1">
        <f t="array" ref="V89">O89/$R89</f>
        <v>-0.0250167611417324</v>
      </c>
      <c r="W89" s="2"/>
      <c r="X89" s="25" cm="1">
        <f t="array" ref="X89">S89-X$3-X$94</f>
        <v>-0.0714807210561708</v>
      </c>
      <c r="Y89" s="25" cm="1">
        <f t="array" ref="Y89">T89-Y$3-Y$94</f>
        <v>0.134035423859902</v>
      </c>
      <c r="Z89" s="25" cm="1">
        <f t="array" ref="Z89">U89-Z$3-Z$94</f>
        <v>3.19716267987466</v>
      </c>
      <c r="AA89" s="25" cm="1">
        <f t="array" ref="AA89">V89-AA$3-AA$94</f>
        <v>0.0094948589629625</v>
      </c>
      <c r="AB89" s="2"/>
      <c r="AC89" s="32" cm="1">
        <f t="array" ref="AC89">X89</f>
        <v>-0.0714807210561708</v>
      </c>
      <c r="AD89" s="32" cm="1">
        <f t="array" ref="AD89">Y89</f>
        <v>0.134035423859902</v>
      </c>
      <c r="AE89" s="32" cm="1">
        <f t="array" ref="AE89">Z89</f>
        <v>3.19716267987466</v>
      </c>
      <c r="AF89" s="32" cm="1">
        <f t="array" ref="AF89">AA89</f>
        <v>0.0094948589629625</v>
      </c>
    </row>
    <row r="90" ht="17" customHeight="1">
      <c r="A90" s="2"/>
      <c r="B90" t="s" s="24">
        <v>98</v>
      </c>
      <c r="C90" t="s" s="39">
        <v>149</v>
      </c>
      <c r="D90" s="25">
        <v>23.8086026188899</v>
      </c>
      <c r="E90" s="25">
        <v>2.08867912900293</v>
      </c>
      <c r="F90" s="25">
        <v>3.84274053049767</v>
      </c>
      <c r="G90" s="25">
        <v>59.4745213982182</v>
      </c>
      <c r="H90" s="2"/>
      <c r="I90" s="25">
        <v>4.7</v>
      </c>
      <c r="J90" s="25" cm="1">
        <f t="array" ref="J90">I90/1000</f>
        <v>0.0047</v>
      </c>
      <c r="K90" s="2"/>
      <c r="L90" s="25" cm="1">
        <f t="array" ref="L90">D90*$J90</f>
        <v>0.111900432308783</v>
      </c>
      <c r="M90" s="25" cm="1">
        <f t="array" ref="M90">E90*$J90</f>
        <v>0.009816791906313771</v>
      </c>
      <c r="N90" s="25" cm="1">
        <f t="array" ref="N90">F90*$J90</f>
        <v>0.018060880493339</v>
      </c>
      <c r="O90" s="25" cm="1">
        <f t="array" ref="O90">G90*$J90</f>
        <v>0.279530250571626</v>
      </c>
      <c r="P90" s="2"/>
      <c r="Q90" s="25">
        <v>0.0184999999999995</v>
      </c>
      <c r="R90" s="25">
        <v>1</v>
      </c>
      <c r="S90" s="25" cm="1">
        <f t="array" ref="S90">L90/$R90</f>
        <v>0.111900432308783</v>
      </c>
      <c r="T90" s="25" cm="1">
        <f t="array" ref="T90">M90/$R90</f>
        <v>0.009816791906313771</v>
      </c>
      <c r="U90" s="25" cm="1">
        <f t="array" ref="U90">N90/$R90</f>
        <v>0.018060880493339</v>
      </c>
      <c r="V90" s="25" cm="1">
        <f t="array" ref="V90">O90/$R90</f>
        <v>0.279530250571626</v>
      </c>
      <c r="W90" s="2"/>
      <c r="X90" s="25" cm="1">
        <f t="array" ref="X90">S90-X$3-X$94</f>
        <v>-0.028474854106701</v>
      </c>
      <c r="Y90" s="25" cm="1">
        <f t="array" ref="Y90">T90-Y$3-Y$94</f>
        <v>-0.0204219580647449</v>
      </c>
      <c r="Z90" s="25" cm="1">
        <f t="array" ref="Z90">U90-Z$3-Z$94</f>
        <v>-0.0370457524185822</v>
      </c>
      <c r="AA90" s="25" cm="1">
        <f t="array" ref="AA90">V90-AA$3-AA$94</f>
        <v>0.314041870676321</v>
      </c>
      <c r="AB90" s="2"/>
      <c r="AC90" s="32" cm="1">
        <f t="array" ref="AC90">X90</f>
        <v>-0.028474854106701</v>
      </c>
      <c r="AD90" s="32" cm="1">
        <f t="array" ref="AD90">Y90</f>
        <v>-0.0204219580647449</v>
      </c>
      <c r="AE90" s="32" cm="1">
        <f t="array" ref="AE90">Z90</f>
        <v>-0.0370457524185822</v>
      </c>
      <c r="AF90" s="32" cm="1">
        <f t="array" ref="AF90">AA90</f>
        <v>0.314041870676321</v>
      </c>
    </row>
    <row r="91" ht="17" customHeight="1">
      <c r="A91" s="2"/>
      <c r="B91" t="s" s="24">
        <v>100</v>
      </c>
      <c r="C91" t="s" s="39">
        <v>150</v>
      </c>
      <c r="D91" s="25">
        <v>15.5931360897345</v>
      </c>
      <c r="E91" s="25">
        <v>2.74791178044629</v>
      </c>
      <c r="F91" s="25">
        <v>9.281906187477119</v>
      </c>
      <c r="G91" s="25">
        <v>51.9238555055217</v>
      </c>
      <c r="H91" s="2"/>
      <c r="I91" s="25">
        <v>4.7</v>
      </c>
      <c r="J91" s="25" cm="1">
        <f t="array" ref="J91">I91/1000</f>
        <v>0.0047</v>
      </c>
      <c r="K91" s="2"/>
      <c r="L91" s="25" cm="1">
        <f t="array" ref="L91">D91*$J91</f>
        <v>0.0732877396217522</v>
      </c>
      <c r="M91" s="25" cm="1">
        <f t="array" ref="M91">E91*$J91</f>
        <v>0.0129151853680976</v>
      </c>
      <c r="N91" s="25" cm="1">
        <f t="array" ref="N91">F91*$J91</f>
        <v>0.0436249590811425</v>
      </c>
      <c r="O91" s="25" cm="1">
        <f t="array" ref="O91">G91*$J91</f>
        <v>0.244042120875952</v>
      </c>
      <c r="P91" s="2"/>
      <c r="Q91" s="25">
        <v>0.0190999999999999</v>
      </c>
      <c r="R91" s="25">
        <v>1</v>
      </c>
      <c r="S91" s="25" cm="1">
        <f t="array" ref="S91">L91/$R91</f>
        <v>0.0732877396217522</v>
      </c>
      <c r="T91" s="25" cm="1">
        <f t="array" ref="T91">M91/$R91</f>
        <v>0.0129151853680976</v>
      </c>
      <c r="U91" s="25" cm="1">
        <f t="array" ref="U91">N91/$R91</f>
        <v>0.0436249590811425</v>
      </c>
      <c r="V91" s="25" cm="1">
        <f t="array" ref="V91">O91/$R91</f>
        <v>0.244042120875952</v>
      </c>
      <c r="W91" s="2"/>
      <c r="X91" s="25" cm="1">
        <f t="array" ref="X91">S91-X$3-X$94</f>
        <v>-0.0670875467937318</v>
      </c>
      <c r="Y91" s="25" cm="1">
        <f t="array" ref="Y91">T91-Y$3-Y$94</f>
        <v>-0.0173235646029611</v>
      </c>
      <c r="Z91" s="25" cm="1">
        <f t="array" ref="Z91">U91-Z$3-Z$94</f>
        <v>-0.0114816738307787</v>
      </c>
      <c r="AA91" s="25" cm="1">
        <f t="array" ref="AA91">V91-AA$3-AA$94</f>
        <v>0.278553740980647</v>
      </c>
      <c r="AB91" s="2"/>
      <c r="AC91" s="32" cm="1">
        <f t="array" ref="AC91">X91</f>
        <v>-0.0670875467937318</v>
      </c>
      <c r="AD91" s="32" cm="1">
        <f t="array" ref="AD91">Y91</f>
        <v>-0.0173235646029611</v>
      </c>
      <c r="AE91" s="32" cm="1">
        <f t="array" ref="AE91">Z91</f>
        <v>-0.0114816738307787</v>
      </c>
      <c r="AF91" s="32" cm="1">
        <f t="array" ref="AF91">AA91</f>
        <v>0.278553740980647</v>
      </c>
    </row>
    <row r="92" ht="17" customHeight="1">
      <c r="A92" s="2"/>
      <c r="B92" t="s" s="24">
        <v>102</v>
      </c>
      <c r="C92" t="s" s="39">
        <v>151</v>
      </c>
      <c r="D92" s="25">
        <v>105.090872127954</v>
      </c>
      <c r="E92" s="25">
        <v>3.89922486436758</v>
      </c>
      <c r="F92" s="25">
        <v>7.2549053820873</v>
      </c>
      <c r="G92" s="25">
        <v>87.5741406343776</v>
      </c>
      <c r="H92" s="2"/>
      <c r="I92" s="25">
        <v>4.7</v>
      </c>
      <c r="J92" s="25" cm="1">
        <f t="array" ref="J92">I92/1000</f>
        <v>0.0047</v>
      </c>
      <c r="K92" s="2"/>
      <c r="L92" s="25" cm="1">
        <f t="array" ref="L92">D92*$J92</f>
        <v>0.493927099001384</v>
      </c>
      <c r="M92" s="25" cm="1">
        <f t="array" ref="M92">E92*$J92</f>
        <v>0.0183263568625276</v>
      </c>
      <c r="N92" s="25" cm="1">
        <f t="array" ref="N92">F92*$J92</f>
        <v>0.0340980552958103</v>
      </c>
      <c r="O92" s="25" cm="1">
        <f t="array" ref="O92">G92*$J92</f>
        <v>0.411598460981575</v>
      </c>
      <c r="P92" s="2"/>
      <c r="Q92" s="25">
        <v>0.0191999999999997</v>
      </c>
      <c r="R92" s="25">
        <v>1</v>
      </c>
      <c r="S92" s="25" cm="1">
        <f t="array" ref="S92">L92/$R92</f>
        <v>0.493927099001384</v>
      </c>
      <c r="T92" s="25" cm="1">
        <f t="array" ref="T92">M92/$R92</f>
        <v>0.0183263568625276</v>
      </c>
      <c r="U92" s="25" cm="1">
        <f t="array" ref="U92">N92/$R92</f>
        <v>0.0340980552958103</v>
      </c>
      <c r="V92" s="25" cm="1">
        <f t="array" ref="V92">O92/$R92</f>
        <v>0.411598460981575</v>
      </c>
      <c r="W92" s="2"/>
      <c r="X92" s="25" cm="1">
        <f t="array" ref="X92">S92-X$3-X$94</f>
        <v>0.3535518125859</v>
      </c>
      <c r="Y92" s="25" cm="1">
        <f t="array" ref="Y92">T92-Y$3-Y$94</f>
        <v>-0.0119123931085311</v>
      </c>
      <c r="Z92" s="25" cm="1">
        <f t="array" ref="Z92">U92-Z$3-Z$94</f>
        <v>-0.0210085776161109</v>
      </c>
      <c r="AA92" s="25" cm="1">
        <f t="array" ref="AA92">V92-AA$3-AA$94</f>
        <v>0.44611008108627</v>
      </c>
      <c r="AB92" s="2"/>
      <c r="AC92" s="32" cm="1">
        <f t="array" ref="AC92">X92</f>
        <v>0.3535518125859</v>
      </c>
      <c r="AD92" s="32" cm="1">
        <f t="array" ref="AD92">Y92</f>
        <v>-0.0119123931085311</v>
      </c>
      <c r="AE92" s="32" cm="1">
        <f t="array" ref="AE92">Z92</f>
        <v>-0.0210085776161109</v>
      </c>
      <c r="AF92" s="32" cm="1">
        <f t="array" ref="AF92">AA92</f>
        <v>0.44611008108627</v>
      </c>
    </row>
    <row r="93" ht="17" customHeight="1">
      <c r="A93" s="2"/>
      <c r="B93" t="s" s="24">
        <v>104</v>
      </c>
      <c r="C93" t="s" s="39">
        <v>152</v>
      </c>
      <c r="D93" s="25">
        <v>17.0051393133724</v>
      </c>
      <c r="E93" s="25">
        <v>2.80763568042279</v>
      </c>
      <c r="F93" s="25">
        <v>13.3911702729685</v>
      </c>
      <c r="G93" s="25">
        <v>-7.45523824024136</v>
      </c>
      <c r="H93" s="2"/>
      <c r="I93" s="25">
        <v>4.7</v>
      </c>
      <c r="J93" s="25" cm="1">
        <f t="array" ref="J93">I93/1000</f>
        <v>0.0047</v>
      </c>
      <c r="K93" s="2"/>
      <c r="L93" s="25" cm="1">
        <f t="array" ref="L93">D93*$J93</f>
        <v>0.07992415477285029</v>
      </c>
      <c r="M93" s="25" cm="1">
        <f t="array" ref="M93">E93*$J93</f>
        <v>0.0131958876979871</v>
      </c>
      <c r="N93" s="25" cm="1">
        <f t="array" ref="N93">F93*$J93</f>
        <v>0.062938500282952</v>
      </c>
      <c r="O93" s="25" cm="1">
        <f t="array" ref="O93">G93*$J93</f>
        <v>-0.0350396197291344</v>
      </c>
      <c r="P93" s="2"/>
      <c r="Q93" s="25">
        <v>0.0190999999999999</v>
      </c>
      <c r="R93" s="25">
        <v>1</v>
      </c>
      <c r="S93" s="25" cm="1">
        <f t="array" ref="S93">L93/$R93</f>
        <v>0.07992415477285029</v>
      </c>
      <c r="T93" s="25" cm="1">
        <f t="array" ref="T93">M93/$R93</f>
        <v>0.0131958876979871</v>
      </c>
      <c r="U93" s="25" cm="1">
        <f t="array" ref="U93">N93/$R93</f>
        <v>0.062938500282952</v>
      </c>
      <c r="V93" s="25" cm="1">
        <f t="array" ref="V93">O93/$R93</f>
        <v>-0.0350396197291344</v>
      </c>
      <c r="W93" s="2"/>
      <c r="X93" s="2"/>
      <c r="Y93" s="2"/>
      <c r="Z93" s="2"/>
      <c r="AA93" s="2"/>
      <c r="AB93" s="2"/>
      <c r="AC93" s="26"/>
      <c r="AD93" s="26"/>
      <c r="AE93" s="26"/>
      <c r="AF93" s="26"/>
    </row>
    <row r="94" ht="17" customHeight="1">
      <c r="A94" s="2"/>
      <c r="B94" t="s" s="24">
        <v>106</v>
      </c>
      <c r="C94" t="s" s="39">
        <v>153</v>
      </c>
      <c r="D94" s="25">
        <v>14.0898279211542</v>
      </c>
      <c r="E94" s="25">
        <v>2.33007907357368</v>
      </c>
      <c r="F94" s="25">
        <v>9.04425340533407</v>
      </c>
      <c r="G94" s="25">
        <v>-7.32662166923794</v>
      </c>
      <c r="H94" s="2"/>
      <c r="I94" s="25">
        <v>4.7</v>
      </c>
      <c r="J94" s="25" cm="1">
        <f t="array" ref="J94">I94/1000</f>
        <v>0.0047</v>
      </c>
      <c r="K94" s="2"/>
      <c r="L94" s="25" cm="1">
        <f t="array" ref="L94">D94*$J94</f>
        <v>0.0662221912294247</v>
      </c>
      <c r="M94" s="25" cm="1">
        <f t="array" ref="M94">E94*$J94</f>
        <v>0.0109513716457963</v>
      </c>
      <c r="N94" s="25" cm="1">
        <f t="array" ref="N94">F94*$J94</f>
        <v>0.0425079910050701</v>
      </c>
      <c r="O94" s="25" cm="1">
        <f t="array" ref="O94">G94*$J94</f>
        <v>-0.0344351218454183</v>
      </c>
      <c r="P94" s="2"/>
      <c r="Q94" s="25">
        <v>0.0198</v>
      </c>
      <c r="R94" s="25">
        <v>1</v>
      </c>
      <c r="S94" s="25" cm="1">
        <f t="array" ref="S94">L94/$R94</f>
        <v>0.0662221912294247</v>
      </c>
      <c r="T94" s="25" cm="1">
        <f t="array" ref="T94">M94/$R94</f>
        <v>0.0109513716457963</v>
      </c>
      <c r="U94" s="25" cm="1">
        <f t="array" ref="U94">N94/$R94</f>
        <v>0.0425079910050701</v>
      </c>
      <c r="V94" s="25" cm="1">
        <f t="array" ref="V94">O94/$R94</f>
        <v>-0.0344351218454183</v>
      </c>
      <c r="W94" s="2"/>
      <c r="X94" s="25" cm="1">
        <f t="array" ref="X94">AVERAGE(S93:S95)</f>
        <v>0.140375286415484</v>
      </c>
      <c r="Y94" s="25" cm="1">
        <f t="array" ref="Y94">AVERAGE(T93:T95)</f>
        <v>0.0302387499710587</v>
      </c>
      <c r="Z94" s="25" cm="1">
        <f t="array" ref="Z94">AVERAGE(U93:U95)</f>
        <v>0.0551066329119212</v>
      </c>
      <c r="AA94" s="25" cm="1">
        <f t="array" ref="AA94">AVERAGE(V93:V95)</f>
        <v>-0.0345116201046949</v>
      </c>
      <c r="AB94" s="2"/>
      <c r="AC94" s="26"/>
      <c r="AD94" s="26"/>
      <c r="AE94" s="26"/>
      <c r="AF94" s="26"/>
    </row>
    <row r="95" ht="17" customHeight="1">
      <c r="A95" s="2"/>
      <c r="B95" t="s" s="24">
        <v>108</v>
      </c>
      <c r="C95" t="s" s="39">
        <v>154</v>
      </c>
      <c r="D95" s="25">
        <v>58.5062794136546</v>
      </c>
      <c r="E95" s="25">
        <v>14.1636150147644</v>
      </c>
      <c r="F95" s="25">
        <v>12.7390228612216</v>
      </c>
      <c r="G95" s="25">
        <v>-7.24683377436854</v>
      </c>
      <c r="H95" s="2"/>
      <c r="I95" s="25">
        <v>4.7</v>
      </c>
      <c r="J95" s="25" cm="1">
        <f t="array" ref="J95">I95/1000</f>
        <v>0.0047</v>
      </c>
      <c r="K95" s="2"/>
      <c r="L95" s="25" cm="1">
        <f t="array" ref="L95">D95*$J95</f>
        <v>0.274979513244177</v>
      </c>
      <c r="M95" s="25" cm="1">
        <f t="array" ref="M95">E95*$J95</f>
        <v>0.06656899056939269</v>
      </c>
      <c r="N95" s="25" cm="1">
        <f t="array" ref="N95">F95*$J95</f>
        <v>0.0598734074477415</v>
      </c>
      <c r="O95" s="25" cm="1">
        <f t="array" ref="O95">G95*$J95</f>
        <v>-0.0340601187395321</v>
      </c>
      <c r="P95" s="2"/>
      <c r="Q95" s="25">
        <v>0.0199999999999996</v>
      </c>
      <c r="R95" s="25">
        <v>1</v>
      </c>
      <c r="S95" s="25" cm="1">
        <f t="array" ref="S95">L95/$R95</f>
        <v>0.274979513244177</v>
      </c>
      <c r="T95" s="25" cm="1">
        <f t="array" ref="T95">M95/$R95</f>
        <v>0.06656899056939269</v>
      </c>
      <c r="U95" s="25" cm="1">
        <f t="array" ref="U95">N95/$R95</f>
        <v>0.0598734074477415</v>
      </c>
      <c r="V95" s="25" cm="1">
        <f t="array" ref="V95">O95/$R95</f>
        <v>-0.0340601187395321</v>
      </c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7" customHeight="1">
      <c r="A96" s="2"/>
      <c r="B96" t="s" s="24">
        <v>20</v>
      </c>
      <c r="C96" t="s" s="39">
        <v>155</v>
      </c>
      <c r="D96" s="25">
        <v>26.9821169586808</v>
      </c>
      <c r="E96" s="25">
        <v>69.4211889170045</v>
      </c>
      <c r="F96" s="25">
        <v>636.546497508751</v>
      </c>
      <c r="G96" s="25">
        <v>8.931332492457161</v>
      </c>
      <c r="H96" s="2"/>
      <c r="I96" s="25">
        <v>4.7</v>
      </c>
      <c r="J96" s="25" cm="1">
        <f t="array" ref="J96">I96/1000</f>
        <v>0.0047</v>
      </c>
      <c r="K96" s="2"/>
      <c r="L96" s="25" cm="1">
        <f t="array" ref="L96">D96*$J96</f>
        <v>0.1268159497058</v>
      </c>
      <c r="M96" s="25" cm="1">
        <f t="array" ref="M96">E96*$J96</f>
        <v>0.326279587909921</v>
      </c>
      <c r="N96" s="25" cm="1">
        <f t="array" ref="N96">F96*$J96</f>
        <v>2.99176853829113</v>
      </c>
      <c r="O96" s="25" cm="1">
        <f t="array" ref="O96">G96*$J96</f>
        <v>0.0419772627145487</v>
      </c>
      <c r="P96" s="2"/>
      <c r="Q96" s="25">
        <v>0.0175999999999998</v>
      </c>
      <c r="R96" s="25">
        <v>1</v>
      </c>
      <c r="S96" s="25" cm="1">
        <f t="array" ref="S96">L96/$R96</f>
        <v>0.1268159497058</v>
      </c>
      <c r="T96" s="25" cm="1">
        <f t="array" ref="T96">M96/$R96</f>
        <v>0.326279587909921</v>
      </c>
      <c r="U96" s="25" cm="1">
        <f t="array" ref="U96">N96/$R96</f>
        <v>2.99176853829113</v>
      </c>
      <c r="V96" s="25" cm="1">
        <f t="array" ref="V96">O96/$R96</f>
        <v>0.0419772627145487</v>
      </c>
      <c r="W96" s="2"/>
      <c r="X96" s="25" cm="1">
        <f t="array" ref="X96">S96-X$3-X$103</f>
        <v>-1.29767624291367</v>
      </c>
      <c r="Y96" s="25" cm="1">
        <f t="array" ref="Y96">T96-Y$3-Y$103</f>
        <v>0.249596931106755</v>
      </c>
      <c r="Z96" s="25" cm="1">
        <f t="array" ref="Z96">U96-Z$3-Z$103</f>
        <v>2.44159619230859</v>
      </c>
      <c r="AA96" s="25" cm="1">
        <f t="array" ref="AA96">V96-AA$3-AA$103</f>
        <v>0.072247424286557</v>
      </c>
      <c r="AB96" s="2"/>
      <c r="AC96" s="32" cm="1">
        <f t="array" ref="AC96">X96</f>
        <v>-1.29767624291367</v>
      </c>
      <c r="AD96" s="32" cm="1">
        <f t="array" ref="AD96">Y96</f>
        <v>0.249596931106755</v>
      </c>
      <c r="AE96" s="32" cm="1">
        <f t="array" ref="AE96">Z96</f>
        <v>2.44159619230859</v>
      </c>
      <c r="AF96" s="32" cm="1">
        <f t="array" ref="AF96">AA96</f>
        <v>0.072247424286557</v>
      </c>
    </row>
    <row r="97" ht="17" customHeight="1">
      <c r="A97" s="2"/>
      <c r="B97" t="s" s="24">
        <v>22</v>
      </c>
      <c r="C97" t="s" s="39">
        <v>156</v>
      </c>
      <c r="D97" s="25">
        <v>14.2404863503198</v>
      </c>
      <c r="E97" s="25">
        <v>19.5397338247463</v>
      </c>
      <c r="F97" s="25">
        <v>350.815122049599</v>
      </c>
      <c r="G97" s="25">
        <v>1.16998673503864</v>
      </c>
      <c r="H97" s="2"/>
      <c r="I97" s="25">
        <v>4.7</v>
      </c>
      <c r="J97" s="25" cm="1">
        <f t="array" ref="J97">I97/1000</f>
        <v>0.0047</v>
      </c>
      <c r="K97" s="2"/>
      <c r="L97" s="25" cm="1">
        <f t="array" ref="L97">D97*$J97</f>
        <v>0.0669302858465031</v>
      </c>
      <c r="M97" s="25" cm="1">
        <f t="array" ref="M97">E97*$J97</f>
        <v>0.0918367489763076</v>
      </c>
      <c r="N97" s="25" cm="1">
        <f t="array" ref="N97">F97*$J97</f>
        <v>1.64883107363312</v>
      </c>
      <c r="O97" s="25" cm="1">
        <f t="array" ref="O97">G97*$J97</f>
        <v>0.00549893765468161</v>
      </c>
      <c r="P97" s="2"/>
      <c r="Q97" s="25">
        <v>0.0170000000000012</v>
      </c>
      <c r="R97" s="25">
        <v>1</v>
      </c>
      <c r="S97" s="25" cm="1">
        <f t="array" ref="S97">L97/$R97</f>
        <v>0.0669302858465031</v>
      </c>
      <c r="T97" s="25" cm="1">
        <f t="array" ref="T97">M97/$R97</f>
        <v>0.0918367489763076</v>
      </c>
      <c r="U97" s="25" cm="1">
        <f t="array" ref="U97">N97/$R97</f>
        <v>1.64883107363312</v>
      </c>
      <c r="V97" s="25" cm="1">
        <f t="array" ref="V97">O97/$R97</f>
        <v>0.00549893765468161</v>
      </c>
      <c r="W97" s="2"/>
      <c r="X97" s="25" cm="1">
        <f t="array" ref="X97">S97-X$3-X$103</f>
        <v>-1.35756190677297</v>
      </c>
      <c r="Y97" s="25" cm="1">
        <f t="array" ref="Y97">T97-Y$3-Y$103</f>
        <v>0.0151540921731419</v>
      </c>
      <c r="Z97" s="25" cm="1">
        <f t="array" ref="Z97">U97-Z$3-Z$103</f>
        <v>1.09865872765058</v>
      </c>
      <c r="AA97" s="25" cm="1">
        <f t="array" ref="AA97">V97-AA$3-AA$103</f>
        <v>0.0357690992266899</v>
      </c>
      <c r="AB97" s="2"/>
      <c r="AC97" s="32" cm="1">
        <f t="array" ref="AC97">X97</f>
        <v>-1.35756190677297</v>
      </c>
      <c r="AD97" s="32" cm="1">
        <f t="array" ref="AD97">Y97</f>
        <v>0.0151540921731419</v>
      </c>
      <c r="AE97" s="32" cm="1">
        <f t="array" ref="AE97">Z97</f>
        <v>1.09865872765058</v>
      </c>
      <c r="AF97" s="32" cm="1">
        <f t="array" ref="AF97">AA97</f>
        <v>0.0357690992266899</v>
      </c>
    </row>
    <row r="98" ht="17" customHeight="1">
      <c r="A98" s="2"/>
      <c r="B98" t="s" s="24">
        <v>24</v>
      </c>
      <c r="C98" t="s" s="39">
        <v>157</v>
      </c>
      <c r="D98" s="25">
        <v>18.4744026118999</v>
      </c>
      <c r="E98" s="25">
        <v>28.8830789665535</v>
      </c>
      <c r="F98" s="25">
        <v>580.874139558455</v>
      </c>
      <c r="G98" s="25">
        <v>13.1687801015741</v>
      </c>
      <c r="H98" s="2"/>
      <c r="I98" s="25">
        <v>4.7</v>
      </c>
      <c r="J98" s="25" cm="1">
        <f t="array" ref="J98">I98/1000</f>
        <v>0.0047</v>
      </c>
      <c r="K98" s="2"/>
      <c r="L98" s="25" cm="1">
        <f t="array" ref="L98">D98*$J98</f>
        <v>0.0868296922759295</v>
      </c>
      <c r="M98" s="25" cm="1">
        <f t="array" ref="M98">E98*$J98</f>
        <v>0.135750471142801</v>
      </c>
      <c r="N98" s="25" cm="1">
        <f t="array" ref="N98">F98*$J98</f>
        <v>2.73010845592474</v>
      </c>
      <c r="O98" s="25" cm="1">
        <f t="array" ref="O98">G98*$J98</f>
        <v>0.0618932664773983</v>
      </c>
      <c r="P98" s="2"/>
      <c r="Q98" s="25">
        <v>0.0167999999999999</v>
      </c>
      <c r="R98" s="25">
        <v>1</v>
      </c>
      <c r="S98" s="25" cm="1">
        <f t="array" ref="S98">L98/$R98</f>
        <v>0.0868296922759295</v>
      </c>
      <c r="T98" s="25" cm="1">
        <f t="array" ref="T98">M98/$R98</f>
        <v>0.135750471142801</v>
      </c>
      <c r="U98" s="25" cm="1">
        <f t="array" ref="U98">N98/$R98</f>
        <v>2.73010845592474</v>
      </c>
      <c r="V98" s="25" cm="1">
        <f t="array" ref="V98">O98/$R98</f>
        <v>0.0618932664773983</v>
      </c>
      <c r="W98" s="2"/>
      <c r="X98" s="25" cm="1">
        <f t="array" ref="X98">S98-X$3-X$103</f>
        <v>-1.33766250034354</v>
      </c>
      <c r="Y98" s="25" cm="1">
        <f t="array" ref="Y98">T98-Y$3-Y$103</f>
        <v>0.0590678143396353</v>
      </c>
      <c r="Z98" s="25" cm="1">
        <f t="array" ref="Z98">U98-Z$3-Z$103</f>
        <v>2.1799361099422</v>
      </c>
      <c r="AA98" s="25" cm="1">
        <f t="array" ref="AA98">V98-AA$3-AA$103</f>
        <v>0.0921634280494066</v>
      </c>
      <c r="AB98" s="2"/>
      <c r="AC98" s="32" cm="1">
        <f t="array" ref="AC98">X98</f>
        <v>-1.33766250034354</v>
      </c>
      <c r="AD98" s="32" cm="1">
        <f t="array" ref="AD98">Y98</f>
        <v>0.0590678143396353</v>
      </c>
      <c r="AE98" s="32" cm="1">
        <f t="array" ref="AE98">Z98</f>
        <v>2.1799361099422</v>
      </c>
      <c r="AF98" s="32" cm="1">
        <f t="array" ref="AF98">AA98</f>
        <v>0.0921634280494066</v>
      </c>
    </row>
    <row r="99" ht="17" customHeight="1">
      <c r="A99" s="2"/>
      <c r="B99" t="s" s="24">
        <v>26</v>
      </c>
      <c r="C99" t="s" s="39">
        <v>158</v>
      </c>
      <c r="D99" s="25">
        <v>122.664314120460</v>
      </c>
      <c r="E99" s="25">
        <v>26.5388028343857</v>
      </c>
      <c r="F99" s="25">
        <v>9.169323153604269</v>
      </c>
      <c r="G99" s="25">
        <v>81.8748495723229</v>
      </c>
      <c r="H99" s="2"/>
      <c r="I99" s="25">
        <v>4.7</v>
      </c>
      <c r="J99" s="25" cm="1">
        <f t="array" ref="J99">I99/1000</f>
        <v>0.0047</v>
      </c>
      <c r="K99" s="2"/>
      <c r="L99" s="25" cm="1">
        <f t="array" ref="L99">D99*$J99</f>
        <v>0.576522276366162</v>
      </c>
      <c r="M99" s="25" cm="1">
        <f t="array" ref="M99">E99*$J99</f>
        <v>0.124732373321613</v>
      </c>
      <c r="N99" s="25" cm="1">
        <f t="array" ref="N99">F99*$J99</f>
        <v>0.0430958188219401</v>
      </c>
      <c r="O99" s="25" cm="1">
        <f t="array" ref="O99">G99*$J99</f>
        <v>0.384811792989918</v>
      </c>
      <c r="P99" s="2"/>
      <c r="Q99" s="25">
        <v>0.017100000000001</v>
      </c>
      <c r="R99" s="25">
        <v>1</v>
      </c>
      <c r="S99" s="25" cm="1">
        <f t="array" ref="S99">L99/$R99</f>
        <v>0.576522276366162</v>
      </c>
      <c r="T99" s="25" cm="1">
        <f t="array" ref="T99">M99/$R99</f>
        <v>0.124732373321613</v>
      </c>
      <c r="U99" s="25" cm="1">
        <f t="array" ref="U99">N99/$R99</f>
        <v>0.0430958188219401</v>
      </c>
      <c r="V99" s="25" cm="1">
        <f t="array" ref="V99">O99/$R99</f>
        <v>0.384811792989918</v>
      </c>
      <c r="W99" s="2"/>
      <c r="X99" s="25" cm="1">
        <f t="array" ref="X99">S99-X$3-X$103</f>
        <v>-0.847969916253308</v>
      </c>
      <c r="Y99" s="25" cm="1">
        <f t="array" ref="Y99">T99-Y$3-Y$103</f>
        <v>0.0480497165184473</v>
      </c>
      <c r="Z99" s="25" cm="1">
        <f t="array" ref="Z99">U99-Z$3-Z$103</f>
        <v>-0.507076527160599</v>
      </c>
      <c r="AA99" s="25" cm="1">
        <f t="array" ref="AA99">V99-AA$3-AA$103</f>
        <v>0.415081954561926</v>
      </c>
      <c r="AB99" s="2"/>
      <c r="AC99" s="32" cm="1">
        <f t="array" ref="AC99">X99</f>
        <v>-0.847969916253308</v>
      </c>
      <c r="AD99" s="32" cm="1">
        <f t="array" ref="AD99">Y99</f>
        <v>0.0480497165184473</v>
      </c>
      <c r="AE99" s="32" cm="1">
        <f t="array" ref="AE99">Z99</f>
        <v>-0.507076527160599</v>
      </c>
      <c r="AF99" s="32" cm="1">
        <f t="array" ref="AF99">AA99</f>
        <v>0.415081954561926</v>
      </c>
    </row>
    <row r="100" ht="17" customHeight="1">
      <c r="A100" s="2"/>
      <c r="B100" t="s" s="24">
        <v>28</v>
      </c>
      <c r="C100" t="s" s="39">
        <v>159</v>
      </c>
      <c r="D100" s="25">
        <v>68.58807793778431</v>
      </c>
      <c r="E100" s="25">
        <v>10.0591899377745</v>
      </c>
      <c r="F100" s="25">
        <v>12.1284614375558</v>
      </c>
      <c r="G100" s="25">
        <v>65.7173691182974</v>
      </c>
      <c r="H100" s="2"/>
      <c r="I100" s="25">
        <v>4.7</v>
      </c>
      <c r="J100" s="25" cm="1">
        <f t="array" ref="J100">I100/1000</f>
        <v>0.0047</v>
      </c>
      <c r="K100" s="2"/>
      <c r="L100" s="25" cm="1">
        <f t="array" ref="L100">D100*$J100</f>
        <v>0.322363966307586</v>
      </c>
      <c r="M100" s="25" cm="1">
        <f t="array" ref="M100">E100*$J100</f>
        <v>0.0472781927075402</v>
      </c>
      <c r="N100" s="25" cm="1">
        <f t="array" ref="N100">F100*$J100</f>
        <v>0.0570037687565123</v>
      </c>
      <c r="O100" s="25" cm="1">
        <f t="array" ref="O100">G100*$J100</f>
        <v>0.308871634855998</v>
      </c>
      <c r="P100" s="2"/>
      <c r="Q100" s="25">
        <v>0.0167000000000002</v>
      </c>
      <c r="R100" s="25">
        <v>1</v>
      </c>
      <c r="S100" s="25" cm="1">
        <f t="array" ref="S100">L100/$R100</f>
        <v>0.322363966307586</v>
      </c>
      <c r="T100" s="25" cm="1">
        <f t="array" ref="T100">M100/$R100</f>
        <v>0.0472781927075402</v>
      </c>
      <c r="U100" s="25" cm="1">
        <f t="array" ref="U100">N100/$R100</f>
        <v>0.0570037687565123</v>
      </c>
      <c r="V100" s="25" cm="1">
        <f t="array" ref="V100">O100/$R100</f>
        <v>0.308871634855998</v>
      </c>
      <c r="W100" s="2"/>
      <c r="X100" s="25" cm="1">
        <f t="array" ref="X100">S100-X$3-X$103</f>
        <v>-1.10212822631188</v>
      </c>
      <c r="Y100" s="25" cm="1">
        <f t="array" ref="Y100">T100-Y$3-Y$103</f>
        <v>-0.0294044640956255</v>
      </c>
      <c r="Z100" s="25" cm="1">
        <f t="array" ref="Z100">U100-Z$3-Z$103</f>
        <v>-0.493168577226027</v>
      </c>
      <c r="AA100" s="25" cm="1">
        <f t="array" ref="AA100">V100-AA$3-AA$103</f>
        <v>0.339141796428006</v>
      </c>
      <c r="AB100" s="2"/>
      <c r="AC100" s="32" cm="1">
        <f t="array" ref="AC100">X100</f>
        <v>-1.10212822631188</v>
      </c>
      <c r="AD100" s="32" cm="1">
        <f t="array" ref="AD100">Y100</f>
        <v>-0.0294044640956255</v>
      </c>
      <c r="AE100" s="32" cm="1">
        <f t="array" ref="AE100">Z100</f>
        <v>-0.493168577226027</v>
      </c>
      <c r="AF100" s="32" cm="1">
        <f t="array" ref="AF100">AA100</f>
        <v>0.339141796428006</v>
      </c>
    </row>
    <row r="101" ht="17" customHeight="1">
      <c r="A101" s="2"/>
      <c r="B101" t="s" s="24">
        <v>30</v>
      </c>
      <c r="C101" t="s" s="39">
        <v>160</v>
      </c>
      <c r="D101" s="25">
        <v>21.7651546684095</v>
      </c>
      <c r="E101" s="25">
        <v>22.5109594445294</v>
      </c>
      <c r="F101" s="25">
        <v>17.2195619331859</v>
      </c>
      <c r="G101" s="25">
        <v>113.136166981765</v>
      </c>
      <c r="H101" s="2"/>
      <c r="I101" s="25">
        <v>4.7</v>
      </c>
      <c r="J101" s="25" cm="1">
        <f t="array" ref="J101">I101/1000</f>
        <v>0.0047</v>
      </c>
      <c r="K101" s="2"/>
      <c r="L101" s="25" cm="1">
        <f t="array" ref="L101">D101*$J101</f>
        <v>0.102296226941525</v>
      </c>
      <c r="M101" s="25" cm="1">
        <f t="array" ref="M101">E101*$J101</f>
        <v>0.105801509389288</v>
      </c>
      <c r="N101" s="25" cm="1">
        <f t="array" ref="N101">F101*$J101</f>
        <v>0.08093194108597369</v>
      </c>
      <c r="O101" s="25" cm="1">
        <f t="array" ref="O101">G101*$J101</f>
        <v>0.531739984814296</v>
      </c>
      <c r="P101" s="2"/>
      <c r="Q101" s="25">
        <v>0.0170000000000012</v>
      </c>
      <c r="R101" s="25">
        <v>1</v>
      </c>
      <c r="S101" s="25" cm="1">
        <f t="array" ref="S101">L101/$R101</f>
        <v>0.102296226941525</v>
      </c>
      <c r="T101" s="25" cm="1">
        <f t="array" ref="T101">M101/$R101</f>
        <v>0.105801509389288</v>
      </c>
      <c r="U101" s="25" cm="1">
        <f t="array" ref="U101">N101/$R101</f>
        <v>0.08093194108597369</v>
      </c>
      <c r="V101" s="25" cm="1">
        <f t="array" ref="V101">O101/$R101</f>
        <v>0.531739984814296</v>
      </c>
      <c r="W101" s="2"/>
      <c r="X101" s="25" cm="1">
        <f t="array" ref="X101">S101-X$3-X$103</f>
        <v>-1.32219596567795</v>
      </c>
      <c r="Y101" s="25" cm="1">
        <f t="array" ref="Y101">T101-Y$3-Y$103</f>
        <v>0.0291188525861223</v>
      </c>
      <c r="Z101" s="25" cm="1">
        <f t="array" ref="Z101">U101-Z$3-Z$103</f>
        <v>-0.469240404896565</v>
      </c>
      <c r="AA101" s="25" cm="1">
        <f t="array" ref="AA101">V101-AA$3-AA$103</f>
        <v>0.562010146386304</v>
      </c>
      <c r="AB101" s="2"/>
      <c r="AC101" s="32" cm="1">
        <f t="array" ref="AC101">X101</f>
        <v>-1.32219596567795</v>
      </c>
      <c r="AD101" s="32" cm="1">
        <f t="array" ref="AD101">Y101</f>
        <v>0.0291188525861223</v>
      </c>
      <c r="AE101" s="32" cm="1">
        <f t="array" ref="AE101">Z101</f>
        <v>-0.469240404896565</v>
      </c>
      <c r="AF101" s="32" cm="1">
        <f t="array" ref="AF101">AA101</f>
        <v>0.562010146386304</v>
      </c>
    </row>
    <row r="102" ht="17" customHeight="1">
      <c r="A102" s="2"/>
      <c r="B102" t="s" s="24">
        <v>32</v>
      </c>
      <c r="C102" t="s" s="39">
        <v>161</v>
      </c>
      <c r="D102" s="25">
        <v>568.354311925446</v>
      </c>
      <c r="E102" s="25">
        <v>17.2662615228011</v>
      </c>
      <c r="F102" s="25">
        <v>22.1223199496257</v>
      </c>
      <c r="G102" s="25">
        <v>-7.05347264159268</v>
      </c>
      <c r="H102" s="2"/>
      <c r="I102" s="25">
        <v>4.7</v>
      </c>
      <c r="J102" s="25" cm="1">
        <f t="array" ref="J102">I102/1000</f>
        <v>0.0047</v>
      </c>
      <c r="K102" s="2"/>
      <c r="L102" s="25" cm="1">
        <f t="array" ref="L102">D102*$J102</f>
        <v>2.6712652660496</v>
      </c>
      <c r="M102" s="25" cm="1">
        <f t="array" ref="M102">E102*$J102</f>
        <v>0.08115142915716519</v>
      </c>
      <c r="N102" s="25" cm="1">
        <f t="array" ref="N102">F102*$J102</f>
        <v>0.103974903763241</v>
      </c>
      <c r="O102" s="25" cm="1">
        <f t="array" ref="O102">G102*$J102</f>
        <v>-0.0331513214154856</v>
      </c>
      <c r="P102" s="2"/>
      <c r="Q102" s="25">
        <v>0.0174000000000003</v>
      </c>
      <c r="R102" s="25">
        <v>1</v>
      </c>
      <c r="S102" s="25" cm="1">
        <f t="array" ref="S102">L102/$R102</f>
        <v>2.6712652660496</v>
      </c>
      <c r="T102" s="25" cm="1">
        <f t="array" ref="T102">M102/$R102</f>
        <v>0.08115142915716519</v>
      </c>
      <c r="U102" s="25" cm="1">
        <f t="array" ref="U102">N102/$R102</f>
        <v>0.103974903763241</v>
      </c>
      <c r="V102" s="25" cm="1">
        <f t="array" ref="V102">O102/$R102</f>
        <v>-0.0331513214154856</v>
      </c>
      <c r="W102" s="2"/>
      <c r="X102" s="2"/>
      <c r="Y102" s="2"/>
      <c r="Z102" s="2"/>
      <c r="AA102" s="2"/>
      <c r="AB102" s="2"/>
      <c r="AC102" s="26"/>
      <c r="AD102" s="26"/>
      <c r="AE102" s="26"/>
      <c r="AF102" s="26"/>
    </row>
    <row r="103" ht="17" customHeight="1">
      <c r="A103" s="2"/>
      <c r="B103" t="s" s="24">
        <v>34</v>
      </c>
      <c r="C103" t="s" s="39">
        <v>162</v>
      </c>
      <c r="D103" s="25">
        <v>88.90926460223589</v>
      </c>
      <c r="E103" s="25">
        <v>7.20017075693571</v>
      </c>
      <c r="F103" s="25">
        <v>16.570038170959</v>
      </c>
      <c r="G103" s="25">
        <v>-5.35729562863214</v>
      </c>
      <c r="H103" s="2"/>
      <c r="I103" s="25">
        <v>4.7</v>
      </c>
      <c r="J103" s="25" cm="1">
        <f t="array" ref="J103">I103/1000</f>
        <v>0.0047</v>
      </c>
      <c r="K103" s="2"/>
      <c r="L103" s="25" cm="1">
        <f t="array" ref="L103">D103*$J103</f>
        <v>0.417873543630509</v>
      </c>
      <c r="M103" s="25" cm="1">
        <f t="array" ref="M103">E103*$J103</f>
        <v>0.0338408025575978</v>
      </c>
      <c r="N103" s="25" cm="1">
        <f t="array" ref="N103">F103*$J103</f>
        <v>0.0778791794035073</v>
      </c>
      <c r="O103" s="25" cm="1">
        <f t="array" ref="O103">G103*$J103</f>
        <v>-0.0251792894545711</v>
      </c>
      <c r="P103" s="2"/>
      <c r="Q103" s="25">
        <v>0.0175999999999998</v>
      </c>
      <c r="R103" s="25">
        <v>1</v>
      </c>
      <c r="S103" s="25" cm="1">
        <f t="array" ref="S103">L103/$R103</f>
        <v>0.417873543630509</v>
      </c>
      <c r="T103" s="25" cm="1">
        <f t="array" ref="T103">M103/$R103</f>
        <v>0.0338408025575978</v>
      </c>
      <c r="U103" s="25" cm="1">
        <f t="array" ref="U103">N103/$R103</f>
        <v>0.0778791794035073</v>
      </c>
      <c r="V103" s="25" cm="1">
        <f t="array" ref="V103">O103/$R103</f>
        <v>-0.0251792894545711</v>
      </c>
      <c r="W103" s="2"/>
      <c r="X103" s="25" cm="1">
        <f t="array" ref="X103">AVERAGE(S102:S104)</f>
        <v>1.42449219261947</v>
      </c>
      <c r="Y103" s="25" cm="1">
        <f t="array" ref="Y103">AVERAGE(T102:T104)</f>
        <v>0.0766826568031657</v>
      </c>
      <c r="Z103" s="25" cm="1">
        <f t="array" ref="Z103">AVERAGE(U102:U104)</f>
        <v>0.5501723459825389</v>
      </c>
      <c r="AA103" s="25" cm="1">
        <f t="array" ref="AA103">AVERAGE(V102:V104)</f>
        <v>-0.0302701615720083</v>
      </c>
      <c r="AB103" s="2"/>
      <c r="AC103" s="26"/>
      <c r="AD103" s="26"/>
      <c r="AE103" s="26"/>
      <c r="AF103" s="26"/>
    </row>
    <row r="104" ht="17" customHeight="1">
      <c r="A104" s="2"/>
      <c r="B104" t="s" s="24">
        <v>36</v>
      </c>
      <c r="C104" t="s" s="39">
        <v>163</v>
      </c>
      <c r="D104" s="25">
        <v>251.986759186874</v>
      </c>
      <c r="E104" s="25">
        <v>24.4799444031348</v>
      </c>
      <c r="F104" s="25">
        <v>312.481479740610</v>
      </c>
      <c r="G104" s="25">
        <v>-6.91061145658897</v>
      </c>
      <c r="H104" s="2"/>
      <c r="I104" s="25">
        <v>4.7</v>
      </c>
      <c r="J104" s="25" cm="1">
        <f t="array" ref="J104">I104/1000</f>
        <v>0.0047</v>
      </c>
      <c r="K104" s="2"/>
      <c r="L104" s="25" cm="1">
        <f t="array" ref="L104">D104*$J104</f>
        <v>1.18433776817831</v>
      </c>
      <c r="M104" s="25" cm="1">
        <f t="array" ref="M104">E104*$J104</f>
        <v>0.115055738694734</v>
      </c>
      <c r="N104" s="25" cm="1">
        <f t="array" ref="N104">F104*$J104</f>
        <v>1.46866295478087</v>
      </c>
      <c r="O104" s="25" cm="1">
        <f t="array" ref="O104">G104*$J104</f>
        <v>-0.0324798738459682</v>
      </c>
      <c r="P104" s="2"/>
      <c r="Q104" s="25">
        <v>0.0177999999999994</v>
      </c>
      <c r="R104" s="25">
        <v>1</v>
      </c>
      <c r="S104" s="25" cm="1">
        <f t="array" ref="S104">L104/$R104</f>
        <v>1.18433776817831</v>
      </c>
      <c r="T104" s="25" cm="1">
        <f t="array" ref="T104">M104/$R104</f>
        <v>0.115055738694734</v>
      </c>
      <c r="U104" s="25" cm="1">
        <f t="array" ref="U104">N104/$R104</f>
        <v>1.46866295478087</v>
      </c>
      <c r="V104" s="25" cm="1">
        <f t="array" ref="V104">O104/$R104</f>
        <v>-0.0324798738459682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7" customHeight="1">
      <c r="A105" s="2"/>
      <c r="B105" t="s" s="24">
        <v>38</v>
      </c>
      <c r="C105" t="s" s="39">
        <v>164</v>
      </c>
      <c r="D105" s="25">
        <v>19.116074148120</v>
      </c>
      <c r="E105" s="25">
        <v>364.753137306377</v>
      </c>
      <c r="F105" s="25">
        <v>151.092715165322</v>
      </c>
      <c r="G105" s="25">
        <v>-14.1945781281175</v>
      </c>
      <c r="H105" s="2"/>
      <c r="I105" s="25">
        <v>4.7</v>
      </c>
      <c r="J105" s="25" cm="1">
        <f t="array" ref="J105">I105/1000</f>
        <v>0.0047</v>
      </c>
      <c r="K105" s="2"/>
      <c r="L105" s="25" cm="1">
        <f t="array" ref="L105">D105*$J105</f>
        <v>0.089845548496164</v>
      </c>
      <c r="M105" s="25" cm="1">
        <f t="array" ref="M105">E105*$J105</f>
        <v>1.71433974533997</v>
      </c>
      <c r="N105" s="25" cm="1">
        <f t="array" ref="N105">F105*$J105</f>
        <v>0.7101357612770129</v>
      </c>
      <c r="O105" s="25" cm="1">
        <f t="array" ref="O105">G105*$J105</f>
        <v>-0.0667145172021523</v>
      </c>
      <c r="P105" s="2"/>
      <c r="Q105" s="25">
        <v>0.0175000000000001</v>
      </c>
      <c r="R105" s="25">
        <v>1</v>
      </c>
      <c r="S105" s="25" cm="1">
        <f t="array" ref="S105">L105/$R105</f>
        <v>0.089845548496164</v>
      </c>
      <c r="T105" s="25" cm="1">
        <f t="array" ref="T105">M105/$R105</f>
        <v>1.71433974533997</v>
      </c>
      <c r="U105" s="25" cm="1">
        <f t="array" ref="U105">N105/$R105</f>
        <v>0.7101357612770129</v>
      </c>
      <c r="V105" s="25" cm="1">
        <f t="array" ref="V105">O105/$R105</f>
        <v>-0.0667145172021523</v>
      </c>
      <c r="W105" s="2"/>
      <c r="X105" s="25" cm="1">
        <f t="array" ref="X105">S105-X$3-X$112</f>
        <v>-1.15002022663305</v>
      </c>
      <c r="Y105" s="25" cm="1">
        <f t="array" ref="Y105">T105-Y$3-Y$112</f>
        <v>1.64476951854272</v>
      </c>
      <c r="Z105" s="25" cm="1">
        <f t="array" ref="Z105">U105-Z$3-Z$112</f>
        <v>0.275599573950847</v>
      </c>
      <c r="AA105" s="25" cm="1">
        <f t="array" ref="AA105">V105-AA$3-AA$112</f>
        <v>-0.0146733560149162</v>
      </c>
      <c r="AB105" s="2"/>
      <c r="AC105" s="32" cm="1">
        <f t="array" ref="AC105">X105</f>
        <v>-1.15002022663305</v>
      </c>
      <c r="AD105" s="32" cm="1">
        <f t="array" ref="AD105">Y105</f>
        <v>1.64476951854272</v>
      </c>
      <c r="AE105" s="32" cm="1">
        <f t="array" ref="AE105">Z105</f>
        <v>0.275599573950847</v>
      </c>
      <c r="AF105" s="32" cm="1">
        <f t="array" ref="AF105">AA105</f>
        <v>-0.0146733560149162</v>
      </c>
    </row>
    <row r="106" ht="17" customHeight="1">
      <c r="A106" s="2"/>
      <c r="B106" t="s" s="24">
        <v>40</v>
      </c>
      <c r="C106" t="s" s="39">
        <v>165</v>
      </c>
      <c r="D106" s="25">
        <v>32.9892582521543</v>
      </c>
      <c r="E106" s="25">
        <v>332.721374082852</v>
      </c>
      <c r="F106" s="25">
        <v>167.138774606533</v>
      </c>
      <c r="G106" s="25">
        <v>-6.04154424217355</v>
      </c>
      <c r="H106" s="2"/>
      <c r="I106" s="25">
        <v>4.7</v>
      </c>
      <c r="J106" s="25" cm="1">
        <f t="array" ref="J106">I106/1000</f>
        <v>0.0047</v>
      </c>
      <c r="K106" s="2"/>
      <c r="L106" s="25" cm="1">
        <f t="array" ref="L106">D106*$J106</f>
        <v>0.155049513785125</v>
      </c>
      <c r="M106" s="25" cm="1">
        <f t="array" ref="M106">E106*$J106</f>
        <v>1.5637904581894</v>
      </c>
      <c r="N106" s="25" cm="1">
        <f t="array" ref="N106">F106*$J106</f>
        <v>0.7855522406507049</v>
      </c>
      <c r="O106" s="25" cm="1">
        <f t="array" ref="O106">G106*$J106</f>
        <v>-0.0283952579382157</v>
      </c>
      <c r="P106" s="2"/>
      <c r="Q106" s="25">
        <v>0.0176999999999996</v>
      </c>
      <c r="R106" s="25">
        <v>1</v>
      </c>
      <c r="S106" s="25" cm="1">
        <f t="array" ref="S106">L106/$R106</f>
        <v>0.155049513785125</v>
      </c>
      <c r="T106" s="25" cm="1">
        <f t="array" ref="T106">M106/$R106</f>
        <v>1.5637904581894</v>
      </c>
      <c r="U106" s="25" cm="1">
        <f t="array" ref="U106">N106/$R106</f>
        <v>0.7855522406507049</v>
      </c>
      <c r="V106" s="25" cm="1">
        <f t="array" ref="V106">O106/$R106</f>
        <v>-0.0283952579382157</v>
      </c>
      <c r="W106" s="2"/>
      <c r="X106" s="25" cm="1">
        <f t="array" ref="X106">S106-X$3-X$112</f>
        <v>-1.08481626134409</v>
      </c>
      <c r="Y106" s="25" cm="1">
        <f t="array" ref="Y106">T106-Y$3-Y$112</f>
        <v>1.49422023139215</v>
      </c>
      <c r="Z106" s="25" cm="1">
        <f t="array" ref="Z106">U106-Z$3-Z$112</f>
        <v>0.351016053324539</v>
      </c>
      <c r="AA106" s="25" cm="1">
        <f t="array" ref="AA106">V106-AA$3-AA$112</f>
        <v>0.0236459032490204</v>
      </c>
      <c r="AB106" s="2"/>
      <c r="AC106" s="32" cm="1">
        <f t="array" ref="AC106">X106</f>
        <v>-1.08481626134409</v>
      </c>
      <c r="AD106" s="32" cm="1">
        <f t="array" ref="AD106">Y106</f>
        <v>1.49422023139215</v>
      </c>
      <c r="AE106" s="32" cm="1">
        <f t="array" ref="AE106">Z106</f>
        <v>0.351016053324539</v>
      </c>
      <c r="AF106" s="32" cm="1">
        <f t="array" ref="AF106">AA106</f>
        <v>0.0236459032490204</v>
      </c>
    </row>
    <row r="107" ht="17" customHeight="1">
      <c r="A107" s="2"/>
      <c r="B107" t="s" s="24">
        <v>42</v>
      </c>
      <c r="C107" t="s" s="39">
        <v>166</v>
      </c>
      <c r="D107" s="25">
        <v>60.2073756014896</v>
      </c>
      <c r="E107" s="25">
        <v>772.568592327444</v>
      </c>
      <c r="F107" s="25">
        <v>449.752543769091</v>
      </c>
      <c r="G107" s="25">
        <v>-3.99607727721381</v>
      </c>
      <c r="H107" s="2"/>
      <c r="I107" s="25">
        <v>4.7</v>
      </c>
      <c r="J107" s="25" cm="1">
        <f t="array" ref="J107">I107/1000</f>
        <v>0.0047</v>
      </c>
      <c r="K107" s="2"/>
      <c r="L107" s="25" cm="1">
        <f t="array" ref="L107">D107*$J107</f>
        <v>0.282974665327001</v>
      </c>
      <c r="M107" s="25" cm="1">
        <f t="array" ref="M107">E107*$J107</f>
        <v>3.63107238393899</v>
      </c>
      <c r="N107" s="25" cm="1">
        <f t="array" ref="N107">F107*$J107</f>
        <v>2.11383695571473</v>
      </c>
      <c r="O107" s="25" cm="1">
        <f t="array" ref="O107">G107*$J107</f>
        <v>-0.0187815632029049</v>
      </c>
      <c r="P107" s="2"/>
      <c r="Q107" s="25">
        <v>0.0180000000000007</v>
      </c>
      <c r="R107" s="25">
        <v>1</v>
      </c>
      <c r="S107" s="25" cm="1">
        <f t="array" ref="S107">L107/$R107</f>
        <v>0.282974665327001</v>
      </c>
      <c r="T107" s="25" cm="1">
        <f t="array" ref="T107">M107/$R107</f>
        <v>3.63107238393899</v>
      </c>
      <c r="U107" s="25" cm="1">
        <f t="array" ref="U107">N107/$R107</f>
        <v>2.11383695571473</v>
      </c>
      <c r="V107" s="25" cm="1">
        <f t="array" ref="V107">O107/$R107</f>
        <v>-0.0187815632029049</v>
      </c>
      <c r="W107" s="2"/>
      <c r="X107" s="25" cm="1">
        <f t="array" ref="X107">S107-X$3-X$112</f>
        <v>-0.956891109802209</v>
      </c>
      <c r="Y107" s="25" cm="1">
        <f t="array" ref="Y107">T107-Y$3-Y$112</f>
        <v>3.56150215714174</v>
      </c>
      <c r="Z107" s="25" cm="1">
        <f t="array" ref="Z107">U107-Z$3-Z$112</f>
        <v>1.67930076838856</v>
      </c>
      <c r="AA107" s="25" cm="1">
        <f t="array" ref="AA107">V107-AA$3-AA$112</f>
        <v>0.0332595979843312</v>
      </c>
      <c r="AB107" s="2"/>
      <c r="AC107" s="32" cm="1">
        <f t="array" ref="AC107">X107</f>
        <v>-0.956891109802209</v>
      </c>
      <c r="AD107" s="32" cm="1">
        <f t="array" ref="AD107">Y107</f>
        <v>3.56150215714174</v>
      </c>
      <c r="AE107" s="32" cm="1">
        <f t="array" ref="AE107">Z107</f>
        <v>1.67930076838856</v>
      </c>
      <c r="AF107" s="32" cm="1">
        <f t="array" ref="AF107">AA107</f>
        <v>0.0332595979843312</v>
      </c>
    </row>
    <row r="108" ht="17" customHeight="1">
      <c r="A108" s="2"/>
      <c r="B108" t="s" s="24">
        <v>44</v>
      </c>
      <c r="C108" t="s" s="39">
        <v>167</v>
      </c>
      <c r="D108" s="25">
        <v>140.950611102006</v>
      </c>
      <c r="E108" s="25">
        <v>9.00877185321734</v>
      </c>
      <c r="F108" s="25">
        <v>34.267459857062</v>
      </c>
      <c r="G108" s="25">
        <v>44.4591262668816</v>
      </c>
      <c r="H108" s="2"/>
      <c r="I108" s="25">
        <v>4.7</v>
      </c>
      <c r="J108" s="25" cm="1">
        <f t="array" ref="J108">I108/1000</f>
        <v>0.0047</v>
      </c>
      <c r="K108" s="2"/>
      <c r="L108" s="25" cm="1">
        <f t="array" ref="L108">D108*$J108</f>
        <v>0.662467872179428</v>
      </c>
      <c r="M108" s="25" cm="1">
        <f t="array" ref="M108">E108*$J108</f>
        <v>0.0423412277101215</v>
      </c>
      <c r="N108" s="25" cm="1">
        <f t="array" ref="N108">F108*$J108</f>
        <v>0.161057061328191</v>
      </c>
      <c r="O108" s="25" cm="1">
        <f t="array" ref="O108">G108*$J108</f>
        <v>0.208957893454344</v>
      </c>
      <c r="P108" s="2"/>
      <c r="Q108" s="25">
        <v>0.0172000000000008</v>
      </c>
      <c r="R108" s="25">
        <v>1</v>
      </c>
      <c r="S108" s="25" cm="1">
        <f t="array" ref="S108">L108/$R108</f>
        <v>0.662467872179428</v>
      </c>
      <c r="T108" s="25" cm="1">
        <f t="array" ref="T108">M108/$R108</f>
        <v>0.0423412277101215</v>
      </c>
      <c r="U108" s="25" cm="1">
        <f t="array" ref="U108">N108/$R108</f>
        <v>0.161057061328191</v>
      </c>
      <c r="V108" s="25" cm="1">
        <f t="array" ref="V108">O108/$R108</f>
        <v>0.208957893454344</v>
      </c>
      <c r="W108" s="2"/>
      <c r="X108" s="25" cm="1">
        <f t="array" ref="X108">S108-X$3-X$112</f>
        <v>-0.577397902949782</v>
      </c>
      <c r="Y108" s="25" cm="1">
        <f t="array" ref="Y108">T108-Y$3-Y$112</f>
        <v>-0.027228999087133</v>
      </c>
      <c r="Z108" s="25" cm="1">
        <f t="array" ref="Z108">U108-Z$3-Z$112</f>
        <v>-0.273479125997975</v>
      </c>
      <c r="AA108" s="25" cm="1">
        <f t="array" ref="AA108">V108-AA$3-AA$112</f>
        <v>0.26099905464158</v>
      </c>
      <c r="AB108" s="2"/>
      <c r="AC108" s="32" cm="1">
        <f t="array" ref="AC108">X108</f>
        <v>-0.577397902949782</v>
      </c>
      <c r="AD108" s="32" cm="1">
        <f t="array" ref="AD108">Y108</f>
        <v>-0.027228999087133</v>
      </c>
      <c r="AE108" s="32" cm="1">
        <f t="array" ref="AE108">Z108</f>
        <v>-0.273479125997975</v>
      </c>
      <c r="AF108" s="32" cm="1">
        <f t="array" ref="AF108">AA108</f>
        <v>0.26099905464158</v>
      </c>
    </row>
    <row r="109" ht="17" customHeight="1">
      <c r="A109" s="2"/>
      <c r="B109" t="s" s="24">
        <v>46</v>
      </c>
      <c r="C109" t="s" s="39">
        <v>168</v>
      </c>
      <c r="D109" s="25">
        <v>91.50124533778281</v>
      </c>
      <c r="E109" s="25">
        <v>41.5329397197403</v>
      </c>
      <c r="F109" s="25">
        <v>93.859942031744</v>
      </c>
      <c r="G109" s="25">
        <v>242.995270398024</v>
      </c>
      <c r="H109" s="2"/>
      <c r="I109" s="25">
        <v>4.7</v>
      </c>
      <c r="J109" s="25" cm="1">
        <f t="array" ref="J109">I109/1000</f>
        <v>0.0047</v>
      </c>
      <c r="K109" s="2"/>
      <c r="L109" s="25" cm="1">
        <f t="array" ref="L109">D109*$J109</f>
        <v>0.430055853087579</v>
      </c>
      <c r="M109" s="25" cm="1">
        <f t="array" ref="M109">E109*$J109</f>
        <v>0.195204816682779</v>
      </c>
      <c r="N109" s="25" cm="1">
        <f t="array" ref="N109">F109*$J109</f>
        <v>0.441141727549197</v>
      </c>
      <c r="O109" s="25" cm="1">
        <f t="array" ref="O109">G109*$J109</f>
        <v>1.14207777087071</v>
      </c>
      <c r="P109" s="2"/>
      <c r="Q109" s="25">
        <v>0.0173000000000005</v>
      </c>
      <c r="R109" s="25">
        <v>1</v>
      </c>
      <c r="S109" s="25" cm="1">
        <f t="array" ref="S109">L109/$R109</f>
        <v>0.430055853087579</v>
      </c>
      <c r="T109" s="25" cm="1">
        <f t="array" ref="T109">M109/$R109</f>
        <v>0.195204816682779</v>
      </c>
      <c r="U109" s="25" cm="1">
        <f t="array" ref="U109">N109/$R109</f>
        <v>0.441141727549197</v>
      </c>
      <c r="V109" s="25" cm="1">
        <f t="array" ref="V109">O109/$R109</f>
        <v>1.14207777087071</v>
      </c>
      <c r="W109" s="2"/>
      <c r="X109" s="25" cm="1">
        <f t="array" ref="X109">S109-X$3-X$112</f>
        <v>-0.809809922041631</v>
      </c>
      <c r="Y109" s="25" cm="1">
        <f t="array" ref="Y109">T109-Y$3-Y$112</f>
        <v>0.125634589885525</v>
      </c>
      <c r="Z109" s="25" cm="1">
        <f t="array" ref="Z109">U109-Z$3-Z$112</f>
        <v>0.006605540223031</v>
      </c>
      <c r="AA109" s="25" cm="1">
        <f t="array" ref="AA109">V109-AA$3-AA$112</f>
        <v>1.19411893205795</v>
      </c>
      <c r="AB109" s="2"/>
      <c r="AC109" s="32" cm="1">
        <f t="array" ref="AC109">X109</f>
        <v>-0.809809922041631</v>
      </c>
      <c r="AD109" s="32" cm="1">
        <f t="array" ref="AD109">Y109</f>
        <v>0.125634589885525</v>
      </c>
      <c r="AE109" s="32" cm="1">
        <f t="array" ref="AE109">Z109</f>
        <v>0.006605540223031</v>
      </c>
      <c r="AF109" s="32" cm="1">
        <f t="array" ref="AF109">AA109</f>
        <v>1.19411893205795</v>
      </c>
    </row>
    <row r="110" ht="17" customHeight="1">
      <c r="A110" s="2"/>
      <c r="B110" t="s" s="24">
        <v>48</v>
      </c>
      <c r="C110" t="s" s="39">
        <v>169</v>
      </c>
      <c r="D110" s="25">
        <v>259.100202744666</v>
      </c>
      <c r="E110" s="25">
        <v>13.0919469840279</v>
      </c>
      <c r="F110" s="25">
        <v>39.029122775662</v>
      </c>
      <c r="G110" s="25">
        <v>32.4354273709677</v>
      </c>
      <c r="H110" s="2"/>
      <c r="I110" s="25">
        <v>4.7</v>
      </c>
      <c r="J110" s="25" cm="1">
        <f t="array" ref="J110">I110/1000</f>
        <v>0.0047</v>
      </c>
      <c r="K110" s="2"/>
      <c r="L110" s="25" cm="1">
        <f t="array" ref="L110">D110*$J110</f>
        <v>1.21777095289993</v>
      </c>
      <c r="M110" s="25" cm="1">
        <f t="array" ref="M110">E110*$J110</f>
        <v>0.0615321508249311</v>
      </c>
      <c r="N110" s="25" cm="1">
        <f t="array" ref="N110">F110*$J110</f>
        <v>0.183436877045611</v>
      </c>
      <c r="O110" s="25" cm="1">
        <f t="array" ref="O110">G110*$J110</f>
        <v>0.152446508643548</v>
      </c>
      <c r="P110" s="2"/>
      <c r="Q110" s="25">
        <v>0.0180000000000007</v>
      </c>
      <c r="R110" s="25">
        <v>1</v>
      </c>
      <c r="S110" s="25" cm="1">
        <f t="array" ref="S110">L110/$R110</f>
        <v>1.21777095289993</v>
      </c>
      <c r="T110" s="25" cm="1">
        <f t="array" ref="T110">M110/$R110</f>
        <v>0.0615321508249311</v>
      </c>
      <c r="U110" s="25" cm="1">
        <f t="array" ref="U110">N110/$R110</f>
        <v>0.183436877045611</v>
      </c>
      <c r="V110" s="25" cm="1">
        <f t="array" ref="V110">O110/$R110</f>
        <v>0.152446508643548</v>
      </c>
      <c r="W110" s="2"/>
      <c r="X110" s="25" cm="1">
        <f t="array" ref="X110">S110-X$3-X$112</f>
        <v>-0.02209482222928</v>
      </c>
      <c r="Y110" s="25" cm="1">
        <f t="array" ref="Y110">T110-Y$3-Y$112</f>
        <v>-0.008038075972323399</v>
      </c>
      <c r="Z110" s="25" cm="1">
        <f t="array" ref="Z110">U110-Z$3-Z$112</f>
        <v>-0.251099310280555</v>
      </c>
      <c r="AA110" s="25" cm="1">
        <f t="array" ref="AA110">V110-AA$3-AA$112</f>
        <v>0.204487669830784</v>
      </c>
      <c r="AB110" s="2"/>
      <c r="AC110" s="32" cm="1">
        <f t="array" ref="AC110">X110</f>
        <v>-0.02209482222928</v>
      </c>
      <c r="AD110" s="32" cm="1">
        <f t="array" ref="AD110">Y110</f>
        <v>-0.008038075972323399</v>
      </c>
      <c r="AE110" s="32" cm="1">
        <f t="array" ref="AE110">Z110</f>
        <v>-0.251099310280555</v>
      </c>
      <c r="AF110" s="32" cm="1">
        <f t="array" ref="AF110">AA110</f>
        <v>0.204487669830784</v>
      </c>
    </row>
    <row r="111" ht="17" customHeight="1">
      <c r="A111" s="2"/>
      <c r="B111" t="s" s="24">
        <v>50</v>
      </c>
      <c r="C111" t="s" s="39">
        <v>170</v>
      </c>
      <c r="D111" s="25">
        <v>477.133745133622</v>
      </c>
      <c r="E111" s="25">
        <v>16.2953778251373</v>
      </c>
      <c r="F111" s="25">
        <v>187.774276263383</v>
      </c>
      <c r="G111" s="25">
        <v>-17.8752392785923</v>
      </c>
      <c r="H111" s="2"/>
      <c r="I111" s="25">
        <v>4.7</v>
      </c>
      <c r="J111" s="25" cm="1">
        <f t="array" ref="J111">I111/1000</f>
        <v>0.0047</v>
      </c>
      <c r="K111" s="2"/>
      <c r="L111" s="25" cm="1">
        <f t="array" ref="L111">D111*$J111</f>
        <v>2.24252860212802</v>
      </c>
      <c r="M111" s="25" cm="1">
        <f t="array" ref="M111">E111*$J111</f>
        <v>0.0765882757781453</v>
      </c>
      <c r="N111" s="25" cm="1">
        <f t="array" ref="N111">F111*$J111</f>
        <v>0.8825390984379</v>
      </c>
      <c r="O111" s="25" cm="1">
        <f t="array" ref="O111">G111*$J111</f>
        <v>-0.0840136246093838</v>
      </c>
      <c r="P111" s="2"/>
      <c r="Q111" s="25">
        <v>0.0181000000000004</v>
      </c>
      <c r="R111" s="25">
        <v>1</v>
      </c>
      <c r="S111" s="25" cm="1">
        <f t="array" ref="S111">L111/$R111</f>
        <v>2.24252860212802</v>
      </c>
      <c r="T111" s="25" cm="1">
        <f t="array" ref="T111">M111/$R111</f>
        <v>0.0765882757781453</v>
      </c>
      <c r="U111" s="25" cm="1">
        <f t="array" ref="U111">N111/$R111</f>
        <v>0.8825390984379</v>
      </c>
      <c r="V111" s="25" cm="1">
        <f t="array" ref="V111">O111/$R111</f>
        <v>-0.0840136246093838</v>
      </c>
      <c r="W111" s="2"/>
      <c r="X111" s="2"/>
      <c r="Y111" s="2"/>
      <c r="Z111" s="2"/>
      <c r="AA111" s="2"/>
      <c r="AB111" s="2"/>
      <c r="AC111" s="26"/>
      <c r="AD111" s="26"/>
      <c r="AE111" s="26"/>
      <c r="AF111" s="26"/>
    </row>
    <row r="112" ht="17" customHeight="1">
      <c r="A112" s="2"/>
      <c r="B112" t="s" s="24">
        <v>52</v>
      </c>
      <c r="C112" t="s" s="39">
        <v>171</v>
      </c>
      <c r="D112" s="25">
        <v>148.067551530201</v>
      </c>
      <c r="E112" s="25">
        <v>15.2068510346259</v>
      </c>
      <c r="F112" s="25">
        <v>47.9168255093203</v>
      </c>
      <c r="G112" s="25">
        <v>-7.6324424545504</v>
      </c>
      <c r="H112" s="2"/>
      <c r="I112" s="25">
        <v>4.7</v>
      </c>
      <c r="J112" s="25" cm="1">
        <f t="array" ref="J112">I112/1000</f>
        <v>0.0047</v>
      </c>
      <c r="K112" s="2"/>
      <c r="L112" s="25" cm="1">
        <f t="array" ref="L112">D112*$J112</f>
        <v>0.695917492191945</v>
      </c>
      <c r="M112" s="25" cm="1">
        <f t="array" ref="M112">E112*$J112</f>
        <v>0.0714721998627417</v>
      </c>
      <c r="N112" s="25" cm="1">
        <f t="array" ref="N112">F112*$J112</f>
        <v>0.225209079893805</v>
      </c>
      <c r="O112" s="25" cm="1">
        <f t="array" ref="O112">G112*$J112</f>
        <v>-0.0358724795363869</v>
      </c>
      <c r="P112" s="2"/>
      <c r="Q112" s="25">
        <v>0.0183999999999997</v>
      </c>
      <c r="R112" s="25">
        <v>1</v>
      </c>
      <c r="S112" s="25" cm="1">
        <f t="array" ref="S112">L112/$R112</f>
        <v>0.695917492191945</v>
      </c>
      <c r="T112" s="25" cm="1">
        <f t="array" ref="T112">M112/$R112</f>
        <v>0.0714721998627417</v>
      </c>
      <c r="U112" s="25" cm="1">
        <f t="array" ref="U112">N112/$R112</f>
        <v>0.225209079893805</v>
      </c>
      <c r="V112" s="25" cm="1">
        <f t="array" ref="V112">O112/$R112</f>
        <v>-0.0358724795363869</v>
      </c>
      <c r="W112" s="2"/>
      <c r="X112" s="25" cm="1">
        <f t="array" ref="X112">AVERAGE(S111:S113)</f>
        <v>1.23986577512921</v>
      </c>
      <c r="Y112" s="25" cm="1">
        <f t="array" ref="Y112">AVERAGE(T111:T113)</f>
        <v>0.0695702267972545</v>
      </c>
      <c r="Z112" s="25" cm="1">
        <f t="array" ref="Z112">AVERAGE(U111:U113)</f>
        <v>0.434536187326166</v>
      </c>
      <c r="AA112" s="25" cm="1">
        <f t="array" ref="AA112">AVERAGE(V111:V113)</f>
        <v>-0.0520411611872361</v>
      </c>
      <c r="AB112" s="2"/>
      <c r="AC112" s="26"/>
      <c r="AD112" s="26"/>
      <c r="AE112" s="26"/>
      <c r="AF112" s="26"/>
    </row>
    <row r="113" ht="17" customHeight="1">
      <c r="A113" s="2"/>
      <c r="B113" t="s" s="24">
        <v>54</v>
      </c>
      <c r="C113" t="s" s="39">
        <v>172</v>
      </c>
      <c r="D113" s="25">
        <v>166.202389588867</v>
      </c>
      <c r="E113" s="25">
        <v>12.9042988831652</v>
      </c>
      <c r="F113" s="25">
        <v>41.6724220525091</v>
      </c>
      <c r="G113" s="25">
        <v>-7.71008072679524</v>
      </c>
      <c r="H113" s="2"/>
      <c r="I113" s="25">
        <v>4.7</v>
      </c>
      <c r="J113" s="25" cm="1">
        <f t="array" ref="J113">I113/1000</f>
        <v>0.0047</v>
      </c>
      <c r="K113" s="2"/>
      <c r="L113" s="25" cm="1">
        <f t="array" ref="L113">D113*$J113</f>
        <v>0.781151231067675</v>
      </c>
      <c r="M113" s="25" cm="1">
        <f t="array" ref="M113">E113*$J113</f>
        <v>0.0606502047508764</v>
      </c>
      <c r="N113" s="25" cm="1">
        <f t="array" ref="N113">F113*$J113</f>
        <v>0.195860383646793</v>
      </c>
      <c r="O113" s="25" cm="1">
        <f t="array" ref="O113">G113*$J113</f>
        <v>-0.0362373794159376</v>
      </c>
      <c r="P113" s="2"/>
      <c r="Q113" s="25">
        <v>0.0181000000000004</v>
      </c>
      <c r="R113" s="25">
        <v>1</v>
      </c>
      <c r="S113" s="25" cm="1">
        <f t="array" ref="S113">L113/$R113</f>
        <v>0.781151231067675</v>
      </c>
      <c r="T113" s="25" cm="1">
        <f t="array" ref="T113">M113/$R113</f>
        <v>0.0606502047508764</v>
      </c>
      <c r="U113" s="25" cm="1">
        <f t="array" ref="U113">N113/$R113</f>
        <v>0.195860383646793</v>
      </c>
      <c r="V113" s="25" cm="1">
        <f t="array" ref="V113">O113/$R113</f>
        <v>-0.0362373794159376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7" customHeight="1">
      <c r="A114" s="2"/>
      <c r="B114" t="s" s="24">
        <v>56</v>
      </c>
      <c r="C114" t="s" s="39">
        <v>173</v>
      </c>
      <c r="D114" s="25">
        <v>37.9003215177482</v>
      </c>
      <c r="E114" s="25">
        <v>30074.9491783476</v>
      </c>
      <c r="F114" s="25">
        <v>11523.2732243753</v>
      </c>
      <c r="G114" s="25">
        <v>-7.1498952552909</v>
      </c>
      <c r="H114" s="2"/>
      <c r="I114" s="25">
        <v>4.7</v>
      </c>
      <c r="J114" s="25" cm="1">
        <f t="array" ref="J114">I114/1000</f>
        <v>0.0047</v>
      </c>
      <c r="K114" s="2"/>
      <c r="L114" s="25" cm="1">
        <f t="array" ref="L114">D114*$J114</f>
        <v>0.178131511133417</v>
      </c>
      <c r="M114" s="25" cm="1">
        <f t="array" ref="M114">E114*$J114</f>
        <v>141.352261138234</v>
      </c>
      <c r="N114" s="25" cm="1">
        <f t="array" ref="N114">F114*$J114</f>
        <v>54.1593841545639</v>
      </c>
      <c r="O114" s="25" cm="1">
        <f t="array" ref="O114">G114*$J114</f>
        <v>-0.0336045076998672</v>
      </c>
      <c r="P114" s="2"/>
      <c r="Q114" s="25">
        <v>0.0181000000000004</v>
      </c>
      <c r="R114" s="25">
        <v>1</v>
      </c>
      <c r="S114" s="25" cm="1">
        <f t="array" ref="S114">L114/$R114</f>
        <v>0.178131511133417</v>
      </c>
      <c r="T114" s="25" cm="1">
        <f t="array" ref="T114">M114/$R114</f>
        <v>141.352261138234</v>
      </c>
      <c r="U114" s="25" cm="1">
        <f t="array" ref="U114">N114/$R114</f>
        <v>54.1593841545639</v>
      </c>
      <c r="V114" s="25" cm="1">
        <f t="array" ref="V114">O114/$R114</f>
        <v>-0.0336045076998672</v>
      </c>
      <c r="W114" s="2"/>
      <c r="X114" s="25" cm="1">
        <f t="array" ref="X114">S114-X$3-X$121</f>
        <v>-4.64665334934686</v>
      </c>
      <c r="Y114" s="25" cm="1">
        <f t="array" ref="Y114">T114-Y$3-Y$121</f>
        <v>141.328014562274</v>
      </c>
      <c r="Z114" s="25" cm="1">
        <f t="array" ref="Z114">U114-Z$3-Z$121</f>
        <v>54.0313636180848</v>
      </c>
      <c r="AA114" s="25" cm="1">
        <f t="array" ref="AA114">V114-AA$3-AA$121</f>
        <v>0.0188285069460868</v>
      </c>
      <c r="AB114" s="2"/>
      <c r="AC114" s="32" cm="1">
        <f t="array" ref="AC114">X114</f>
        <v>-4.64665334934686</v>
      </c>
      <c r="AD114" s="32" cm="1">
        <f t="array" ref="AD114">Y114</f>
        <v>141.328014562274</v>
      </c>
      <c r="AE114" s="32" cm="1">
        <f t="array" ref="AE114">Z114</f>
        <v>54.0313636180848</v>
      </c>
      <c r="AF114" s="32" cm="1">
        <f t="array" ref="AF114">AA114</f>
        <v>0.0188285069460868</v>
      </c>
    </row>
    <row r="115" ht="17" customHeight="1">
      <c r="A115" s="2"/>
      <c r="B115" t="s" s="24">
        <v>58</v>
      </c>
      <c r="C115" t="s" s="39">
        <v>174</v>
      </c>
      <c r="D115" s="25">
        <v>52.5083430425637</v>
      </c>
      <c r="E115" s="25">
        <v>7675.8274935884</v>
      </c>
      <c r="F115" s="25">
        <v>4023.690739791840</v>
      </c>
      <c r="G115" s="25">
        <v>5.61406026963413</v>
      </c>
      <c r="H115" s="2"/>
      <c r="I115" s="25">
        <v>4.7</v>
      </c>
      <c r="J115" s="25" cm="1">
        <f t="array" ref="J115">I115/1000</f>
        <v>0.0047</v>
      </c>
      <c r="K115" s="2"/>
      <c r="L115" s="25" cm="1">
        <f t="array" ref="L115">D115*$J115</f>
        <v>0.246789212300049</v>
      </c>
      <c r="M115" s="25" cm="1">
        <f t="array" ref="M115">E115*$J115</f>
        <v>36.0763892198655</v>
      </c>
      <c r="N115" s="25" cm="1">
        <f t="array" ref="N115">F115*$J115</f>
        <v>18.9113464770216</v>
      </c>
      <c r="O115" s="25" cm="1">
        <f t="array" ref="O115">G115*$J115</f>
        <v>0.0263860832672804</v>
      </c>
      <c r="P115" s="2"/>
      <c r="Q115" s="25">
        <v>0.0180000000000007</v>
      </c>
      <c r="R115" s="25">
        <v>1</v>
      </c>
      <c r="S115" s="25" cm="1">
        <f t="array" ref="S115">L115/$R115</f>
        <v>0.246789212300049</v>
      </c>
      <c r="T115" s="25" cm="1">
        <f t="array" ref="T115">M115/$R115</f>
        <v>36.0763892198655</v>
      </c>
      <c r="U115" s="25" cm="1">
        <f t="array" ref="U115">N115/$R115</f>
        <v>18.9113464770216</v>
      </c>
      <c r="V115" s="25" cm="1">
        <f t="array" ref="V115">O115/$R115</f>
        <v>0.0263860832672804</v>
      </c>
      <c r="W115" s="2"/>
      <c r="X115" s="25" cm="1">
        <f t="array" ref="X115">S115-X$3-X$121</f>
        <v>-4.57799564818023</v>
      </c>
      <c r="Y115" s="25" cm="1">
        <f t="array" ref="Y115">T115-Y$3-Y$121</f>
        <v>36.0521426439055</v>
      </c>
      <c r="Z115" s="25" cm="1">
        <f t="array" ref="Z115">U115-Z$3-Z$121</f>
        <v>18.7833259405425</v>
      </c>
      <c r="AA115" s="25" cm="1">
        <f t="array" ref="AA115">V115-AA$3-AA$121</f>
        <v>0.0788190979132344</v>
      </c>
      <c r="AB115" s="2"/>
      <c r="AC115" s="32" cm="1">
        <f t="array" ref="AC115">X115</f>
        <v>-4.57799564818023</v>
      </c>
      <c r="AD115" s="32" cm="1">
        <f t="array" ref="AD115">Y115</f>
        <v>36.0521426439055</v>
      </c>
      <c r="AE115" s="32" cm="1">
        <f t="array" ref="AE115">Z115</f>
        <v>18.7833259405425</v>
      </c>
      <c r="AF115" s="32" cm="1">
        <f t="array" ref="AF115">AA115</f>
        <v>0.0788190979132344</v>
      </c>
    </row>
    <row r="116" ht="17" customHeight="1">
      <c r="A116" s="2"/>
      <c r="B116" t="s" s="24">
        <v>60</v>
      </c>
      <c r="C116" t="s" s="39">
        <v>175</v>
      </c>
      <c r="D116" s="25">
        <v>27.8655090504976</v>
      </c>
      <c r="E116" s="25">
        <v>26104.196035269</v>
      </c>
      <c r="F116" s="25">
        <v>9675.290007277750</v>
      </c>
      <c r="G116" s="25">
        <v>-0.640203266551566</v>
      </c>
      <c r="H116" s="2"/>
      <c r="I116" s="25">
        <v>4.7</v>
      </c>
      <c r="J116" s="25" cm="1">
        <f t="array" ref="J116">I116/1000</f>
        <v>0.0047</v>
      </c>
      <c r="K116" s="2"/>
      <c r="L116" s="25" cm="1">
        <f t="array" ref="L116">D116*$J116</f>
        <v>0.130967892537339</v>
      </c>
      <c r="M116" s="25" cm="1">
        <f t="array" ref="M116">E116*$J116</f>
        <v>122.689721365764</v>
      </c>
      <c r="N116" s="25" cm="1">
        <f t="array" ref="N116">F116*$J116</f>
        <v>45.4738630342054</v>
      </c>
      <c r="O116" s="25" cm="1">
        <f t="array" ref="O116">G116*$J116</f>
        <v>-0.00300895535279236</v>
      </c>
      <c r="P116" s="2"/>
      <c r="Q116" s="25">
        <v>0.0179000000000009</v>
      </c>
      <c r="R116" s="25">
        <v>1</v>
      </c>
      <c r="S116" s="25" cm="1">
        <f t="array" ref="S116">L116/$R116</f>
        <v>0.130967892537339</v>
      </c>
      <c r="T116" s="25" cm="1">
        <f t="array" ref="T116">M116/$R116</f>
        <v>122.689721365764</v>
      </c>
      <c r="U116" s="25" cm="1">
        <f t="array" ref="U116">N116/$R116</f>
        <v>45.4738630342054</v>
      </c>
      <c r="V116" s="25" cm="1">
        <f t="array" ref="V116">O116/$R116</f>
        <v>-0.00300895535279236</v>
      </c>
      <c r="W116" s="2"/>
      <c r="X116" s="25" cm="1">
        <f t="array" ref="X116">S116-X$3-X$121</f>
        <v>-4.69381696794294</v>
      </c>
      <c r="Y116" s="25" cm="1">
        <f t="array" ref="Y116">T116-Y$3-Y$121</f>
        <v>122.665474789804</v>
      </c>
      <c r="Z116" s="25" cm="1">
        <f t="array" ref="Z116">U116-Z$3-Z$121</f>
        <v>45.3458424977263</v>
      </c>
      <c r="AA116" s="25" cm="1">
        <f t="array" ref="AA116">V116-AA$3-AA$121</f>
        <v>0.0494240592931616</v>
      </c>
      <c r="AB116" s="2"/>
      <c r="AC116" s="32" cm="1">
        <f t="array" ref="AC116">X116</f>
        <v>-4.69381696794294</v>
      </c>
      <c r="AD116" s="32" cm="1">
        <f t="array" ref="AD116">Y116</f>
        <v>122.665474789804</v>
      </c>
      <c r="AE116" s="32" cm="1">
        <f t="array" ref="AE116">Z116</f>
        <v>45.3458424977263</v>
      </c>
      <c r="AF116" s="32" cm="1">
        <f t="array" ref="AF116">AA116</f>
        <v>0.0494240592931616</v>
      </c>
    </row>
    <row r="117" ht="17" customHeight="1">
      <c r="A117" s="2"/>
      <c r="B117" t="s" s="24">
        <v>62</v>
      </c>
      <c r="C117" t="s" s="39">
        <v>176</v>
      </c>
      <c r="D117" s="25">
        <v>1746.664531494070</v>
      </c>
      <c r="E117" s="25">
        <v>34.1188197902839</v>
      </c>
      <c r="F117" s="25">
        <v>41.8348731836997</v>
      </c>
      <c r="G117" s="25">
        <v>1106.479601156740</v>
      </c>
      <c r="H117" s="2"/>
      <c r="I117" s="25">
        <v>4.7</v>
      </c>
      <c r="J117" s="25" cm="1">
        <f t="array" ref="J117">I117/1000</f>
        <v>0.0047</v>
      </c>
      <c r="K117" s="2"/>
      <c r="L117" s="25" cm="1">
        <f t="array" ref="L117">D117*$J117</f>
        <v>8.209323298022129</v>
      </c>
      <c r="M117" s="25" cm="1">
        <f t="array" ref="M117">E117*$J117</f>
        <v>0.160358453014334</v>
      </c>
      <c r="N117" s="25" cm="1">
        <f t="array" ref="N117">F117*$J117</f>
        <v>0.196623903963389</v>
      </c>
      <c r="O117" s="25" cm="1">
        <f t="array" ref="O117">G117*$J117</f>
        <v>5.20045412543668</v>
      </c>
      <c r="P117" s="2"/>
      <c r="Q117" s="25">
        <v>0.0173000000000005</v>
      </c>
      <c r="R117" s="25">
        <v>1</v>
      </c>
      <c r="S117" s="25" cm="1">
        <f t="array" ref="S117">L117/$R117</f>
        <v>8.209323298022129</v>
      </c>
      <c r="T117" s="25" cm="1">
        <f t="array" ref="T117">M117/$R117</f>
        <v>0.160358453014334</v>
      </c>
      <c r="U117" s="25" cm="1">
        <f t="array" ref="U117">N117/$R117</f>
        <v>0.196623903963389</v>
      </c>
      <c r="V117" s="25" cm="1">
        <f t="array" ref="V117">O117/$R117</f>
        <v>5.20045412543668</v>
      </c>
      <c r="W117" s="2"/>
      <c r="X117" s="25" cm="1">
        <f t="array" ref="X117">S117-X$3-X$121</f>
        <v>3.38453843754185</v>
      </c>
      <c r="Y117" s="25" cm="1">
        <f t="array" ref="Y117">T117-Y$3-Y$121</f>
        <v>0.13611187705437</v>
      </c>
      <c r="Z117" s="25" cm="1">
        <f t="array" ref="Z117">U117-Z$3-Z$121</f>
        <v>0.068603367484305</v>
      </c>
      <c r="AA117" s="25" cm="1">
        <f t="array" ref="AA117">V117-AA$3-AA$121</f>
        <v>5.25288714008263</v>
      </c>
      <c r="AB117" s="2"/>
      <c r="AC117" s="32" cm="1">
        <f t="array" ref="AC117">X117</f>
        <v>3.38453843754185</v>
      </c>
      <c r="AD117" s="32" cm="1">
        <f t="array" ref="AD117">Y117</f>
        <v>0.13611187705437</v>
      </c>
      <c r="AE117" s="32" cm="1">
        <f t="array" ref="AE117">Z117</f>
        <v>0.068603367484305</v>
      </c>
      <c r="AF117" s="32" cm="1">
        <f t="array" ref="AF117">AA117</f>
        <v>5.25288714008263</v>
      </c>
    </row>
    <row r="118" ht="17" customHeight="1">
      <c r="A118" s="2"/>
      <c r="B118" t="s" s="24">
        <v>64</v>
      </c>
      <c r="C118" t="s" s="39">
        <v>177</v>
      </c>
      <c r="D118" s="25">
        <v>901.924172798236</v>
      </c>
      <c r="E118" s="25">
        <v>27.5904761495433</v>
      </c>
      <c r="F118" s="25">
        <v>38.5269306759578</v>
      </c>
      <c r="G118" s="25">
        <v>976.026493221097</v>
      </c>
      <c r="H118" s="2"/>
      <c r="I118" s="25">
        <v>4.7</v>
      </c>
      <c r="J118" s="25" cm="1">
        <f t="array" ref="J118">I118/1000</f>
        <v>0.0047</v>
      </c>
      <c r="K118" s="2"/>
      <c r="L118" s="25" cm="1">
        <f t="array" ref="L118">D118*$J118</f>
        <v>4.23904361215171</v>
      </c>
      <c r="M118" s="25" cm="1">
        <f t="array" ref="M118">E118*$J118</f>
        <v>0.129675237902854</v>
      </c>
      <c r="N118" s="25" cm="1">
        <f t="array" ref="N118">F118*$J118</f>
        <v>0.181076574177002</v>
      </c>
      <c r="O118" s="25" cm="1">
        <f t="array" ref="O118">G118*$J118</f>
        <v>4.58732451813916</v>
      </c>
      <c r="P118" s="2"/>
      <c r="Q118" s="25">
        <v>0.0173000000000005</v>
      </c>
      <c r="R118" s="25">
        <v>1</v>
      </c>
      <c r="S118" s="25" cm="1">
        <f t="array" ref="S118">L118/$R118</f>
        <v>4.23904361215171</v>
      </c>
      <c r="T118" s="25" cm="1">
        <f t="array" ref="T118">M118/$R118</f>
        <v>0.129675237902854</v>
      </c>
      <c r="U118" s="25" cm="1">
        <f t="array" ref="U118">N118/$R118</f>
        <v>0.181076574177002</v>
      </c>
      <c r="V118" s="25" cm="1">
        <f t="array" ref="V118">O118/$R118</f>
        <v>4.58732451813916</v>
      </c>
      <c r="W118" s="2"/>
      <c r="X118" s="25" cm="1">
        <f t="array" ref="X118">S118-X$3-X$121</f>
        <v>-0.58574124832857</v>
      </c>
      <c r="Y118" s="25" cm="1">
        <f t="array" ref="Y118">T118-Y$3-Y$121</f>
        <v>0.10542866194289</v>
      </c>
      <c r="Z118" s="25" cm="1">
        <f t="array" ref="Z118">U118-Z$3-Z$121</f>
        <v>0.053056037697918</v>
      </c>
      <c r="AA118" s="25" cm="1">
        <f t="array" ref="AA118">V118-AA$3-AA$121</f>
        <v>4.63975753278511</v>
      </c>
      <c r="AB118" s="2"/>
      <c r="AC118" s="32" cm="1">
        <f t="array" ref="AC118">X118</f>
        <v>-0.58574124832857</v>
      </c>
      <c r="AD118" s="32" cm="1">
        <f t="array" ref="AD118">Y118</f>
        <v>0.10542866194289</v>
      </c>
      <c r="AE118" s="32" cm="1">
        <f t="array" ref="AE118">Z118</f>
        <v>0.053056037697918</v>
      </c>
      <c r="AF118" s="32" cm="1">
        <f t="array" ref="AF118">AA118</f>
        <v>4.63975753278511</v>
      </c>
    </row>
    <row r="119" ht="17" customHeight="1">
      <c r="A119" s="2"/>
      <c r="B119" t="s" s="24">
        <v>66</v>
      </c>
      <c r="C119" t="s" s="39">
        <v>178</v>
      </c>
      <c r="D119" s="25">
        <v>431.061206652554</v>
      </c>
      <c r="E119" s="25">
        <v>15.6136947924762</v>
      </c>
      <c r="F119" s="25">
        <v>39.8248482227385</v>
      </c>
      <c r="G119" s="25">
        <v>1319.991185637460</v>
      </c>
      <c r="H119" s="2"/>
      <c r="I119" s="25">
        <v>4.7</v>
      </c>
      <c r="J119" s="25" cm="1">
        <f t="array" ref="J119">I119/1000</f>
        <v>0.0047</v>
      </c>
      <c r="K119" s="2"/>
      <c r="L119" s="25" cm="1">
        <f t="array" ref="L119">D119*$J119</f>
        <v>2.025987671267</v>
      </c>
      <c r="M119" s="25" cm="1">
        <f t="array" ref="M119">E119*$J119</f>
        <v>0.0733843655246381</v>
      </c>
      <c r="N119" s="25" cm="1">
        <f t="array" ref="N119">F119*$J119</f>
        <v>0.187176786646871</v>
      </c>
      <c r="O119" s="25" cm="1">
        <f t="array" ref="O119">G119*$J119</f>
        <v>6.20395857249606</v>
      </c>
      <c r="P119" s="2"/>
      <c r="Q119" s="25">
        <v>0.0169999999999995</v>
      </c>
      <c r="R119" s="25">
        <v>1</v>
      </c>
      <c r="S119" s="25" cm="1">
        <f t="array" ref="S119">L119/$R119</f>
        <v>2.025987671267</v>
      </c>
      <c r="T119" s="25" cm="1">
        <f t="array" ref="T119">M119/$R119</f>
        <v>0.0733843655246381</v>
      </c>
      <c r="U119" s="25" cm="1">
        <f t="array" ref="U119">N119/$R119</f>
        <v>0.187176786646871</v>
      </c>
      <c r="V119" s="25" cm="1">
        <f t="array" ref="V119">O119/$R119</f>
        <v>6.20395857249606</v>
      </c>
      <c r="W119" s="2"/>
      <c r="X119" s="25" cm="1">
        <f t="array" ref="X119">S119-X$3-X$121</f>
        <v>-2.79879718921328</v>
      </c>
      <c r="Y119" s="25" cm="1">
        <f t="array" ref="Y119">T119-Y$3-Y$121</f>
        <v>0.0491377895646743</v>
      </c>
      <c r="Z119" s="25" cm="1">
        <f t="array" ref="Z119">U119-Z$3-Z$121</f>
        <v>0.059156250167787</v>
      </c>
      <c r="AA119" s="25" cm="1">
        <f t="array" ref="AA119">V119-AA$3-AA$121</f>
        <v>6.25639158714201</v>
      </c>
      <c r="AB119" s="2"/>
      <c r="AC119" s="32" cm="1">
        <f t="array" ref="AC119">X119</f>
        <v>-2.79879718921328</v>
      </c>
      <c r="AD119" s="32" cm="1">
        <f t="array" ref="AD119">Y119</f>
        <v>0.0491377895646743</v>
      </c>
      <c r="AE119" s="32" cm="1">
        <f t="array" ref="AE119">Z119</f>
        <v>0.059156250167787</v>
      </c>
      <c r="AF119" s="32" cm="1">
        <f t="array" ref="AF119">AA119</f>
        <v>6.25639158714201</v>
      </c>
    </row>
    <row r="120" ht="17" customHeight="1">
      <c r="A120" s="2"/>
      <c r="B120" t="s" s="24">
        <v>68</v>
      </c>
      <c r="C120" t="s" s="39">
        <v>179</v>
      </c>
      <c r="D120" s="25">
        <v>1746.664531494070</v>
      </c>
      <c r="E120" s="25">
        <v>1.65263065097192</v>
      </c>
      <c r="F120" s="25">
        <v>26.5514733689544</v>
      </c>
      <c r="G120" s="25">
        <v>-16.4206732344218</v>
      </c>
      <c r="H120" s="2"/>
      <c r="I120" s="25">
        <v>4.7</v>
      </c>
      <c r="J120" s="25" cm="1">
        <f t="array" ref="J120">I120/1000</f>
        <v>0.0047</v>
      </c>
      <c r="K120" s="2"/>
      <c r="L120" s="25" cm="1">
        <f t="array" ref="L120">D120*$J120</f>
        <v>8.209323298022129</v>
      </c>
      <c r="M120" s="25" cm="1">
        <f t="array" ref="M120">E120*$J120</f>
        <v>0.00776736405956802</v>
      </c>
      <c r="N120" s="25" cm="1">
        <f t="array" ref="N120">F120*$J120</f>
        <v>0.124791924834086</v>
      </c>
      <c r="O120" s="25" cm="1">
        <f t="array" ref="O120">G120*$J120</f>
        <v>-0.0771771642017825</v>
      </c>
      <c r="P120" s="2"/>
      <c r="Q120" s="25">
        <v>0.0169999999999995</v>
      </c>
      <c r="R120" s="25">
        <v>1</v>
      </c>
      <c r="S120" s="25" cm="1">
        <f t="array" ref="S120">L120/$R120</f>
        <v>8.209323298022129</v>
      </c>
      <c r="T120" s="25" cm="1">
        <f t="array" ref="T120">M120/$R120</f>
        <v>0.00776736405956802</v>
      </c>
      <c r="U120" s="25" cm="1">
        <f t="array" ref="U120">N120/$R120</f>
        <v>0.124791924834086</v>
      </c>
      <c r="V120" s="25" cm="1">
        <f t="array" ref="V120">O120/$R120</f>
        <v>-0.0771771642017825</v>
      </c>
      <c r="W120" s="2"/>
      <c r="X120" s="2"/>
      <c r="Y120" s="2"/>
      <c r="Z120" s="2"/>
      <c r="AA120" s="2"/>
      <c r="AB120" s="2"/>
      <c r="AC120" s="26"/>
      <c r="AD120" s="26"/>
      <c r="AE120" s="26"/>
      <c r="AF120" s="26"/>
    </row>
    <row r="121" ht="17" customHeight="1">
      <c r="A121" s="2"/>
      <c r="B121" t="s" s="24">
        <v>70</v>
      </c>
      <c r="C121" t="s" s="39">
        <v>180</v>
      </c>
      <c r="D121" s="25">
        <v>901.924172798236</v>
      </c>
      <c r="E121" s="25">
        <v>7.74804493576727</v>
      </c>
      <c r="F121" s="25">
        <v>27.1018844631123</v>
      </c>
      <c r="G121" s="25">
        <v>-8.571236809403169</v>
      </c>
      <c r="H121" s="2"/>
      <c r="I121" s="25">
        <v>4.7</v>
      </c>
      <c r="J121" s="25" cm="1">
        <f t="array" ref="J121">I121/1000</f>
        <v>0.0047</v>
      </c>
      <c r="K121" s="2"/>
      <c r="L121" s="25" cm="1">
        <f t="array" ref="L121">D121*$J121</f>
        <v>4.23904361215171</v>
      </c>
      <c r="M121" s="25" cm="1">
        <f t="array" ref="M121">E121*$J121</f>
        <v>0.0364158111981062</v>
      </c>
      <c r="N121" s="25" cm="1">
        <f t="array" ref="N121">F121*$J121</f>
        <v>0.127378856976628</v>
      </c>
      <c r="O121" s="25" cm="1">
        <f t="array" ref="O121">G121*$J121</f>
        <v>-0.0402848130041949</v>
      </c>
      <c r="P121" s="2"/>
      <c r="Q121" s="25">
        <v>0.0181000000000004</v>
      </c>
      <c r="R121" s="25">
        <v>1</v>
      </c>
      <c r="S121" s="25" cm="1">
        <f t="array" ref="S121">L121/$R121</f>
        <v>4.23904361215171</v>
      </c>
      <c r="T121" s="25" cm="1">
        <f t="array" ref="T121">M121/$R121</f>
        <v>0.0364158111981062</v>
      </c>
      <c r="U121" s="25" cm="1">
        <f t="array" ref="U121">N121/$R121</f>
        <v>0.127378856976628</v>
      </c>
      <c r="V121" s="25" cm="1">
        <f t="array" ref="V121">O121/$R121</f>
        <v>-0.0402848130041949</v>
      </c>
      <c r="W121" s="2"/>
      <c r="X121" s="25" cm="1">
        <f t="array" ref="X121">AVERAGE(S120:S122)</f>
        <v>4.82478486048028</v>
      </c>
      <c r="Y121" s="25" cm="1">
        <f t="array" ref="Y121">AVERAGE(T120:T122)</f>
        <v>0.0242465759599638</v>
      </c>
      <c r="Z121" s="25" cm="1">
        <f t="array" ref="Z121">AVERAGE(U120:U122)</f>
        <v>0.128020536479084</v>
      </c>
      <c r="AA121" s="25" cm="1">
        <f t="array" ref="AA121">AVERAGE(V120:V122)</f>
        <v>-0.052433014645954</v>
      </c>
      <c r="AB121" s="2"/>
      <c r="AC121" s="26"/>
      <c r="AD121" s="26"/>
      <c r="AE121" s="26"/>
      <c r="AF121" s="26"/>
    </row>
    <row r="122" ht="17" customHeight="1">
      <c r="A122" s="2"/>
      <c r="B122" t="s" s="36">
        <v>72</v>
      </c>
      <c r="C122" t="s" s="39">
        <v>181</v>
      </c>
      <c r="D122" s="25">
        <v>431.061206652554</v>
      </c>
      <c r="E122" s="25">
        <v>6.07586226004621</v>
      </c>
      <c r="F122" s="25">
        <v>28.0618782184123</v>
      </c>
      <c r="G122" s="25">
        <v>-8.47597164508181</v>
      </c>
      <c r="H122" s="2"/>
      <c r="I122" s="25">
        <v>4.7</v>
      </c>
      <c r="J122" s="25" cm="1">
        <f t="array" ref="J122">I122/1000</f>
        <v>0.0047</v>
      </c>
      <c r="K122" s="2"/>
      <c r="L122" s="25" cm="1">
        <f t="array" ref="L122">D122*$J122</f>
        <v>2.025987671267</v>
      </c>
      <c r="M122" s="25" cm="1">
        <f t="array" ref="M122">E122*$J122</f>
        <v>0.0285565526222172</v>
      </c>
      <c r="N122" s="25" cm="1">
        <f t="array" ref="N122">F122*$J122</f>
        <v>0.131890827626538</v>
      </c>
      <c r="O122" s="25" cm="1">
        <f t="array" ref="O122">G122*$J122</f>
        <v>-0.0398370667318845</v>
      </c>
      <c r="P122" s="2"/>
      <c r="Q122" s="25">
        <v>0.0181000000000004</v>
      </c>
      <c r="R122" s="25">
        <v>1</v>
      </c>
      <c r="S122" s="25" cm="1">
        <f t="array" ref="S122">L122/$R122</f>
        <v>2.025987671267</v>
      </c>
      <c r="T122" s="25" cm="1">
        <f t="array" ref="T122">M122/$R122</f>
        <v>0.0285565526222172</v>
      </c>
      <c r="U122" s="25" cm="1">
        <f t="array" ref="U122">N122/$R122</f>
        <v>0.131890827626538</v>
      </c>
      <c r="V122" s="25" cm="1">
        <f t="array" ref="V122">O122/$R122</f>
        <v>-0.0398370667318845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7" customHeight="1">
      <c r="A123" s="2"/>
      <c r="B123" t="s" s="19">
        <v>74</v>
      </c>
      <c r="C123" t="s" s="39">
        <v>182</v>
      </c>
      <c r="D123" s="25">
        <v>20.1739379165721</v>
      </c>
      <c r="E123" s="25">
        <v>45.3046687945934</v>
      </c>
      <c r="F123" s="25">
        <v>91.7589457128781</v>
      </c>
      <c r="G123" s="25">
        <v>-8.210244271070239</v>
      </c>
      <c r="H123" s="2"/>
      <c r="I123" s="25">
        <v>4.7</v>
      </c>
      <c r="J123" s="25" cm="1">
        <f t="array" ref="J123">I123/1000</f>
        <v>0.0047</v>
      </c>
      <c r="K123" s="2"/>
      <c r="L123" s="25" cm="1">
        <f t="array" ref="L123">D123*$J123</f>
        <v>0.0948175082078889</v>
      </c>
      <c r="M123" s="25" cm="1">
        <f t="array" ref="M123">E123*$J123</f>
        <v>0.212931943334589</v>
      </c>
      <c r="N123" s="25" cm="1">
        <f t="array" ref="N123">F123*$J123</f>
        <v>0.431267044850527</v>
      </c>
      <c r="O123" s="25" cm="1">
        <f t="array" ref="O123">G123*$J123</f>
        <v>-0.0385881480740301</v>
      </c>
      <c r="P123" s="2"/>
      <c r="Q123" s="25">
        <v>0.0184999999999995</v>
      </c>
      <c r="R123" s="25">
        <v>1</v>
      </c>
      <c r="S123" s="25" cm="1">
        <f t="array" ref="S123">L123/$R123</f>
        <v>0.0948175082078889</v>
      </c>
      <c r="T123" s="25" cm="1">
        <f t="array" ref="T123">M123/$R123</f>
        <v>0.212931943334589</v>
      </c>
      <c r="U123" s="25" cm="1">
        <f t="array" ref="U123">N123/$R123</f>
        <v>0.431267044850527</v>
      </c>
      <c r="V123" s="25" cm="1">
        <f t="array" ref="V123">O123/$R123</f>
        <v>-0.0385881480740301</v>
      </c>
      <c r="W123" s="2"/>
      <c r="X123" s="25" cm="1">
        <f t="array" ref="X123">S123-X$3-X$130</f>
        <v>-0.137051566045144</v>
      </c>
      <c r="Y123" s="25" cm="1">
        <f t="array" ref="Y123">T123-Y$3-Y$130</f>
        <v>0.187051178032267</v>
      </c>
      <c r="Z123" s="25" cm="1">
        <f t="array" ref="Z123">U123-Z$3-Z$130</f>
        <v>-0.175813545080021</v>
      </c>
      <c r="AA123" s="25" cm="1">
        <f t="array" ref="AA123">V123-AA$3-AA$130</f>
        <v>0.0158830638018575</v>
      </c>
      <c r="AB123" s="2"/>
      <c r="AC123" s="32" cm="1">
        <f t="array" ref="AC123">X123</f>
        <v>-0.137051566045144</v>
      </c>
      <c r="AD123" s="32" cm="1">
        <f t="array" ref="AD123">Y123</f>
        <v>0.187051178032267</v>
      </c>
      <c r="AE123" s="32" cm="1">
        <f t="array" ref="AE123">Z123</f>
        <v>-0.175813545080021</v>
      </c>
      <c r="AF123" s="32" cm="1">
        <f t="array" ref="AF123">AA123</f>
        <v>0.0158830638018575</v>
      </c>
    </row>
    <row r="124" ht="17" customHeight="1">
      <c r="A124" s="2"/>
      <c r="B124" t="s" s="24">
        <v>76</v>
      </c>
      <c r="C124" t="s" s="39">
        <v>183</v>
      </c>
      <c r="D124" s="25">
        <v>15.367242152695</v>
      </c>
      <c r="E124" s="25">
        <v>39.860982542657</v>
      </c>
      <c r="F124" s="25">
        <v>91.2872193124427</v>
      </c>
      <c r="G124" s="25">
        <v>-8.432579631948069</v>
      </c>
      <c r="H124" s="2"/>
      <c r="I124" s="25">
        <v>4.7</v>
      </c>
      <c r="J124" s="25" cm="1">
        <f t="array" ref="J124">I124/1000</f>
        <v>0.0047</v>
      </c>
      <c r="K124" s="2"/>
      <c r="L124" s="25" cm="1">
        <f t="array" ref="L124">D124*$J124</f>
        <v>0.07222603811766649</v>
      </c>
      <c r="M124" s="25" cm="1">
        <f t="array" ref="M124">E124*$J124</f>
        <v>0.187346617950488</v>
      </c>
      <c r="N124" s="25" cm="1">
        <f t="array" ref="N124">F124*$J124</f>
        <v>0.429049930768481</v>
      </c>
      <c r="O124" s="25" cm="1">
        <f t="array" ref="O124">G124*$J124</f>
        <v>-0.0396331242701559</v>
      </c>
      <c r="P124" s="2"/>
      <c r="Q124" s="25">
        <v>0.0176999999999996</v>
      </c>
      <c r="R124" s="25">
        <v>1</v>
      </c>
      <c r="S124" s="25" cm="1">
        <f t="array" ref="S124">L124/$R124</f>
        <v>0.07222603811766649</v>
      </c>
      <c r="T124" s="25" cm="1">
        <f t="array" ref="T124">M124/$R124</f>
        <v>0.187346617950488</v>
      </c>
      <c r="U124" s="25" cm="1">
        <f t="array" ref="U124">N124/$R124</f>
        <v>0.429049930768481</v>
      </c>
      <c r="V124" s="25" cm="1">
        <f t="array" ref="V124">O124/$R124</f>
        <v>-0.0396331242701559</v>
      </c>
      <c r="W124" s="2"/>
      <c r="X124" s="25" cm="1">
        <f t="array" ref="X124">S124-X$3-X$130</f>
        <v>-0.159643036135367</v>
      </c>
      <c r="Y124" s="25" cm="1">
        <f t="array" ref="Y124">T124-Y$3-Y$130</f>
        <v>0.161465852648166</v>
      </c>
      <c r="Z124" s="25" cm="1">
        <f t="array" ref="Z124">U124-Z$3-Z$130</f>
        <v>-0.178030659162067</v>
      </c>
      <c r="AA124" s="25" cm="1">
        <f t="array" ref="AA124">V124-AA$3-AA$130</f>
        <v>0.0148380876057317</v>
      </c>
      <c r="AB124" s="2"/>
      <c r="AC124" s="32" cm="1">
        <f t="array" ref="AC124">X124</f>
        <v>-0.159643036135367</v>
      </c>
      <c r="AD124" s="32" cm="1">
        <f t="array" ref="AD124">Y124</f>
        <v>0.161465852648166</v>
      </c>
      <c r="AE124" s="32" cm="1">
        <f t="array" ref="AE124">Z124</f>
        <v>-0.178030659162067</v>
      </c>
      <c r="AF124" s="32" cm="1">
        <f t="array" ref="AF124">AA124</f>
        <v>0.0148380876057317</v>
      </c>
    </row>
    <row r="125" ht="17" customHeight="1">
      <c r="A125" s="2"/>
      <c r="B125" t="s" s="24">
        <v>78</v>
      </c>
      <c r="C125" t="s" s="39">
        <v>184</v>
      </c>
      <c r="D125" s="25">
        <v>18.1796948978409</v>
      </c>
      <c r="E125" s="25">
        <v>39.4093936143526</v>
      </c>
      <c r="F125" s="25">
        <v>103.409893767888</v>
      </c>
      <c r="G125" s="25">
        <v>-8.037319191274371</v>
      </c>
      <c r="H125" s="2"/>
      <c r="I125" s="25">
        <v>4.7</v>
      </c>
      <c r="J125" s="25" cm="1">
        <f t="array" ref="J125">I125/1000</f>
        <v>0.0047</v>
      </c>
      <c r="K125" s="2"/>
      <c r="L125" s="25" cm="1">
        <f t="array" ref="L125">D125*$J125</f>
        <v>0.0854445660198522</v>
      </c>
      <c r="M125" s="25" cm="1">
        <f t="array" ref="M125">E125*$J125</f>
        <v>0.185224149987457</v>
      </c>
      <c r="N125" s="25" cm="1">
        <f t="array" ref="N125">F125*$J125</f>
        <v>0.486026500709074</v>
      </c>
      <c r="O125" s="25" cm="1">
        <f t="array" ref="O125">G125*$J125</f>
        <v>-0.0377754001989895</v>
      </c>
      <c r="P125" s="2"/>
      <c r="Q125" s="25">
        <v>0.0181000000000004</v>
      </c>
      <c r="R125" s="25">
        <v>1</v>
      </c>
      <c r="S125" s="25" cm="1">
        <f t="array" ref="S125">L125/$R125</f>
        <v>0.0854445660198522</v>
      </c>
      <c r="T125" s="25" cm="1">
        <f t="array" ref="T125">M125/$R125</f>
        <v>0.185224149987457</v>
      </c>
      <c r="U125" s="25" cm="1">
        <f t="array" ref="U125">N125/$R125</f>
        <v>0.486026500709074</v>
      </c>
      <c r="V125" s="25" cm="1">
        <f t="array" ref="V125">O125/$R125</f>
        <v>-0.0377754001989895</v>
      </c>
      <c r="W125" s="2"/>
      <c r="X125" s="25" cm="1">
        <f t="array" ref="X125">S125-X$3-X$130</f>
        <v>-0.146424508233181</v>
      </c>
      <c r="Y125" s="25" cm="1">
        <f t="array" ref="Y125">T125-Y$3-Y$130</f>
        <v>0.159343384685135</v>
      </c>
      <c r="Z125" s="25" cm="1">
        <f t="array" ref="Z125">U125-Z$3-Z$130</f>
        <v>-0.121054089221474</v>
      </c>
      <c r="AA125" s="25" cm="1">
        <f t="array" ref="AA125">V125-AA$3-AA$130</f>
        <v>0.0166958116768981</v>
      </c>
      <c r="AB125" s="2"/>
      <c r="AC125" s="32" cm="1">
        <f t="array" ref="AC125">X125</f>
        <v>-0.146424508233181</v>
      </c>
      <c r="AD125" s="32" cm="1">
        <f t="array" ref="AD125">Y125</f>
        <v>0.159343384685135</v>
      </c>
      <c r="AE125" s="32" cm="1">
        <f t="array" ref="AE125">Z125</f>
        <v>-0.121054089221474</v>
      </c>
      <c r="AF125" s="32" cm="1">
        <f t="array" ref="AF125">AA125</f>
        <v>0.0166958116768981</v>
      </c>
    </row>
    <row r="126" ht="17" customHeight="1">
      <c r="A126" s="2"/>
      <c r="B126" t="s" s="24">
        <v>80</v>
      </c>
      <c r="C126" t="s" s="39">
        <v>185</v>
      </c>
      <c r="D126" s="25">
        <v>32.9403432449927</v>
      </c>
      <c r="E126" s="25">
        <v>5.65840989661589</v>
      </c>
      <c r="F126" s="25">
        <v>67.25242791488731</v>
      </c>
      <c r="G126" s="25">
        <v>18.8899947231272</v>
      </c>
      <c r="H126" s="2"/>
      <c r="I126" s="25">
        <v>4.7</v>
      </c>
      <c r="J126" s="25" cm="1">
        <f t="array" ref="J126">I126/1000</f>
        <v>0.0047</v>
      </c>
      <c r="K126" s="2"/>
      <c r="L126" s="25" cm="1">
        <f t="array" ref="L126">D126*$J126</f>
        <v>0.154819613251466</v>
      </c>
      <c r="M126" s="25" cm="1">
        <f t="array" ref="M126">E126*$J126</f>
        <v>0.0265945265140947</v>
      </c>
      <c r="N126" s="25" cm="1">
        <f t="array" ref="N126">F126*$J126</f>
        <v>0.31608641119997</v>
      </c>
      <c r="O126" s="25" cm="1">
        <f t="array" ref="O126">G126*$J126</f>
        <v>0.08878297519869779</v>
      </c>
      <c r="P126" s="2"/>
      <c r="Q126" s="25">
        <v>0.0183</v>
      </c>
      <c r="R126" s="25">
        <v>1</v>
      </c>
      <c r="S126" s="25" cm="1">
        <f t="array" ref="S126">L126/$R126</f>
        <v>0.154819613251466</v>
      </c>
      <c r="T126" s="25" cm="1">
        <f t="array" ref="T126">M126/$R126</f>
        <v>0.0265945265140947</v>
      </c>
      <c r="U126" s="25" cm="1">
        <f t="array" ref="U126">N126/$R126</f>
        <v>0.31608641119997</v>
      </c>
      <c r="V126" s="25" cm="1">
        <f t="array" ref="V126">O126/$R126</f>
        <v>0.08878297519869779</v>
      </c>
      <c r="W126" s="2"/>
      <c r="X126" s="25" cm="1">
        <f t="array" ref="X126">S126-X$3-X$130</f>
        <v>-0.077049461001567</v>
      </c>
      <c r="Y126" s="25" cm="1">
        <f t="array" ref="Y126">T126-Y$3-Y$130</f>
        <v>0.0007137612117726</v>
      </c>
      <c r="Z126" s="25" cm="1">
        <f t="array" ref="Z126">U126-Z$3-Z$130</f>
        <v>-0.290994178730578</v>
      </c>
      <c r="AA126" s="25" cm="1">
        <f t="array" ref="AA126">V126-AA$3-AA$130</f>
        <v>0.143254187074585</v>
      </c>
      <c r="AB126" s="2"/>
      <c r="AC126" s="32" cm="1">
        <f t="array" ref="AC126">X126</f>
        <v>-0.077049461001567</v>
      </c>
      <c r="AD126" s="32" cm="1">
        <f t="array" ref="AD126">Y126</f>
        <v>0.0007137612117726</v>
      </c>
      <c r="AE126" s="32" cm="1">
        <f t="array" ref="AE126">Z126</f>
        <v>-0.290994178730578</v>
      </c>
      <c r="AF126" s="32" cm="1">
        <f t="array" ref="AF126">AA126</f>
        <v>0.143254187074585</v>
      </c>
    </row>
    <row r="127" ht="17" customHeight="1">
      <c r="A127" s="2"/>
      <c r="B127" t="s" s="24">
        <v>82</v>
      </c>
      <c r="C127" t="s" s="39">
        <v>186</v>
      </c>
      <c r="D127" s="25">
        <v>17.1523539066214</v>
      </c>
      <c r="E127" s="25">
        <v>3.56955722591605</v>
      </c>
      <c r="F127" s="25">
        <v>29.5669270447418</v>
      </c>
      <c r="G127" s="25">
        <v>38.4530317009839</v>
      </c>
      <c r="H127" s="2"/>
      <c r="I127" s="25">
        <v>4.7</v>
      </c>
      <c r="J127" s="25" cm="1">
        <f t="array" ref="J127">I127/1000</f>
        <v>0.0047</v>
      </c>
      <c r="K127" s="2"/>
      <c r="L127" s="25" cm="1">
        <f t="array" ref="L127">D127*$J127</f>
        <v>0.08061606336112059</v>
      </c>
      <c r="M127" s="25" cm="1">
        <f t="array" ref="M127">E127*$J127</f>
        <v>0.0167769189618054</v>
      </c>
      <c r="N127" s="25" cm="1">
        <f t="array" ref="N127">F127*$J127</f>
        <v>0.138964557110286</v>
      </c>
      <c r="O127" s="25" cm="1">
        <f t="array" ref="O127">G127*$J127</f>
        <v>0.180729248994624</v>
      </c>
      <c r="P127" s="2"/>
      <c r="Q127" s="25">
        <v>0.0183</v>
      </c>
      <c r="R127" s="25">
        <v>1</v>
      </c>
      <c r="S127" s="25" cm="1">
        <f t="array" ref="S127">L127/$R127</f>
        <v>0.08061606336112059</v>
      </c>
      <c r="T127" s="25" cm="1">
        <f t="array" ref="T127">M127/$R127</f>
        <v>0.0167769189618054</v>
      </c>
      <c r="U127" s="25" cm="1">
        <f t="array" ref="U127">N127/$R127</f>
        <v>0.138964557110286</v>
      </c>
      <c r="V127" s="25" cm="1">
        <f t="array" ref="V127">O127/$R127</f>
        <v>0.180729248994624</v>
      </c>
      <c r="W127" s="2"/>
      <c r="X127" s="25" cm="1">
        <f t="array" ref="X127">S127-X$3-X$130</f>
        <v>-0.151253010891912</v>
      </c>
      <c r="Y127" s="25" cm="1">
        <f t="array" ref="Y127">T127-Y$3-Y$130</f>
        <v>-0.0091038463405167</v>
      </c>
      <c r="Z127" s="25" cm="1">
        <f t="array" ref="Z127">U127-Z$3-Z$130</f>
        <v>-0.468116032820262</v>
      </c>
      <c r="AA127" s="25" cm="1">
        <f t="array" ref="AA127">V127-AA$3-AA$130</f>
        <v>0.235200460870512</v>
      </c>
      <c r="AB127" s="2"/>
      <c r="AC127" s="32" cm="1">
        <f t="array" ref="AC127">X127</f>
        <v>-0.151253010891912</v>
      </c>
      <c r="AD127" s="32" cm="1">
        <f t="array" ref="AD127">Y127</f>
        <v>-0.0091038463405167</v>
      </c>
      <c r="AE127" s="32" cm="1">
        <f t="array" ref="AE127">Z127</f>
        <v>-0.468116032820262</v>
      </c>
      <c r="AF127" s="32" cm="1">
        <f t="array" ref="AF127">AA127</f>
        <v>0.235200460870512</v>
      </c>
    </row>
    <row r="128" ht="17" customHeight="1">
      <c r="A128" s="2"/>
      <c r="B128" t="s" s="24">
        <v>84</v>
      </c>
      <c r="C128" t="s" s="39">
        <v>187</v>
      </c>
      <c r="D128" s="25">
        <v>12.4126765498093</v>
      </c>
      <c r="E128" s="25">
        <v>5.12597739465614</v>
      </c>
      <c r="F128" s="25">
        <v>47.1239920194114</v>
      </c>
      <c r="G128" s="25">
        <v>51.5557693560777</v>
      </c>
      <c r="H128" s="2"/>
      <c r="I128" s="25">
        <v>4.7</v>
      </c>
      <c r="J128" s="25" cm="1">
        <f t="array" ref="J128">I128/1000</f>
        <v>0.0047</v>
      </c>
      <c r="K128" s="2"/>
      <c r="L128" s="25" cm="1">
        <f t="array" ref="L128">D128*$J128</f>
        <v>0.0583395797841037</v>
      </c>
      <c r="M128" s="25" cm="1">
        <f t="array" ref="M128">E128*$J128</f>
        <v>0.0240920937548839</v>
      </c>
      <c r="N128" s="25" cm="1">
        <f t="array" ref="N128">F128*$J128</f>
        <v>0.221482762491234</v>
      </c>
      <c r="O128" s="25" cm="1">
        <f t="array" ref="O128">G128*$J128</f>
        <v>0.242312115973565</v>
      </c>
      <c r="P128" s="2"/>
      <c r="Q128" s="25">
        <v>0.0181000000000004</v>
      </c>
      <c r="R128" s="25">
        <v>1</v>
      </c>
      <c r="S128" s="25" cm="1">
        <f t="array" ref="S128">L128/$R128</f>
        <v>0.0583395797841037</v>
      </c>
      <c r="T128" s="25" cm="1">
        <f t="array" ref="T128">M128/$R128</f>
        <v>0.0240920937548839</v>
      </c>
      <c r="U128" s="25" cm="1">
        <f t="array" ref="U128">N128/$R128</f>
        <v>0.221482762491234</v>
      </c>
      <c r="V128" s="25" cm="1">
        <f t="array" ref="V128">O128/$R128</f>
        <v>0.242312115973565</v>
      </c>
      <c r="W128" s="2"/>
      <c r="X128" s="25" cm="1">
        <f t="array" ref="X128">S128-X$3-X$130</f>
        <v>-0.173529494468929</v>
      </c>
      <c r="Y128" s="25" cm="1">
        <f t="array" ref="Y128">T128-Y$3-Y$130</f>
        <v>-0.0017886715474382</v>
      </c>
      <c r="Z128" s="25" cm="1">
        <f t="array" ref="Z128">U128-Z$3-Z$130</f>
        <v>-0.385597827439314</v>
      </c>
      <c r="AA128" s="25" cm="1">
        <f t="array" ref="AA128">V128-AA$3-AA$130</f>
        <v>0.296783327849453</v>
      </c>
      <c r="AB128" s="2"/>
      <c r="AC128" s="32" cm="1">
        <f t="array" ref="AC128">X128</f>
        <v>-0.173529494468929</v>
      </c>
      <c r="AD128" s="32" cm="1">
        <f t="array" ref="AD128">Y128</f>
        <v>-0.0017886715474382</v>
      </c>
      <c r="AE128" s="32" cm="1">
        <f t="array" ref="AE128">Z128</f>
        <v>-0.385597827439314</v>
      </c>
      <c r="AF128" s="32" cm="1">
        <f t="array" ref="AF128">AA128</f>
        <v>0.296783327849453</v>
      </c>
    </row>
    <row r="129" ht="17" customHeight="1">
      <c r="A129" s="2"/>
      <c r="B129" t="s" s="24">
        <v>86</v>
      </c>
      <c r="C129" t="s" s="39">
        <v>188</v>
      </c>
      <c r="D129" s="25">
        <v>98.0930605866985</v>
      </c>
      <c r="E129" s="25">
        <v>5.87045785871056</v>
      </c>
      <c r="F129" s="25">
        <v>233.268830436846</v>
      </c>
      <c r="G129" s="25">
        <v>-17.7257824476037</v>
      </c>
      <c r="H129" s="2"/>
      <c r="I129" s="25">
        <v>4.7</v>
      </c>
      <c r="J129" s="25" cm="1">
        <f t="array" ref="J129">I129/1000</f>
        <v>0.0047</v>
      </c>
      <c r="K129" s="2"/>
      <c r="L129" s="25" cm="1">
        <f t="array" ref="L129">D129*$J129</f>
        <v>0.461037384757483</v>
      </c>
      <c r="M129" s="25" cm="1">
        <f t="array" ref="M129">E129*$J129</f>
        <v>0.0275911519359396</v>
      </c>
      <c r="N129" s="25" cm="1">
        <f t="array" ref="N129">F129*$J129</f>
        <v>1.09636350305318</v>
      </c>
      <c r="O129" s="25" cm="1">
        <f t="array" ref="O129">G129*$J129</f>
        <v>-0.0833111775037374</v>
      </c>
      <c r="P129" s="2"/>
      <c r="Q129" s="25">
        <v>0.0183999999999997</v>
      </c>
      <c r="R129" s="25">
        <v>1</v>
      </c>
      <c r="S129" s="25" cm="1">
        <f t="array" ref="S129">L129/$R129</f>
        <v>0.461037384757483</v>
      </c>
      <c r="T129" s="25" cm="1">
        <f t="array" ref="T129">M129/$R129</f>
        <v>0.0275911519359396</v>
      </c>
      <c r="U129" s="25" cm="1">
        <f t="array" ref="U129">N129/$R129</f>
        <v>1.09636350305318</v>
      </c>
      <c r="V129" s="25" cm="1">
        <f t="array" ref="V129">O129/$R129</f>
        <v>-0.0833111775037374</v>
      </c>
      <c r="W129" s="2"/>
      <c r="X129" s="2"/>
      <c r="Y129" s="2"/>
      <c r="Z129" s="2"/>
      <c r="AA129" s="2"/>
      <c r="AB129" s="2"/>
      <c r="AC129" s="26"/>
      <c r="AD129" s="26"/>
      <c r="AE129" s="26"/>
      <c r="AF129" s="26"/>
    </row>
    <row r="130" ht="17" customHeight="1">
      <c r="A130" s="2"/>
      <c r="B130" t="s" s="24">
        <v>88</v>
      </c>
      <c r="C130" t="s" s="39">
        <v>189</v>
      </c>
      <c r="D130" s="25">
        <v>23.5517155159458</v>
      </c>
      <c r="E130" s="25">
        <v>4.41407982367024</v>
      </c>
      <c r="F130" s="25">
        <v>32.6210400199522</v>
      </c>
      <c r="G130" s="25">
        <v>-8.55207902933159</v>
      </c>
      <c r="H130" s="2"/>
      <c r="I130" s="25">
        <v>4.7</v>
      </c>
      <c r="J130" s="25" cm="1">
        <f t="array" ref="J130">I130/1000</f>
        <v>0.0047</v>
      </c>
      <c r="K130" s="2"/>
      <c r="L130" s="25" cm="1">
        <f t="array" ref="L130">D130*$J130</f>
        <v>0.110693062924945</v>
      </c>
      <c r="M130" s="25" cm="1">
        <f t="array" ref="M130">E130*$J130</f>
        <v>0.0207461751712501</v>
      </c>
      <c r="N130" s="25" cm="1">
        <f t="array" ref="N130">F130*$J130</f>
        <v>0.153318888093775</v>
      </c>
      <c r="O130" s="25" cm="1">
        <f t="array" ref="O130">G130*$J130</f>
        <v>-0.0401947714378585</v>
      </c>
      <c r="P130" s="2"/>
      <c r="Q130" s="25">
        <v>0.0186000000000011</v>
      </c>
      <c r="R130" s="25">
        <v>1</v>
      </c>
      <c r="S130" s="25" cm="1">
        <f t="array" ref="S130">L130/$R130</f>
        <v>0.110693062924945</v>
      </c>
      <c r="T130" s="25" cm="1">
        <f t="array" ref="T130">M130/$R130</f>
        <v>0.0207461751712501</v>
      </c>
      <c r="U130" s="25" cm="1">
        <f t="array" ref="U130">N130/$R130</f>
        <v>0.153318888093775</v>
      </c>
      <c r="V130" s="25" cm="1">
        <f t="array" ref="V130">O130/$R130</f>
        <v>-0.0401947714378585</v>
      </c>
      <c r="W130" s="2"/>
      <c r="X130" s="25" cm="1">
        <f t="array" ref="X130">AVERAGE(S129:S131)</f>
        <v>0.231869074253033</v>
      </c>
      <c r="Y130" s="25" cm="1">
        <f t="array" ref="Y130">AVERAGE(T129:T131)</f>
        <v>0.0258807653023221</v>
      </c>
      <c r="Z130" s="25" cm="1">
        <f t="array" ref="Z130">AVERAGE(U129:U131)</f>
        <v>0.607080589930548</v>
      </c>
      <c r="AA130" s="25" cm="1">
        <f t="array" ref="AA130">AVERAGE(V129:V131)</f>
        <v>-0.0544712118758876</v>
      </c>
      <c r="AB130" s="2"/>
      <c r="AC130" s="26"/>
      <c r="AD130" s="26"/>
      <c r="AE130" s="26"/>
      <c r="AF130" s="26"/>
    </row>
    <row r="131" ht="17" customHeight="1">
      <c r="A131" s="2"/>
      <c r="B131" t="s" s="36">
        <v>90</v>
      </c>
      <c r="C131" t="s" s="39">
        <v>190</v>
      </c>
      <c r="D131" s="25">
        <v>26.356760654611</v>
      </c>
      <c r="E131" s="25">
        <v>6.23509974463334</v>
      </c>
      <c r="F131" s="25">
        <v>121.608378435040</v>
      </c>
      <c r="G131" s="25">
        <v>-8.49099716724827</v>
      </c>
      <c r="H131" s="2"/>
      <c r="I131" s="25">
        <v>4.7</v>
      </c>
      <c r="J131" s="25" cm="1">
        <f t="array" ref="J131">I131/1000</f>
        <v>0.0047</v>
      </c>
      <c r="K131" s="2"/>
      <c r="L131" s="25" cm="1">
        <f t="array" ref="L131">D131*$J131</f>
        <v>0.123876775076672</v>
      </c>
      <c r="M131" s="25" cm="1">
        <f t="array" ref="M131">E131*$J131</f>
        <v>0.0293049687997767</v>
      </c>
      <c r="N131" s="25" cm="1">
        <f t="array" ref="N131">F131*$J131</f>
        <v>0.571559378644688</v>
      </c>
      <c r="O131" s="25" cm="1">
        <f t="array" ref="O131">G131*$J131</f>
        <v>-0.0399076866860669</v>
      </c>
      <c r="P131" s="2"/>
      <c r="Q131" s="25">
        <v>0.017199999999999</v>
      </c>
      <c r="R131" s="25">
        <v>1</v>
      </c>
      <c r="S131" s="25" cm="1">
        <f t="array" ref="S131">L131/$R131</f>
        <v>0.123876775076672</v>
      </c>
      <c r="T131" s="25" cm="1">
        <f t="array" ref="T131">M131/$R131</f>
        <v>0.0293049687997767</v>
      </c>
      <c r="U131" s="25" cm="1">
        <f t="array" ref="U131">N131/$R131</f>
        <v>0.571559378644688</v>
      </c>
      <c r="V131" s="25" cm="1">
        <f t="array" ref="V131">O131/$R131</f>
        <v>-0.0399076866860669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7" customHeight="1">
      <c r="A132" s="2"/>
      <c r="B132" t="s" s="19">
        <v>92</v>
      </c>
      <c r="C132" t="s" s="39">
        <v>191</v>
      </c>
      <c r="D132" s="25">
        <v>37.6533380054285</v>
      </c>
      <c r="E132" s="25">
        <v>81.6253430446591</v>
      </c>
      <c r="F132" s="25">
        <v>1889.665465971680</v>
      </c>
      <c r="G132" s="25">
        <v>0.279906107452378</v>
      </c>
      <c r="H132" s="2"/>
      <c r="I132" s="25">
        <v>4.7</v>
      </c>
      <c r="J132" s="25" cm="1">
        <f t="array" ref="J132">I132/1000</f>
        <v>0.0047</v>
      </c>
      <c r="K132" s="2"/>
      <c r="L132" s="25" cm="1">
        <f t="array" ref="L132">D132*$J132</f>
        <v>0.176970688625514</v>
      </c>
      <c r="M132" s="25" cm="1">
        <f t="array" ref="M132">E132*$J132</f>
        <v>0.383639112309898</v>
      </c>
      <c r="N132" s="25" cm="1">
        <f t="array" ref="N132">F132*$J132</f>
        <v>8.8814276900669</v>
      </c>
      <c r="O132" s="25" cm="1">
        <f t="array" ref="O132">G132*$J132</f>
        <v>0.00131555870502618</v>
      </c>
      <c r="P132" s="2"/>
      <c r="Q132" s="25">
        <v>0.0177999999999994</v>
      </c>
      <c r="R132" s="25">
        <v>1</v>
      </c>
      <c r="S132" s="25" cm="1">
        <f t="array" ref="S132">L132/$R132</f>
        <v>0.176970688625514</v>
      </c>
      <c r="T132" s="25" cm="1">
        <f t="array" ref="T132">M132/$R132</f>
        <v>0.383639112309898</v>
      </c>
      <c r="U132" s="25" cm="1">
        <f t="array" ref="U132">N132/$R132</f>
        <v>8.8814276900669</v>
      </c>
      <c r="V132" s="25" cm="1">
        <f t="array" ref="V132">O132/$R132</f>
        <v>0.00131555870502618</v>
      </c>
      <c r="W132" s="2"/>
      <c r="X132" s="25" cm="1">
        <f t="array" ref="X132">S132-X$3-X$139</f>
        <v>0.031339873992912</v>
      </c>
      <c r="Y132" s="25" cm="1">
        <f t="array" ref="Y132">T132-Y$3-Y$139</f>
        <v>0.365848118208674</v>
      </c>
      <c r="Z132" s="25" cm="1">
        <f t="array" ref="Z132">U132-Z$3-Z$139</f>
        <v>8.73320590450915</v>
      </c>
      <c r="AA132" s="25" cm="1">
        <f t="array" ref="AA132">V132-AA$3-AA$139</f>
        <v>0.0327935305145724</v>
      </c>
      <c r="AB132" s="2"/>
      <c r="AC132" s="32" cm="1">
        <f t="array" ref="AC132">X132</f>
        <v>0.031339873992912</v>
      </c>
      <c r="AD132" s="32" cm="1">
        <f t="array" ref="AD132">Y132</f>
        <v>0.365848118208674</v>
      </c>
      <c r="AE132" s="32" cm="1">
        <f t="array" ref="AE132">Z132</f>
        <v>8.73320590450915</v>
      </c>
      <c r="AF132" s="32" cm="1">
        <f t="array" ref="AF132">AA132</f>
        <v>0.0327935305145724</v>
      </c>
    </row>
    <row r="133" ht="17" customHeight="1">
      <c r="A133" s="2"/>
      <c r="B133" t="s" s="24">
        <v>94</v>
      </c>
      <c r="C133" t="s" s="39">
        <v>192</v>
      </c>
      <c r="D133" s="25">
        <v>20.5156649446061</v>
      </c>
      <c r="E133" s="25">
        <v>68.9222425022428</v>
      </c>
      <c r="F133" s="25">
        <v>845.449752225724</v>
      </c>
      <c r="G133" s="25">
        <v>-5.41336057619613</v>
      </c>
      <c r="H133" s="2"/>
      <c r="I133" s="25">
        <v>4.7</v>
      </c>
      <c r="J133" s="25" cm="1">
        <f t="array" ref="J133">I133/1000</f>
        <v>0.0047</v>
      </c>
      <c r="K133" s="2"/>
      <c r="L133" s="25" cm="1">
        <f t="array" ref="L133">D133*$J133</f>
        <v>0.0964236252396487</v>
      </c>
      <c r="M133" s="25" cm="1">
        <f t="array" ref="M133">E133*$J133</f>
        <v>0.323934539760541</v>
      </c>
      <c r="N133" s="25" cm="1">
        <f t="array" ref="N133">F133*$J133</f>
        <v>3.9736138354609</v>
      </c>
      <c r="O133" s="25" cm="1">
        <f t="array" ref="O133">G133*$J133</f>
        <v>-0.0254427947081218</v>
      </c>
      <c r="P133" s="2"/>
      <c r="Q133" s="25">
        <v>0.0167000000000002</v>
      </c>
      <c r="R133" s="25">
        <v>1</v>
      </c>
      <c r="S133" s="25" cm="1">
        <f t="array" ref="S133">L133/$R133</f>
        <v>0.0964236252396487</v>
      </c>
      <c r="T133" s="25" cm="1">
        <f t="array" ref="T133">M133/$R133</f>
        <v>0.323934539760541</v>
      </c>
      <c r="U133" s="25" cm="1">
        <f t="array" ref="U133">N133/$R133</f>
        <v>3.9736138354609</v>
      </c>
      <c r="V133" s="25" cm="1">
        <f t="array" ref="V133">O133/$R133</f>
        <v>-0.0254427947081218</v>
      </c>
      <c r="W133" s="2"/>
      <c r="X133" s="25" cm="1">
        <f t="array" ref="X133">S133-X$3-X$139</f>
        <v>-0.0492071893929533</v>
      </c>
      <c r="Y133" s="25" cm="1">
        <f t="array" ref="Y133">T133-Y$3-Y$139</f>
        <v>0.306143545659317</v>
      </c>
      <c r="Z133" s="25" cm="1">
        <f t="array" ref="Z133">U133-Z$3-Z$139</f>
        <v>3.82539204990315</v>
      </c>
      <c r="AA133" s="25" cm="1">
        <f t="array" ref="AA133">V133-AA$3-AA$139</f>
        <v>0.0060351771014244</v>
      </c>
      <c r="AB133" s="2"/>
      <c r="AC133" s="32" cm="1">
        <f t="array" ref="AC133">X133</f>
        <v>-0.0492071893929533</v>
      </c>
      <c r="AD133" s="32" cm="1">
        <f t="array" ref="AD133">Y133</f>
        <v>0.306143545659317</v>
      </c>
      <c r="AE133" s="32" cm="1">
        <f t="array" ref="AE133">Z133</f>
        <v>3.82539204990315</v>
      </c>
      <c r="AF133" s="32" cm="1">
        <f t="array" ref="AF133">AA133</f>
        <v>0.0060351771014244</v>
      </c>
    </row>
    <row r="134" ht="17" customHeight="1">
      <c r="A134" s="2"/>
      <c r="B134" t="s" s="24">
        <v>96</v>
      </c>
      <c r="C134" t="s" s="39">
        <v>193</v>
      </c>
      <c r="D134" s="25">
        <v>25.3671331505675</v>
      </c>
      <c r="E134" s="25">
        <v>88.7496477696566</v>
      </c>
      <c r="F134" s="25">
        <v>1014.651045708810</v>
      </c>
      <c r="G134" s="25">
        <v>-4.82770458759306</v>
      </c>
      <c r="H134" s="2"/>
      <c r="I134" s="25">
        <v>4.7</v>
      </c>
      <c r="J134" s="25" cm="1">
        <f t="array" ref="J134">I134/1000</f>
        <v>0.0047</v>
      </c>
      <c r="K134" s="2"/>
      <c r="L134" s="25" cm="1">
        <f t="array" ref="L134">D134*$J134</f>
        <v>0.119225525807667</v>
      </c>
      <c r="M134" s="25" cm="1">
        <f t="array" ref="M134">E134*$J134</f>
        <v>0.417123344517386</v>
      </c>
      <c r="N134" s="25" cm="1">
        <f t="array" ref="N134">F134*$J134</f>
        <v>4.76885991483141</v>
      </c>
      <c r="O134" s="25" cm="1">
        <f t="array" ref="O134">G134*$J134</f>
        <v>-0.0226902115616874</v>
      </c>
      <c r="P134" s="2"/>
      <c r="Q134" s="25">
        <v>0.0175999999999998</v>
      </c>
      <c r="R134" s="25">
        <v>1</v>
      </c>
      <c r="S134" s="25" cm="1">
        <f t="array" ref="S134">L134/$R134</f>
        <v>0.119225525807667</v>
      </c>
      <c r="T134" s="25" cm="1">
        <f t="array" ref="T134">M134/$R134</f>
        <v>0.417123344517386</v>
      </c>
      <c r="U134" s="25" cm="1">
        <f t="array" ref="U134">N134/$R134</f>
        <v>4.76885991483141</v>
      </c>
      <c r="V134" s="25" cm="1">
        <f t="array" ref="V134">O134/$R134</f>
        <v>-0.0226902115616874</v>
      </c>
      <c r="W134" s="2"/>
      <c r="X134" s="25" cm="1">
        <f t="array" ref="X134">S134-X$3-X$139</f>
        <v>-0.026405288824935</v>
      </c>
      <c r="Y134" s="25" cm="1">
        <f t="array" ref="Y134">T134-Y$3-Y$139</f>
        <v>0.399332350416162</v>
      </c>
      <c r="Z134" s="25" cm="1">
        <f t="array" ref="Z134">U134-Z$3-Z$139</f>
        <v>4.62063812927366</v>
      </c>
      <c r="AA134" s="25" cm="1">
        <f t="array" ref="AA134">V134-AA$3-AA$139</f>
        <v>0.0087877602478588</v>
      </c>
      <c r="AB134" s="2"/>
      <c r="AC134" s="32" cm="1">
        <f t="array" ref="AC134">X134</f>
        <v>-0.026405288824935</v>
      </c>
      <c r="AD134" s="32" cm="1">
        <f t="array" ref="AD134">Y134</f>
        <v>0.399332350416162</v>
      </c>
      <c r="AE134" s="32" cm="1">
        <f t="array" ref="AE134">Z134</f>
        <v>4.62063812927366</v>
      </c>
      <c r="AF134" s="32" cm="1">
        <f t="array" ref="AF134">AA134</f>
        <v>0.0087877602478588</v>
      </c>
    </row>
    <row r="135" ht="17" customHeight="1">
      <c r="A135" s="2"/>
      <c r="B135" t="s" s="24">
        <v>98</v>
      </c>
      <c r="C135" t="s" s="39">
        <v>194</v>
      </c>
      <c r="D135" s="25">
        <v>22.2673731512346</v>
      </c>
      <c r="E135" s="25">
        <v>3.48332086275589</v>
      </c>
      <c r="F135" s="25">
        <v>28.9297201811736</v>
      </c>
      <c r="G135" s="25">
        <v>72.6297717625129</v>
      </c>
      <c r="H135" s="2"/>
      <c r="I135" s="25">
        <v>4.7</v>
      </c>
      <c r="J135" s="25" cm="1">
        <f t="array" ref="J135">I135/1000</f>
        <v>0.0047</v>
      </c>
      <c r="K135" s="2"/>
      <c r="L135" s="25" cm="1">
        <f t="array" ref="L135">D135*$J135</f>
        <v>0.104656653810803</v>
      </c>
      <c r="M135" s="25" cm="1">
        <f t="array" ref="M135">E135*$J135</f>
        <v>0.0163716080549527</v>
      </c>
      <c r="N135" s="25" cm="1">
        <f t="array" ref="N135">F135*$J135</f>
        <v>0.135969684851516</v>
      </c>
      <c r="O135" s="25" cm="1">
        <f t="array" ref="O135">G135*$J135</f>
        <v>0.341359927283811</v>
      </c>
      <c r="P135" s="2"/>
      <c r="Q135" s="25">
        <v>0.0182000000000002</v>
      </c>
      <c r="R135" s="25">
        <v>1</v>
      </c>
      <c r="S135" s="25" cm="1">
        <f t="array" ref="S135">L135/$R135</f>
        <v>0.104656653810803</v>
      </c>
      <c r="T135" s="25" cm="1">
        <f t="array" ref="T135">M135/$R135</f>
        <v>0.0163716080549527</v>
      </c>
      <c r="U135" s="25" cm="1">
        <f t="array" ref="U135">N135/$R135</f>
        <v>0.135969684851516</v>
      </c>
      <c r="V135" s="25" cm="1">
        <f t="array" ref="V135">O135/$R135</f>
        <v>0.341359927283811</v>
      </c>
      <c r="W135" s="2"/>
      <c r="X135" s="25" cm="1">
        <f t="array" ref="X135">S135-X$3-X$139</f>
        <v>-0.040974160821799</v>
      </c>
      <c r="Y135" s="25" cm="1">
        <f t="array" ref="Y135">T135-Y$3-Y$139</f>
        <v>-0.0014193860462713</v>
      </c>
      <c r="Z135" s="25" cm="1">
        <f t="array" ref="Z135">U135-Z$3-Z$139</f>
        <v>-0.012252100706234</v>
      </c>
      <c r="AA135" s="25" cm="1">
        <f t="array" ref="AA135">V135-AA$3-AA$139</f>
        <v>0.372837899093357</v>
      </c>
      <c r="AB135" s="2"/>
      <c r="AC135" s="32" cm="1">
        <f t="array" ref="AC135">X135</f>
        <v>-0.040974160821799</v>
      </c>
      <c r="AD135" s="32" cm="1">
        <f t="array" ref="AD135">Y135</f>
        <v>-0.0014193860462713</v>
      </c>
      <c r="AE135" s="32" cm="1">
        <f t="array" ref="AE135">Z135</f>
        <v>-0.012252100706234</v>
      </c>
      <c r="AF135" s="32" cm="1">
        <f t="array" ref="AF135">AA135</f>
        <v>0.372837899093357</v>
      </c>
    </row>
    <row r="136" ht="17" customHeight="1">
      <c r="A136" s="2"/>
      <c r="B136" t="s" s="24">
        <v>100</v>
      </c>
      <c r="C136" t="s" s="39">
        <v>195</v>
      </c>
      <c r="D136" s="25">
        <v>24.8739357168458</v>
      </c>
      <c r="E136" s="25">
        <v>4.17487317968541</v>
      </c>
      <c r="F136" s="25">
        <v>34.485306501125</v>
      </c>
      <c r="G136" s="25">
        <v>60.0914986152363</v>
      </c>
      <c r="H136" s="2"/>
      <c r="I136" s="25">
        <v>4.7</v>
      </c>
      <c r="J136" s="25" cm="1">
        <f t="array" ref="J136">I136/1000</f>
        <v>0.0047</v>
      </c>
      <c r="K136" s="2"/>
      <c r="L136" s="25" cm="1">
        <f t="array" ref="L136">D136*$J136</f>
        <v>0.116907497869175</v>
      </c>
      <c r="M136" s="25" cm="1">
        <f t="array" ref="M136">E136*$J136</f>
        <v>0.0196219039445214</v>
      </c>
      <c r="N136" s="25" cm="1">
        <f t="array" ref="N136">F136*$J136</f>
        <v>0.162080940555288</v>
      </c>
      <c r="O136" s="25" cm="1">
        <f t="array" ref="O136">G136*$J136</f>
        <v>0.282430043491611</v>
      </c>
      <c r="P136" s="2"/>
      <c r="Q136" s="25">
        <v>0.0175999999999998</v>
      </c>
      <c r="R136" s="25">
        <v>1</v>
      </c>
      <c r="S136" s="25" cm="1">
        <f t="array" ref="S136">L136/$R136</f>
        <v>0.116907497869175</v>
      </c>
      <c r="T136" s="25" cm="1">
        <f t="array" ref="T136">M136/$R136</f>
        <v>0.0196219039445214</v>
      </c>
      <c r="U136" s="25" cm="1">
        <f t="array" ref="U136">N136/$R136</f>
        <v>0.162080940555288</v>
      </c>
      <c r="V136" s="25" cm="1">
        <f t="array" ref="V136">O136/$R136</f>
        <v>0.282430043491611</v>
      </c>
      <c r="W136" s="2"/>
      <c r="X136" s="25" cm="1">
        <f t="array" ref="X136">S136-X$3-X$139</f>
        <v>-0.028723316763427</v>
      </c>
      <c r="Y136" s="25" cm="1">
        <f t="array" ref="Y136">T136-Y$3-Y$139</f>
        <v>0.0018309098432974</v>
      </c>
      <c r="Z136" s="25" cm="1">
        <f t="array" ref="Z136">U136-Z$3-Z$139</f>
        <v>0.013859154997538</v>
      </c>
      <c r="AA136" s="25" cm="1">
        <f t="array" ref="AA136">V136-AA$3-AA$139</f>
        <v>0.313908015301157</v>
      </c>
      <c r="AB136" s="2"/>
      <c r="AC136" s="32" cm="1">
        <f t="array" ref="AC136">X136</f>
        <v>-0.028723316763427</v>
      </c>
      <c r="AD136" s="32" cm="1">
        <f t="array" ref="AD136">Y136</f>
        <v>0.0018309098432974</v>
      </c>
      <c r="AE136" s="32" cm="1">
        <f t="array" ref="AE136">Z136</f>
        <v>0.013859154997538</v>
      </c>
      <c r="AF136" s="32" cm="1">
        <f t="array" ref="AF136">AA136</f>
        <v>0.313908015301157</v>
      </c>
    </row>
    <row r="137" ht="17" customHeight="1">
      <c r="A137" s="2"/>
      <c r="B137" t="s" s="24">
        <v>102</v>
      </c>
      <c r="C137" t="s" s="39">
        <v>196</v>
      </c>
      <c r="D137" s="25">
        <v>22.8233977741995</v>
      </c>
      <c r="E137" s="25">
        <v>3.8872253051239</v>
      </c>
      <c r="F137" s="25">
        <v>26.4413039292974</v>
      </c>
      <c r="G137" s="25">
        <v>106.202238166319</v>
      </c>
      <c r="H137" s="2"/>
      <c r="I137" s="25">
        <v>4.7</v>
      </c>
      <c r="J137" s="25" cm="1">
        <f t="array" ref="J137">I137/1000</f>
        <v>0.0047</v>
      </c>
      <c r="K137" s="2"/>
      <c r="L137" s="25" cm="1">
        <f t="array" ref="L137">D137*$J137</f>
        <v>0.107269969538738</v>
      </c>
      <c r="M137" s="25" cm="1">
        <f t="array" ref="M137">E137*$J137</f>
        <v>0.0182699589340823</v>
      </c>
      <c r="N137" s="25" cm="1">
        <f t="array" ref="N137">F137*$J137</f>
        <v>0.124274128467698</v>
      </c>
      <c r="O137" s="25" cm="1">
        <f t="array" ref="O137">G137*$J137</f>
        <v>0.499150519381699</v>
      </c>
      <c r="P137" s="2"/>
      <c r="Q137" s="25">
        <v>0.0175999999999998</v>
      </c>
      <c r="R137" s="25">
        <v>1</v>
      </c>
      <c r="S137" s="25" cm="1">
        <f t="array" ref="S137">L137/$R137</f>
        <v>0.107269969538738</v>
      </c>
      <c r="T137" s="25" cm="1">
        <f t="array" ref="T137">M137/$R137</f>
        <v>0.0182699589340823</v>
      </c>
      <c r="U137" s="25" cm="1">
        <f t="array" ref="U137">N137/$R137</f>
        <v>0.124274128467698</v>
      </c>
      <c r="V137" s="25" cm="1">
        <f t="array" ref="V137">O137/$R137</f>
        <v>0.499150519381699</v>
      </c>
      <c r="W137" s="2"/>
      <c r="X137" s="25" cm="1">
        <f t="array" ref="X137">S137-X$3-X$139</f>
        <v>-0.038360845093864</v>
      </c>
      <c r="Y137" s="25" cm="1">
        <f t="array" ref="Y137">T137-Y$3-Y$139</f>
        <v>0.0004789648328583</v>
      </c>
      <c r="Z137" s="25" cm="1">
        <f t="array" ref="Z137">U137-Z$3-Z$139</f>
        <v>-0.023947657090052</v>
      </c>
      <c r="AA137" s="25" cm="1">
        <f t="array" ref="AA137">V137-AA$3-AA$139</f>
        <v>0.530628491191245</v>
      </c>
      <c r="AB137" s="2"/>
      <c r="AC137" s="32" cm="1">
        <f t="array" ref="AC137">X137</f>
        <v>-0.038360845093864</v>
      </c>
      <c r="AD137" s="32" cm="1">
        <f t="array" ref="AD137">Y137</f>
        <v>0.0004789648328583</v>
      </c>
      <c r="AE137" s="32" cm="1">
        <f t="array" ref="AE137">Z137</f>
        <v>-0.023947657090052</v>
      </c>
      <c r="AF137" s="32" cm="1">
        <f t="array" ref="AF137">AA137</f>
        <v>0.530628491191245</v>
      </c>
    </row>
    <row r="138" ht="17" customHeight="1">
      <c r="A138" s="2"/>
      <c r="B138" t="s" s="24">
        <v>104</v>
      </c>
      <c r="C138" t="s" s="39">
        <v>197</v>
      </c>
      <c r="D138" s="25">
        <v>20.5944099883549</v>
      </c>
      <c r="E138" s="25">
        <v>3.42597239144709</v>
      </c>
      <c r="F138" s="25">
        <v>33.1222346048387</v>
      </c>
      <c r="G138" s="25">
        <v>-8.624261006639131</v>
      </c>
      <c r="H138" s="2"/>
      <c r="I138" s="25">
        <v>4.7</v>
      </c>
      <c r="J138" s="25" cm="1">
        <f t="array" ref="J138">I138/1000</f>
        <v>0.0047</v>
      </c>
      <c r="K138" s="2"/>
      <c r="L138" s="25" cm="1">
        <f t="array" ref="L138">D138*$J138</f>
        <v>0.096793726945268</v>
      </c>
      <c r="M138" s="25" cm="1">
        <f t="array" ref="M138">E138*$J138</f>
        <v>0.0161020702398013</v>
      </c>
      <c r="N138" s="25" cm="1">
        <f t="array" ref="N138">F138*$J138</f>
        <v>0.155674502642742</v>
      </c>
      <c r="O138" s="25" cm="1">
        <f t="array" ref="O138">G138*$J138</f>
        <v>-0.0405340267312039</v>
      </c>
      <c r="P138" s="2"/>
      <c r="Q138" s="25">
        <v>0.175599999999999</v>
      </c>
      <c r="R138" s="25">
        <v>1</v>
      </c>
      <c r="S138" s="25" cm="1">
        <f t="array" ref="S138">L138/$R138</f>
        <v>0.096793726945268</v>
      </c>
      <c r="T138" s="25" cm="1">
        <f t="array" ref="T138">M138/$R138</f>
        <v>0.0161020702398013</v>
      </c>
      <c r="U138" s="25" cm="1">
        <f t="array" ref="U138">N138/$R138</f>
        <v>0.155674502642742</v>
      </c>
      <c r="V138" s="25" cm="1">
        <f t="array" ref="V138">O138/$R138</f>
        <v>-0.0405340267312039</v>
      </c>
      <c r="W138" s="2"/>
      <c r="X138" s="2"/>
      <c r="Y138" s="2"/>
      <c r="Z138" s="2"/>
      <c r="AA138" s="2"/>
      <c r="AB138" s="2"/>
      <c r="AC138" s="26"/>
      <c r="AD138" s="26"/>
      <c r="AE138" s="26"/>
      <c r="AF138" s="26"/>
    </row>
    <row r="139" ht="17" customHeight="1">
      <c r="A139" s="2"/>
      <c r="B139" t="s" s="24">
        <v>106</v>
      </c>
      <c r="C139" t="s" s="39">
        <v>198</v>
      </c>
      <c r="D139" s="25">
        <v>24.3339564807378</v>
      </c>
      <c r="E139" s="25">
        <v>3.21560084952035</v>
      </c>
      <c r="F139" s="25">
        <v>29.5048413751156</v>
      </c>
      <c r="G139" s="25">
        <v>-3.1940094965506</v>
      </c>
      <c r="H139" s="2"/>
      <c r="I139" s="25">
        <v>4.7</v>
      </c>
      <c r="J139" s="25" cm="1">
        <f t="array" ref="J139">I139/1000</f>
        <v>0.0047</v>
      </c>
      <c r="K139" s="2"/>
      <c r="L139" s="25" cm="1">
        <f t="array" ref="L139">D139*$J139</f>
        <v>0.114369595459468</v>
      </c>
      <c r="M139" s="25" cm="1">
        <f t="array" ref="M139">E139*$J139</f>
        <v>0.0151133239927456</v>
      </c>
      <c r="N139" s="25" cm="1">
        <f t="array" ref="N139">F139*$J139</f>
        <v>0.138672754463043</v>
      </c>
      <c r="O139" s="25" cm="1">
        <f t="array" ref="O139">G139*$J139</f>
        <v>-0.0150118446337878</v>
      </c>
      <c r="P139" s="2"/>
      <c r="Q139" s="25">
        <v>0.0177000000000014</v>
      </c>
      <c r="R139" s="25">
        <v>1</v>
      </c>
      <c r="S139" s="25" cm="1">
        <f t="array" ref="S139">L139/$R139</f>
        <v>0.114369595459468</v>
      </c>
      <c r="T139" s="25" cm="1">
        <f t="array" ref="T139">M139/$R139</f>
        <v>0.0151133239927456</v>
      </c>
      <c r="U139" s="25" cm="1">
        <f t="array" ref="U139">N139/$R139</f>
        <v>0.138672754463043</v>
      </c>
      <c r="V139" s="25" cm="1">
        <f t="array" ref="V139">O139/$R139</f>
        <v>-0.0150118446337878</v>
      </c>
      <c r="W139" s="2"/>
      <c r="X139" s="25" cm="1">
        <f t="array" ref="X139">AVERAGE(S138:S140)</f>
        <v>0.145630814632602</v>
      </c>
      <c r="Y139" s="25" cm="1">
        <f t="array" ref="Y139">AVERAGE(T138:T140)</f>
        <v>0.017790994101224</v>
      </c>
      <c r="Z139" s="25" cm="1">
        <f t="array" ref="Z139">AVERAGE(U138:U140)</f>
        <v>0.14822178555775</v>
      </c>
      <c r="AA139" s="25" cm="1">
        <f t="array" ref="AA139">AVERAGE(V138:V140)</f>
        <v>-0.0314779718095462</v>
      </c>
      <c r="AB139" s="2"/>
      <c r="AC139" s="26"/>
      <c r="AD139" s="26"/>
      <c r="AE139" s="26"/>
      <c r="AF139" s="26"/>
    </row>
    <row r="140" ht="17" customHeight="1">
      <c r="A140" s="2"/>
      <c r="B140" t="s" s="24">
        <v>108</v>
      </c>
      <c r="C140" t="s" s="39">
        <v>199</v>
      </c>
      <c r="D140" s="25">
        <v>48.0274726580997</v>
      </c>
      <c r="E140" s="25">
        <v>4.71438044066494</v>
      </c>
      <c r="F140" s="25">
        <v>31.9825743760563</v>
      </c>
      <c r="G140" s="25">
        <v>-8.274051928435529</v>
      </c>
      <c r="H140" s="2"/>
      <c r="I140" s="25">
        <v>4.7</v>
      </c>
      <c r="J140" s="25" cm="1">
        <f t="array" ref="J140">I140/1000</f>
        <v>0.0047</v>
      </c>
      <c r="K140" s="2"/>
      <c r="L140" s="25" cm="1">
        <f t="array" ref="L140">D140*$J140</f>
        <v>0.225729121493069</v>
      </c>
      <c r="M140" s="25" cm="1">
        <f t="array" ref="M140">E140*$J140</f>
        <v>0.0221575880711252</v>
      </c>
      <c r="N140" s="25" cm="1">
        <f t="array" ref="N140">F140*$J140</f>
        <v>0.150318099567465</v>
      </c>
      <c r="O140" s="25" cm="1">
        <f t="array" ref="O140">G140*$J140</f>
        <v>-0.038888044063647</v>
      </c>
      <c r="P140" s="2"/>
      <c r="Q140" s="25">
        <v>0.0174000000000003</v>
      </c>
      <c r="R140" s="25">
        <v>1</v>
      </c>
      <c r="S140" s="25" cm="1">
        <f t="array" ref="S140">L140/$R140</f>
        <v>0.225729121493069</v>
      </c>
      <c r="T140" s="25" cm="1">
        <f t="array" ref="T140">M140/$R140</f>
        <v>0.0221575880711252</v>
      </c>
      <c r="U140" s="25" cm="1">
        <f t="array" ref="U140">N140/$R140</f>
        <v>0.150318099567465</v>
      </c>
      <c r="V140" s="25" cm="1">
        <f t="array" ref="V140">O140/$R140</f>
        <v>-0.038888044063647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7" customHeight="1">
      <c r="A141" s="2"/>
      <c r="B141" t="s" s="24">
        <v>20</v>
      </c>
      <c r="C141" t="s" s="39">
        <v>200</v>
      </c>
      <c r="D141" s="25">
        <v>24.5331717024861</v>
      </c>
      <c r="E141" s="25">
        <v>96.5516839808368</v>
      </c>
      <c r="F141" s="25">
        <v>640.915697550137</v>
      </c>
      <c r="G141" s="25">
        <v>16.0375744722132</v>
      </c>
      <c r="H141" s="2"/>
      <c r="I141" s="25">
        <v>4.7</v>
      </c>
      <c r="J141" s="25" cm="1">
        <f t="array" ref="J141">I141/1000</f>
        <v>0.0047</v>
      </c>
      <c r="K141" s="2"/>
      <c r="L141" s="25" cm="1">
        <f t="array" ref="L141">D141*$J141</f>
        <v>0.115305907001685</v>
      </c>
      <c r="M141" s="25" cm="1">
        <f t="array" ref="M141">E141*$J141</f>
        <v>0.453792914709933</v>
      </c>
      <c r="N141" s="25" cm="1">
        <f t="array" ref="N141">F141*$J141</f>
        <v>3.01230377848564</v>
      </c>
      <c r="O141" s="25" cm="1">
        <f t="array" ref="O141">G141*$J141</f>
        <v>0.075376600019402</v>
      </c>
      <c r="P141" s="2"/>
      <c r="Q141" s="25">
        <v>0.0182000000000002</v>
      </c>
      <c r="R141" s="25">
        <v>1</v>
      </c>
      <c r="S141" s="25" cm="1">
        <f t="array" ref="S141">L141/$R141</f>
        <v>0.115305907001685</v>
      </c>
      <c r="T141" s="25" cm="1">
        <f t="array" ref="T141">M141/$R141</f>
        <v>0.453792914709933</v>
      </c>
      <c r="U141" s="25" cm="1">
        <f t="array" ref="U141">N141/$R141</f>
        <v>3.01230377848564</v>
      </c>
      <c r="V141" s="25" cm="1">
        <f t="array" ref="V141">O141/$R141</f>
        <v>0.075376600019402</v>
      </c>
      <c r="W141" s="2"/>
      <c r="X141" s="25" cm="1">
        <f t="array" ref="X141">S141-X$3-X$148</f>
        <v>-1.30696232610893</v>
      </c>
      <c r="Y141" s="25" cm="1">
        <f t="array" ref="Y141">T141-Y$3-Y$148</f>
        <v>0.394648799786617</v>
      </c>
      <c r="Z141" s="25" cm="1">
        <f t="array" ref="Z141">U141-Z$3-Z$148</f>
        <v>2.93424448664728</v>
      </c>
      <c r="AA141" s="25" cm="1">
        <f t="array" ref="AA141">V141-AA$3-AA$148</f>
        <v>0.129209891304366</v>
      </c>
      <c r="AB141" s="2"/>
      <c r="AC141" s="32" cm="1">
        <f t="array" ref="AC141">X141</f>
        <v>-1.30696232610893</v>
      </c>
      <c r="AD141" s="32" cm="1">
        <f t="array" ref="AD141">Y141</f>
        <v>0.394648799786617</v>
      </c>
      <c r="AE141" s="32" cm="1">
        <f t="array" ref="AE141">Z141</f>
        <v>2.93424448664728</v>
      </c>
      <c r="AF141" s="32" cm="1">
        <f t="array" ref="AF141">AA141</f>
        <v>0.129209891304366</v>
      </c>
    </row>
    <row r="142" ht="17" customHeight="1">
      <c r="A142" s="2"/>
      <c r="B142" t="s" s="24">
        <v>22</v>
      </c>
      <c r="C142" t="s" s="39">
        <v>201</v>
      </c>
      <c r="D142" s="25">
        <v>14.1258532209397</v>
      </c>
      <c r="E142" s="25">
        <v>54.3538615188909</v>
      </c>
      <c r="F142" s="25">
        <v>950.477923335684</v>
      </c>
      <c r="G142" s="25">
        <v>18.7748588022553</v>
      </c>
      <c r="H142" s="2"/>
      <c r="I142" s="25">
        <v>4.7</v>
      </c>
      <c r="J142" s="25" cm="1">
        <f t="array" ref="J142">I142/1000</f>
        <v>0.0047</v>
      </c>
      <c r="K142" s="2"/>
      <c r="L142" s="25" cm="1">
        <f t="array" ref="L142">D142*$J142</f>
        <v>0.0663915101384166</v>
      </c>
      <c r="M142" s="25" cm="1">
        <f t="array" ref="M142">E142*$J142</f>
        <v>0.255463149138787</v>
      </c>
      <c r="N142" s="25" cm="1">
        <f t="array" ref="N142">F142*$J142</f>
        <v>4.46724623967771</v>
      </c>
      <c r="O142" s="25" cm="1">
        <f t="array" ref="O142">G142*$J142</f>
        <v>0.0882418363705999</v>
      </c>
      <c r="P142" s="2"/>
      <c r="Q142" s="25">
        <v>0.0180000000000007</v>
      </c>
      <c r="R142" s="25">
        <v>1</v>
      </c>
      <c r="S142" s="25" cm="1">
        <f t="array" ref="S142">L142/$R142</f>
        <v>0.0663915101384166</v>
      </c>
      <c r="T142" s="25" cm="1">
        <f t="array" ref="T142">M142/$R142</f>
        <v>0.255463149138787</v>
      </c>
      <c r="U142" s="25" cm="1">
        <f t="array" ref="U142">N142/$R142</f>
        <v>4.46724623967771</v>
      </c>
      <c r="V142" s="25" cm="1">
        <f t="array" ref="V142">O142/$R142</f>
        <v>0.0882418363705999</v>
      </c>
      <c r="W142" s="2"/>
      <c r="X142" s="25" cm="1">
        <f t="array" ref="X142">S142-X$3-X$148</f>
        <v>-1.35587672297219</v>
      </c>
      <c r="Y142" s="25" cm="1">
        <f t="array" ref="Y142">T142-Y$3-Y$148</f>
        <v>0.196319034215471</v>
      </c>
      <c r="Z142" s="25" cm="1">
        <f t="array" ref="Z142">U142-Z$3-Z$148</f>
        <v>4.38918694783935</v>
      </c>
      <c r="AA142" s="25" cm="1">
        <f t="array" ref="AA142">V142-AA$3-AA$148</f>
        <v>0.142075127655564</v>
      </c>
      <c r="AB142" s="2"/>
      <c r="AC142" s="32" cm="1">
        <f t="array" ref="AC142">X142</f>
        <v>-1.35587672297219</v>
      </c>
      <c r="AD142" s="32" cm="1">
        <f t="array" ref="AD142">Y142</f>
        <v>0.196319034215471</v>
      </c>
      <c r="AE142" s="32" cm="1">
        <f t="array" ref="AE142">Z142</f>
        <v>4.38918694783935</v>
      </c>
      <c r="AF142" s="32" cm="1">
        <f t="array" ref="AF142">AA142</f>
        <v>0.142075127655564</v>
      </c>
    </row>
    <row r="143" ht="17" customHeight="1">
      <c r="A143" s="2"/>
      <c r="B143" t="s" s="24">
        <v>24</v>
      </c>
      <c r="C143" t="s" s="39">
        <v>202</v>
      </c>
      <c r="D143" s="25">
        <v>142.317343001826</v>
      </c>
      <c r="E143" s="25">
        <v>62.5453421796604</v>
      </c>
      <c r="F143" s="25">
        <v>560.889034523913</v>
      </c>
      <c r="G143" s="25">
        <v>8.37464258991398</v>
      </c>
      <c r="H143" s="2"/>
      <c r="I143" s="25">
        <v>4.7</v>
      </c>
      <c r="J143" s="25" cm="1">
        <f t="array" ref="J143">I143/1000</f>
        <v>0.0047</v>
      </c>
      <c r="K143" s="2"/>
      <c r="L143" s="25" cm="1">
        <f t="array" ref="L143">D143*$J143</f>
        <v>0.668891512108582</v>
      </c>
      <c r="M143" s="25" cm="1">
        <f t="array" ref="M143">E143*$J143</f>
        <v>0.293963108244404</v>
      </c>
      <c r="N143" s="25" cm="1">
        <f t="array" ref="N143">F143*$J143</f>
        <v>2.63617846226239</v>
      </c>
      <c r="O143" s="25" cm="1">
        <f t="array" ref="O143">G143*$J143</f>
        <v>0.0393608201725957</v>
      </c>
      <c r="P143" s="2"/>
      <c r="Q143" s="25">
        <v>0.0182000000000002</v>
      </c>
      <c r="R143" s="25">
        <v>1</v>
      </c>
      <c r="S143" s="25" cm="1">
        <f t="array" ref="S143">L143/$R143</f>
        <v>0.668891512108582</v>
      </c>
      <c r="T143" s="25" cm="1">
        <f t="array" ref="T143">M143/$R143</f>
        <v>0.293963108244404</v>
      </c>
      <c r="U143" s="25" cm="1">
        <f t="array" ref="U143">N143/$R143</f>
        <v>2.63617846226239</v>
      </c>
      <c r="V143" s="25" cm="1">
        <f t="array" ref="V143">O143/$R143</f>
        <v>0.0393608201725957</v>
      </c>
      <c r="W143" s="2"/>
      <c r="X143" s="25" cm="1">
        <f t="array" ref="X143">S143-X$3-X$148</f>
        <v>-0.753376721002028</v>
      </c>
      <c r="Y143" s="25" cm="1">
        <f t="array" ref="Y143">T143-Y$3-Y$148</f>
        <v>0.234818993321088</v>
      </c>
      <c r="Z143" s="25" cm="1">
        <f t="array" ref="Z143">U143-Z$3-Z$148</f>
        <v>2.55811917042403</v>
      </c>
      <c r="AA143" s="25" cm="1">
        <f t="array" ref="AA143">V143-AA$3-AA$148</f>
        <v>0.09319411145755981</v>
      </c>
      <c r="AB143" s="2"/>
      <c r="AC143" s="32" cm="1">
        <f t="array" ref="AC143">X143</f>
        <v>-0.753376721002028</v>
      </c>
      <c r="AD143" s="32" cm="1">
        <f t="array" ref="AD143">Y143</f>
        <v>0.234818993321088</v>
      </c>
      <c r="AE143" s="32" cm="1">
        <f t="array" ref="AE143">Z143</f>
        <v>2.55811917042403</v>
      </c>
      <c r="AF143" s="32" cm="1">
        <f t="array" ref="AF143">AA143</f>
        <v>0.09319411145755981</v>
      </c>
    </row>
    <row r="144" ht="17" customHeight="1">
      <c r="A144" s="2"/>
      <c r="B144" t="s" s="24">
        <v>26</v>
      </c>
      <c r="C144" t="s" s="39">
        <v>203</v>
      </c>
      <c r="D144" s="25">
        <v>107.059783725299</v>
      </c>
      <c r="E144" s="25">
        <v>53.2955310501237</v>
      </c>
      <c r="F144" s="25">
        <v>0.0137</v>
      </c>
      <c r="G144" s="25">
        <v>77.1576703410351</v>
      </c>
      <c r="H144" s="2"/>
      <c r="I144" s="25">
        <v>4.7</v>
      </c>
      <c r="J144" s="25" cm="1">
        <f t="array" ref="J144">I144/1000</f>
        <v>0.0047</v>
      </c>
      <c r="K144" s="2"/>
      <c r="L144" s="25" cm="1">
        <f t="array" ref="L144">D144*$J144</f>
        <v>0.5031809835089051</v>
      </c>
      <c r="M144" s="25" cm="1">
        <f t="array" ref="M144">E144*$J144</f>
        <v>0.250488995935581</v>
      </c>
      <c r="N144" s="25" cm="1">
        <f t="array" ref="N144">F144*$J144</f>
        <v>6.439e-05</v>
      </c>
      <c r="O144" s="25" cm="1">
        <f t="array" ref="O144">G144*$J144</f>
        <v>0.362641050602865</v>
      </c>
      <c r="P144" s="2"/>
      <c r="Q144" s="25">
        <v>0.0190999999999999</v>
      </c>
      <c r="R144" s="25">
        <v>1</v>
      </c>
      <c r="S144" s="25" cm="1">
        <f t="array" ref="S144">L144/$R144</f>
        <v>0.5031809835089051</v>
      </c>
      <c r="T144" s="25" cm="1">
        <f t="array" ref="T144">M144/$R144</f>
        <v>0.250488995935581</v>
      </c>
      <c r="U144" s="25" cm="1">
        <f t="array" ref="U144">N144/$R144</f>
        <v>6.439e-05</v>
      </c>
      <c r="V144" s="25" cm="1">
        <f t="array" ref="V144">O144/$R144</f>
        <v>0.362641050602865</v>
      </c>
      <c r="W144" s="2"/>
      <c r="X144" s="25" cm="1">
        <f t="array" ref="X144">S144-X$3-X$148</f>
        <v>-0.919087249601705</v>
      </c>
      <c r="Y144" s="25" cm="1">
        <f t="array" ref="Y144">T144-Y$3-Y$148</f>
        <v>0.191344881012265</v>
      </c>
      <c r="Z144" s="25" cm="1">
        <f t="array" ref="Z144">U144-Z$3-Z$148</f>
        <v>-0.0779949018383613</v>
      </c>
      <c r="AA144" s="25" cm="1">
        <f t="array" ref="AA144">V144-AA$3-AA$148</f>
        <v>0.416474341887829</v>
      </c>
      <c r="AB144" s="2"/>
      <c r="AC144" s="32" cm="1">
        <f t="array" ref="AC144">X144</f>
        <v>-0.919087249601705</v>
      </c>
      <c r="AD144" s="32" cm="1">
        <f t="array" ref="AD144">Y144</f>
        <v>0.191344881012265</v>
      </c>
      <c r="AE144" s="32" cm="1">
        <f t="array" ref="AE144">Z144</f>
        <v>-0.0779949018383613</v>
      </c>
      <c r="AF144" s="32" cm="1">
        <f t="array" ref="AF144">AA144</f>
        <v>0.416474341887829</v>
      </c>
    </row>
    <row r="145" ht="17" customHeight="1">
      <c r="A145" s="2"/>
      <c r="B145" t="s" s="24">
        <v>28</v>
      </c>
      <c r="C145" t="s" s="39">
        <v>204</v>
      </c>
      <c r="D145" s="25">
        <v>17.0555736197845</v>
      </c>
      <c r="E145" s="25">
        <v>15.3802304100716</v>
      </c>
      <c r="F145" s="25">
        <v>31.4259055148141</v>
      </c>
      <c r="G145" s="25">
        <v>71.30725984253399</v>
      </c>
      <c r="H145" s="2"/>
      <c r="I145" s="25">
        <v>4.7</v>
      </c>
      <c r="J145" s="25" cm="1">
        <f t="array" ref="J145">I145/1000</f>
        <v>0.0047</v>
      </c>
      <c r="K145" s="2"/>
      <c r="L145" s="25" cm="1">
        <f t="array" ref="L145">D145*$J145</f>
        <v>0.0801611960129872</v>
      </c>
      <c r="M145" s="25" cm="1">
        <f t="array" ref="M145">E145*$J145</f>
        <v>0.0722870829273365</v>
      </c>
      <c r="N145" s="25" cm="1">
        <f t="array" ref="N145">F145*$J145</f>
        <v>0.147701755919626</v>
      </c>
      <c r="O145" s="25" cm="1">
        <f t="array" ref="O145">G145*$J145</f>
        <v>0.33514412125991</v>
      </c>
      <c r="P145" s="2"/>
      <c r="Q145" s="25">
        <v>0.0187000000000008</v>
      </c>
      <c r="R145" s="25">
        <v>1</v>
      </c>
      <c r="S145" s="25" cm="1">
        <f t="array" ref="S145">L145/$R145</f>
        <v>0.0801611960129872</v>
      </c>
      <c r="T145" s="25" cm="1">
        <f t="array" ref="T145">M145/$R145</f>
        <v>0.0722870829273365</v>
      </c>
      <c r="U145" s="25" cm="1">
        <f t="array" ref="U145">N145/$R145</f>
        <v>0.147701755919626</v>
      </c>
      <c r="V145" s="25" cm="1">
        <f t="array" ref="V145">O145/$R145</f>
        <v>0.33514412125991</v>
      </c>
      <c r="W145" s="2"/>
      <c r="X145" s="25" cm="1">
        <f t="array" ref="X145">S145-X$3-X$148</f>
        <v>-1.34210703709762</v>
      </c>
      <c r="Y145" s="25" cm="1">
        <f t="array" ref="Y145">T145-Y$3-Y$148</f>
        <v>0.01314296800402</v>
      </c>
      <c r="Z145" s="25" cm="1">
        <f t="array" ref="Z145">U145-Z$3-Z$148</f>
        <v>0.0696424640812647</v>
      </c>
      <c r="AA145" s="25" cm="1">
        <f t="array" ref="AA145">V145-AA$3-AA$148</f>
        <v>0.388977412544874</v>
      </c>
      <c r="AB145" s="2"/>
      <c r="AC145" s="32" cm="1">
        <f t="array" ref="AC145">X145</f>
        <v>-1.34210703709762</v>
      </c>
      <c r="AD145" s="32" cm="1">
        <f t="array" ref="AD145">Y145</f>
        <v>0.01314296800402</v>
      </c>
      <c r="AE145" s="32" cm="1">
        <f t="array" ref="AE145">Z145</f>
        <v>0.0696424640812647</v>
      </c>
      <c r="AF145" s="32" cm="1">
        <f t="array" ref="AF145">AA145</f>
        <v>0.388977412544874</v>
      </c>
    </row>
    <row r="146" ht="17" customHeight="1">
      <c r="A146" s="2"/>
      <c r="B146" t="s" s="24">
        <v>30</v>
      </c>
      <c r="C146" t="s" s="39">
        <v>205</v>
      </c>
      <c r="D146" s="25">
        <v>32.5618719378527</v>
      </c>
      <c r="E146" s="25">
        <v>26.667969163683</v>
      </c>
      <c r="F146" s="25">
        <v>10.7901739947876</v>
      </c>
      <c r="G146" s="25">
        <v>87.4279295819572</v>
      </c>
      <c r="H146" s="2"/>
      <c r="I146" s="25">
        <v>4.7</v>
      </c>
      <c r="J146" s="25" cm="1">
        <f t="array" ref="J146">I146/1000</f>
        <v>0.0047</v>
      </c>
      <c r="K146" s="2"/>
      <c r="L146" s="25" cm="1">
        <f t="array" ref="L146">D146*$J146</f>
        <v>0.153040798107908</v>
      </c>
      <c r="M146" s="25" cm="1">
        <f t="array" ref="M146">E146*$J146</f>
        <v>0.12533945506931</v>
      </c>
      <c r="N146" s="25" cm="1">
        <f t="array" ref="N146">F146*$J146</f>
        <v>0.0507138177755017</v>
      </c>
      <c r="O146" s="25" cm="1">
        <f t="array" ref="O146">G146*$J146</f>
        <v>0.410911269035199</v>
      </c>
      <c r="P146" s="2"/>
      <c r="Q146" s="25">
        <v>0.0182000000000002</v>
      </c>
      <c r="R146" s="25">
        <v>1</v>
      </c>
      <c r="S146" s="25" cm="1">
        <f t="array" ref="S146">L146/$R146</f>
        <v>0.153040798107908</v>
      </c>
      <c r="T146" s="25" cm="1">
        <f t="array" ref="T146">M146/$R146</f>
        <v>0.12533945506931</v>
      </c>
      <c r="U146" s="25" cm="1">
        <f t="array" ref="U146">N146/$R146</f>
        <v>0.0507138177755017</v>
      </c>
      <c r="V146" s="25" cm="1">
        <f t="array" ref="V146">O146/$R146</f>
        <v>0.410911269035199</v>
      </c>
      <c r="W146" s="2"/>
      <c r="X146" s="25" cm="1">
        <f t="array" ref="X146">S146-X$3-X$148</f>
        <v>-1.2692274350027</v>
      </c>
      <c r="Y146" s="25" cm="1">
        <f t="array" ref="Y146">T146-Y$3-Y$148</f>
        <v>0.0661953401459935</v>
      </c>
      <c r="Z146" s="25" cm="1">
        <f t="array" ref="Z146">U146-Z$3-Z$148</f>
        <v>-0.0273454740628596</v>
      </c>
      <c r="AA146" s="25" cm="1">
        <f t="array" ref="AA146">V146-AA$3-AA$148</f>
        <v>0.464744560320163</v>
      </c>
      <c r="AB146" s="2"/>
      <c r="AC146" s="32" cm="1">
        <f t="array" ref="AC146">X146</f>
        <v>-1.2692274350027</v>
      </c>
      <c r="AD146" s="32" cm="1">
        <f t="array" ref="AD146">Y146</f>
        <v>0.0661953401459935</v>
      </c>
      <c r="AE146" s="32" cm="1">
        <f t="array" ref="AE146">Z146</f>
        <v>-0.0273454740628596</v>
      </c>
      <c r="AF146" s="32" cm="1">
        <f t="array" ref="AF146">AA146</f>
        <v>0.464744560320163</v>
      </c>
    </row>
    <row r="147" ht="17" customHeight="1">
      <c r="A147" s="2"/>
      <c r="B147" t="s" s="24">
        <v>32</v>
      </c>
      <c r="C147" t="s" s="39">
        <v>206</v>
      </c>
      <c r="D147" s="25">
        <v>7.61863542283758</v>
      </c>
      <c r="E147" s="25">
        <v>14.0951959030636</v>
      </c>
      <c r="F147" s="25">
        <v>13.2857354554077</v>
      </c>
      <c r="G147" s="25">
        <v>-17.0991004177121</v>
      </c>
      <c r="H147" s="2"/>
      <c r="I147" s="25">
        <v>4.7</v>
      </c>
      <c r="J147" s="25" cm="1">
        <f t="array" ref="J147">I147/1000</f>
        <v>0.0047</v>
      </c>
      <c r="K147" s="2"/>
      <c r="L147" s="25" cm="1">
        <f t="array" ref="L147">D147*$J147</f>
        <v>0.0358075864873366</v>
      </c>
      <c r="M147" s="25" cm="1">
        <f t="array" ref="M147">E147*$J147</f>
        <v>0.0662474207443989</v>
      </c>
      <c r="N147" s="25" cm="1">
        <f t="array" ref="N147">F147*$J147</f>
        <v>0.0624429566404162</v>
      </c>
      <c r="O147" s="25" cm="1">
        <f t="array" ref="O147">G147*$J147</f>
        <v>-0.0803657719632469</v>
      </c>
      <c r="P147" s="2"/>
      <c r="Q147" s="25">
        <v>0.0182000000000002</v>
      </c>
      <c r="R147" s="25">
        <v>1</v>
      </c>
      <c r="S147" s="25" cm="1">
        <f t="array" ref="S147">L147/$R147</f>
        <v>0.0358075864873366</v>
      </c>
      <c r="T147" s="25" cm="1">
        <f t="array" ref="T147">M147/$R147</f>
        <v>0.0662474207443989</v>
      </c>
      <c r="U147" s="25" cm="1">
        <f t="array" ref="U147">N147/$R147</f>
        <v>0.0624429566404162</v>
      </c>
      <c r="V147" s="25" cm="1">
        <f t="array" ref="V147">O147/$R147</f>
        <v>-0.0803657719632469</v>
      </c>
      <c r="W147" s="2"/>
      <c r="X147" s="2"/>
      <c r="Y147" s="2"/>
      <c r="Z147" s="2"/>
      <c r="AA147" s="2"/>
      <c r="AB147" s="2"/>
      <c r="AC147" s="26"/>
      <c r="AD147" s="26"/>
      <c r="AE147" s="26"/>
      <c r="AF147" s="26"/>
    </row>
    <row r="148" ht="17" customHeight="1">
      <c r="A148" s="2"/>
      <c r="B148" t="s" s="24">
        <v>34</v>
      </c>
      <c r="C148" t="s" s="39">
        <v>207</v>
      </c>
      <c r="D148" s="25">
        <v>210.963141467443</v>
      </c>
      <c r="E148" s="25">
        <v>6.46902310302584</v>
      </c>
      <c r="F148" s="25">
        <v>7.00350279088037</v>
      </c>
      <c r="G148" s="25">
        <v>-8.763357978577339</v>
      </c>
      <c r="H148" s="2"/>
      <c r="I148" s="25">
        <v>4.7</v>
      </c>
      <c r="J148" s="25" cm="1">
        <f t="array" ref="J148">I148/1000</f>
        <v>0.0047</v>
      </c>
      <c r="K148" s="2"/>
      <c r="L148" s="25" cm="1">
        <f t="array" ref="L148">D148*$J148</f>
        <v>0.991526764896982</v>
      </c>
      <c r="M148" s="25" cm="1">
        <f t="array" ref="M148">E148*$J148</f>
        <v>0.0304044085842214</v>
      </c>
      <c r="N148" s="25" cm="1">
        <f t="array" ref="N148">F148*$J148</f>
        <v>0.0329164631171377</v>
      </c>
      <c r="O148" s="25" cm="1">
        <f t="array" ref="O148">G148*$J148</f>
        <v>-0.0411877824993135</v>
      </c>
      <c r="P148" s="2"/>
      <c r="Q148" s="25">
        <v>0.0176999999999996</v>
      </c>
      <c r="R148" s="25">
        <v>1</v>
      </c>
      <c r="S148" s="25" cm="1">
        <f t="array" ref="S148">L148/$R148</f>
        <v>0.991526764896982</v>
      </c>
      <c r="T148" s="25" cm="1">
        <f t="array" ref="T148">M148/$R148</f>
        <v>0.0304044085842214</v>
      </c>
      <c r="U148" s="25" cm="1">
        <f t="array" ref="U148">N148/$R148</f>
        <v>0.0329164631171377</v>
      </c>
      <c r="V148" s="25" cm="1">
        <f t="array" ref="V148">O148/$R148</f>
        <v>-0.0411877824993135</v>
      </c>
      <c r="W148" s="2"/>
      <c r="X148" s="25" cm="1">
        <f t="array" ref="X148">AVERAGE(S147:S149)</f>
        <v>1.42226823311061</v>
      </c>
      <c r="Y148" s="25" cm="1">
        <f t="array" ref="Y148">AVERAGE(T147:T149)</f>
        <v>0.0591441149233165</v>
      </c>
      <c r="Z148" s="25" cm="1">
        <f t="array" ref="Z148">AVERAGE(U147:U149)</f>
        <v>0.0780592918383613</v>
      </c>
      <c r="AA148" s="25" cm="1">
        <f t="array" ref="AA148">AVERAGE(V147:V149)</f>
        <v>-0.0538332912849641</v>
      </c>
      <c r="AB148" s="2"/>
      <c r="AC148" s="26"/>
      <c r="AD148" s="26"/>
      <c r="AE148" s="26"/>
      <c r="AF148" s="26"/>
    </row>
    <row r="149" ht="17" customHeight="1">
      <c r="A149" s="2"/>
      <c r="B149" t="s" s="24">
        <v>36</v>
      </c>
      <c r="C149" t="s" s="39">
        <v>208</v>
      </c>
      <c r="D149" s="25">
        <v>689.249010201601</v>
      </c>
      <c r="E149" s="25">
        <v>17.1873437109211</v>
      </c>
      <c r="F149" s="25">
        <v>29.5358416505382</v>
      </c>
      <c r="G149" s="25">
        <v>-8.49921689198553</v>
      </c>
      <c r="H149" s="2"/>
      <c r="I149" s="25">
        <v>4.7</v>
      </c>
      <c r="J149" s="25" cm="1">
        <f t="array" ref="J149">I149/1000</f>
        <v>0.0047</v>
      </c>
      <c r="K149" s="2"/>
      <c r="L149" s="25" cm="1">
        <f t="array" ref="L149">D149*$J149</f>
        <v>3.23947034794752</v>
      </c>
      <c r="M149" s="25" cm="1">
        <f t="array" ref="M149">E149*$J149</f>
        <v>0.08078051544132921</v>
      </c>
      <c r="N149" s="25" cm="1">
        <f t="array" ref="N149">F149*$J149</f>
        <v>0.13881845575753</v>
      </c>
      <c r="O149" s="25" cm="1">
        <f t="array" ref="O149">G149*$J149</f>
        <v>-0.039946319392332</v>
      </c>
      <c r="P149" s="2"/>
      <c r="Q149" s="25">
        <v>0.0179000000000009</v>
      </c>
      <c r="R149" s="25">
        <v>1</v>
      </c>
      <c r="S149" s="25" cm="1">
        <f t="array" ref="S149">L149/$R149</f>
        <v>3.23947034794752</v>
      </c>
      <c r="T149" s="25" cm="1">
        <f t="array" ref="T149">M149/$R149</f>
        <v>0.08078051544132921</v>
      </c>
      <c r="U149" s="25" cm="1">
        <f t="array" ref="U149">N149/$R149</f>
        <v>0.13881845575753</v>
      </c>
      <c r="V149" s="25" cm="1">
        <f t="array" ref="V149">O149/$R149</f>
        <v>-0.039946319392332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7" customHeight="1">
      <c r="A150" s="2"/>
      <c r="B150" t="s" s="24">
        <v>38</v>
      </c>
      <c r="C150" t="s" s="39">
        <v>209</v>
      </c>
      <c r="D150" s="25">
        <v>28.8333574700249</v>
      </c>
      <c r="E150" s="25">
        <v>175.803098627715</v>
      </c>
      <c r="F150" s="25">
        <v>583.477791435732</v>
      </c>
      <c r="G150" s="25">
        <v>-5.17579837652748</v>
      </c>
      <c r="H150" s="2"/>
      <c r="I150" s="25">
        <v>4.7</v>
      </c>
      <c r="J150" s="25" cm="1">
        <f t="array" ref="J150">I150/1000</f>
        <v>0.0047</v>
      </c>
      <c r="K150" s="2"/>
      <c r="L150" s="25" cm="1">
        <f t="array" ref="L150">D150*$J150</f>
        <v>0.135516780109117</v>
      </c>
      <c r="M150" s="25" cm="1">
        <f t="array" ref="M150">E150*$J150</f>
        <v>0.826274563550261</v>
      </c>
      <c r="N150" s="25" cm="1">
        <f t="array" ref="N150">F150*$J150</f>
        <v>2.74234561974794</v>
      </c>
      <c r="O150" s="25" cm="1">
        <f t="array" ref="O150">G150*$J150</f>
        <v>-0.0243262523696792</v>
      </c>
      <c r="P150" s="2"/>
      <c r="Q150" s="25">
        <v>0.0178000000000011</v>
      </c>
      <c r="R150" s="25">
        <v>1</v>
      </c>
      <c r="S150" s="25" cm="1">
        <f t="array" ref="S150">L150/$R150</f>
        <v>0.135516780109117</v>
      </c>
      <c r="T150" s="25" cm="1">
        <f t="array" ref="T150">M150/$R150</f>
        <v>0.826274563550261</v>
      </c>
      <c r="U150" s="25" cm="1">
        <f t="array" ref="U150">N150/$R150</f>
        <v>2.74234561974794</v>
      </c>
      <c r="V150" s="25" cm="1">
        <f t="array" ref="V150">O150/$R150</f>
        <v>-0.0243262523696792</v>
      </c>
      <c r="W150" s="2"/>
      <c r="X150" s="25" cm="1">
        <f t="array" ref="X150">S150-X$3-X$157</f>
        <v>-9.12360664680376</v>
      </c>
      <c r="Y150" s="25" cm="1">
        <f t="array" ref="Y150">T150-Y$3-Y$157</f>
        <v>0.772202358642836</v>
      </c>
      <c r="Z150" s="25" cm="1">
        <f t="array" ref="Z150">U150-Z$3-Z$157</f>
        <v>2.68456252514256</v>
      </c>
      <c r="AA150" s="25" cm="1">
        <f t="array" ref="AA150">V150-AA$3-AA$157</f>
        <v>0.0160069852373799</v>
      </c>
      <c r="AB150" s="2"/>
      <c r="AC150" s="32" cm="1">
        <f t="array" ref="AC150">X150</f>
        <v>-9.12360664680376</v>
      </c>
      <c r="AD150" s="32" cm="1">
        <f t="array" ref="AD150">Y150</f>
        <v>0.772202358642836</v>
      </c>
      <c r="AE150" s="32" cm="1">
        <f t="array" ref="AE150">Z150</f>
        <v>2.68456252514256</v>
      </c>
      <c r="AF150" s="32" cm="1">
        <f t="array" ref="AF150">AA150</f>
        <v>0.0160069852373799</v>
      </c>
    </row>
    <row r="151" ht="17" customHeight="1">
      <c r="A151" s="2"/>
      <c r="B151" t="s" s="24">
        <v>40</v>
      </c>
      <c r="C151" t="s" s="39">
        <v>210</v>
      </c>
      <c r="D151" s="25">
        <v>14.5280656371525</v>
      </c>
      <c r="E151" s="25">
        <v>204.700485193952</v>
      </c>
      <c r="F151" s="25">
        <v>870.734085696241</v>
      </c>
      <c r="G151" s="25">
        <v>-1.95185914051438</v>
      </c>
      <c r="H151" s="2"/>
      <c r="I151" s="25">
        <v>4.7</v>
      </c>
      <c r="J151" s="25" cm="1">
        <f t="array" ref="J151">I151/1000</f>
        <v>0.0047</v>
      </c>
      <c r="K151" s="2"/>
      <c r="L151" s="25" cm="1">
        <f t="array" ref="L151">D151*$J151</f>
        <v>0.06828190849461679</v>
      </c>
      <c r="M151" s="25" cm="1">
        <f t="array" ref="M151">E151*$J151</f>
        <v>0.962092280411574</v>
      </c>
      <c r="N151" s="25" cm="1">
        <f t="array" ref="N151">F151*$J151</f>
        <v>4.09245020277233</v>
      </c>
      <c r="O151" s="25" cm="1">
        <f t="array" ref="O151">G151*$J151</f>
        <v>-0.00917373796041759</v>
      </c>
      <c r="P151" s="2"/>
      <c r="Q151" s="25">
        <v>0.0178000000000011</v>
      </c>
      <c r="R151" s="25">
        <v>1</v>
      </c>
      <c r="S151" s="25" cm="1">
        <f t="array" ref="S151">L151/$R151</f>
        <v>0.06828190849461679</v>
      </c>
      <c r="T151" s="25" cm="1">
        <f t="array" ref="T151">M151/$R151</f>
        <v>0.962092280411574</v>
      </c>
      <c r="U151" s="25" cm="1">
        <f t="array" ref="U151">N151/$R151</f>
        <v>4.09245020277233</v>
      </c>
      <c r="V151" s="25" cm="1">
        <f t="array" ref="V151">O151/$R151</f>
        <v>-0.00917373796041759</v>
      </c>
      <c r="W151" s="2"/>
      <c r="X151" s="25" cm="1">
        <f t="array" ref="X151">S151-X$3-X$157</f>
        <v>-9.19084151841826</v>
      </c>
      <c r="Y151" s="25" cm="1">
        <f t="array" ref="Y151">T151-Y$3-Y$157</f>
        <v>0.908020075504149</v>
      </c>
      <c r="Z151" s="25" cm="1">
        <f t="array" ref="Z151">U151-Z$3-Z$157</f>
        <v>4.03466710816695</v>
      </c>
      <c r="AA151" s="25" cm="1">
        <f t="array" ref="AA151">V151-AA$3-AA$157</f>
        <v>0.0311594996466415</v>
      </c>
      <c r="AB151" s="2"/>
      <c r="AC151" s="32" cm="1">
        <f t="array" ref="AC151">X151</f>
        <v>-9.19084151841826</v>
      </c>
      <c r="AD151" s="32" cm="1">
        <f t="array" ref="AD151">Y151</f>
        <v>0.908020075504149</v>
      </c>
      <c r="AE151" s="32" cm="1">
        <f t="array" ref="AE151">Z151</f>
        <v>4.03466710816695</v>
      </c>
      <c r="AF151" s="32" cm="1">
        <f t="array" ref="AF151">AA151</f>
        <v>0.0311594996466415</v>
      </c>
    </row>
    <row r="152" ht="17" customHeight="1">
      <c r="A152" s="2"/>
      <c r="B152" t="s" s="24">
        <v>42</v>
      </c>
      <c r="C152" t="s" s="39">
        <v>211</v>
      </c>
      <c r="D152" s="25">
        <v>15.2939253324049</v>
      </c>
      <c r="E152" s="25">
        <v>657.230238569987</v>
      </c>
      <c r="F152" s="25">
        <v>1576.040182022180</v>
      </c>
      <c r="G152" s="25">
        <v>-5.27947163866974</v>
      </c>
      <c r="H152" s="2"/>
      <c r="I152" s="25">
        <v>4.7</v>
      </c>
      <c r="J152" s="25" cm="1">
        <f t="array" ref="J152">I152/1000</f>
        <v>0.0047</v>
      </c>
      <c r="K152" s="2"/>
      <c r="L152" s="25" cm="1">
        <f t="array" ref="L152">D152*$J152</f>
        <v>0.071881449062303</v>
      </c>
      <c r="M152" s="25" cm="1">
        <f t="array" ref="M152">E152*$J152</f>
        <v>3.08898212127894</v>
      </c>
      <c r="N152" s="25" cm="1">
        <f t="array" ref="N152">F152*$J152</f>
        <v>7.40738885550425</v>
      </c>
      <c r="O152" s="25" cm="1">
        <f t="array" ref="O152">G152*$J152</f>
        <v>-0.0248135167017478</v>
      </c>
      <c r="P152" s="2"/>
      <c r="Q152" s="25">
        <v>0.0175000000000001</v>
      </c>
      <c r="R152" s="25">
        <v>1</v>
      </c>
      <c r="S152" s="25" cm="1">
        <f t="array" ref="S152">L152/$R152</f>
        <v>0.071881449062303</v>
      </c>
      <c r="T152" s="25" cm="1">
        <f t="array" ref="T152">M152/$R152</f>
        <v>3.08898212127894</v>
      </c>
      <c r="U152" s="25" cm="1">
        <f t="array" ref="U152">N152/$R152</f>
        <v>7.40738885550425</v>
      </c>
      <c r="V152" s="25" cm="1">
        <f t="array" ref="V152">O152/$R152</f>
        <v>-0.0248135167017478</v>
      </c>
      <c r="W152" s="2"/>
      <c r="X152" s="25" cm="1">
        <f t="array" ref="X152">S152-X$3-X$157</f>
        <v>-9.187241977850579</v>
      </c>
      <c r="Y152" s="25" cm="1">
        <f t="array" ref="Y152">T152-Y$3-Y$157</f>
        <v>3.03490991637152</v>
      </c>
      <c r="Z152" s="25" cm="1">
        <f t="array" ref="Z152">U152-Z$3-Z$157</f>
        <v>7.34960576089887</v>
      </c>
      <c r="AA152" s="25" cm="1">
        <f t="array" ref="AA152">V152-AA$3-AA$157</f>
        <v>0.0155197209053113</v>
      </c>
      <c r="AB152" s="2"/>
      <c r="AC152" s="32" cm="1">
        <f t="array" ref="AC152">X152</f>
        <v>-9.187241977850579</v>
      </c>
      <c r="AD152" s="32" cm="1">
        <f t="array" ref="AD152">Y152</f>
        <v>3.03490991637152</v>
      </c>
      <c r="AE152" s="32" cm="1">
        <f t="array" ref="AE152">Z152</f>
        <v>7.34960576089887</v>
      </c>
      <c r="AF152" s="32" cm="1">
        <f t="array" ref="AF152">AA152</f>
        <v>0.0155197209053113</v>
      </c>
    </row>
    <row r="153" ht="17" customHeight="1">
      <c r="A153" s="2"/>
      <c r="B153" t="s" s="24">
        <v>44</v>
      </c>
      <c r="C153" t="s" s="39">
        <v>212</v>
      </c>
      <c r="D153" s="25">
        <v>331.815540943486</v>
      </c>
      <c r="E153" s="25">
        <v>30.7887061203164</v>
      </c>
      <c r="F153" s="25">
        <v>10.0409563122282</v>
      </c>
      <c r="G153" s="25">
        <v>173.205529942910</v>
      </c>
      <c r="H153" s="2"/>
      <c r="I153" s="25">
        <v>4.7</v>
      </c>
      <c r="J153" s="25" cm="1">
        <f t="array" ref="J153">I153/1000</f>
        <v>0.0047</v>
      </c>
      <c r="K153" s="2"/>
      <c r="L153" s="25" cm="1">
        <f t="array" ref="L153">D153*$J153</f>
        <v>1.55953304243438</v>
      </c>
      <c r="M153" s="25" cm="1">
        <f t="array" ref="M153">E153*$J153</f>
        <v>0.144706918765487</v>
      </c>
      <c r="N153" s="25" cm="1">
        <f t="array" ref="N153">F153*$J153</f>
        <v>0.0471924946674725</v>
      </c>
      <c r="O153" s="25" cm="1">
        <f t="array" ref="O153">G153*$J153</f>
        <v>0.814065990731677</v>
      </c>
      <c r="P153" s="2"/>
      <c r="Q153" s="25">
        <v>0.0180000000000007</v>
      </c>
      <c r="R153" s="25">
        <v>1</v>
      </c>
      <c r="S153" s="25" cm="1">
        <f t="array" ref="S153">L153/$R153</f>
        <v>1.55953304243438</v>
      </c>
      <c r="T153" s="25" cm="1">
        <f t="array" ref="T153">M153/$R153</f>
        <v>0.144706918765487</v>
      </c>
      <c r="U153" s="25" cm="1">
        <f t="array" ref="U153">N153/$R153</f>
        <v>0.0471924946674725</v>
      </c>
      <c r="V153" s="25" cm="1">
        <f t="array" ref="V153">O153/$R153</f>
        <v>0.814065990731677</v>
      </c>
      <c r="W153" s="2"/>
      <c r="X153" s="25" cm="1">
        <f t="array" ref="X153">S153-X$3-X$157</f>
        <v>-7.6995903844785</v>
      </c>
      <c r="Y153" s="25" cm="1">
        <f t="array" ref="Y153">T153-Y$3-Y$157</f>
        <v>0.0906347138580621</v>
      </c>
      <c r="Z153" s="25" cm="1">
        <f t="array" ref="Z153">U153-Z$3-Z$157</f>
        <v>-0.0105905999379096</v>
      </c>
      <c r="AA153" s="25" cm="1">
        <f t="array" ref="AA153">V153-AA$3-AA$157</f>
        <v>0.854399228338736</v>
      </c>
      <c r="AB153" s="2"/>
      <c r="AC153" s="32" cm="1">
        <f t="array" ref="AC153">X153</f>
        <v>-7.6995903844785</v>
      </c>
      <c r="AD153" s="32" cm="1">
        <f t="array" ref="AD153">Y153</f>
        <v>0.0906347138580621</v>
      </c>
      <c r="AE153" s="32" cm="1">
        <f t="array" ref="AE153">Z153</f>
        <v>-0.0105905999379096</v>
      </c>
      <c r="AF153" s="32" cm="1">
        <f t="array" ref="AF153">AA153</f>
        <v>0.854399228338736</v>
      </c>
    </row>
    <row r="154" ht="17" customHeight="1">
      <c r="A154" s="2"/>
      <c r="B154" t="s" s="24">
        <v>46</v>
      </c>
      <c r="C154" t="s" s="39">
        <v>213</v>
      </c>
      <c r="D154" s="25">
        <v>524.100145298179</v>
      </c>
      <c r="E154" s="25">
        <v>58.2864558839615</v>
      </c>
      <c r="F154" s="25">
        <v>32.9670297612392</v>
      </c>
      <c r="G154" s="25">
        <v>517.909105604347</v>
      </c>
      <c r="H154" s="2"/>
      <c r="I154" s="25">
        <v>4.7</v>
      </c>
      <c r="J154" s="25" cm="1">
        <f t="array" ref="J154">I154/1000</f>
        <v>0.0047</v>
      </c>
      <c r="K154" s="2"/>
      <c r="L154" s="25" cm="1">
        <f t="array" ref="L154">D154*$J154</f>
        <v>2.46327068290144</v>
      </c>
      <c r="M154" s="25" cm="1">
        <f t="array" ref="M154">E154*$J154</f>
        <v>0.273946342654619</v>
      </c>
      <c r="N154" s="25" cm="1">
        <f t="array" ref="N154">F154*$J154</f>
        <v>0.154945039877824</v>
      </c>
      <c r="O154" s="25" cm="1">
        <f t="array" ref="O154">G154*$J154</f>
        <v>2.43417279634043</v>
      </c>
      <c r="P154" s="2"/>
      <c r="Q154" s="25">
        <v>0.0178999999999991</v>
      </c>
      <c r="R154" s="25">
        <v>1</v>
      </c>
      <c r="S154" s="25" cm="1">
        <f t="array" ref="S154">L154/$R154</f>
        <v>2.46327068290144</v>
      </c>
      <c r="T154" s="25" cm="1">
        <f t="array" ref="T154">M154/$R154</f>
        <v>0.273946342654619</v>
      </c>
      <c r="U154" s="25" cm="1">
        <f t="array" ref="U154">N154/$R154</f>
        <v>0.154945039877824</v>
      </c>
      <c r="V154" s="25" cm="1">
        <f t="array" ref="V154">O154/$R154</f>
        <v>2.43417279634043</v>
      </c>
      <c r="W154" s="2"/>
      <c r="X154" s="25" cm="1">
        <f t="array" ref="X154">S154-X$3-X$157</f>
        <v>-6.79585274401144</v>
      </c>
      <c r="Y154" s="25" cm="1">
        <f t="array" ref="Y154">T154-Y$3-Y$157</f>
        <v>0.219874137747194</v>
      </c>
      <c r="Z154" s="25" cm="1">
        <f t="array" ref="Z154">U154-Z$3-Z$157</f>
        <v>0.0971619452724419</v>
      </c>
      <c r="AA154" s="25" cm="1">
        <f t="array" ref="AA154">V154-AA$3-AA$157</f>
        <v>2.47450603394749</v>
      </c>
      <c r="AB154" s="2"/>
      <c r="AC154" s="32" cm="1">
        <f t="array" ref="AC154">X154</f>
        <v>-6.79585274401144</v>
      </c>
      <c r="AD154" s="32" cm="1">
        <f t="array" ref="AD154">Y154</f>
        <v>0.219874137747194</v>
      </c>
      <c r="AE154" s="32" cm="1">
        <f t="array" ref="AE154">Z154</f>
        <v>0.0971619452724419</v>
      </c>
      <c r="AF154" s="32" cm="1">
        <f t="array" ref="AF154">AA154</f>
        <v>2.47450603394749</v>
      </c>
    </row>
    <row r="155" ht="17" customHeight="1">
      <c r="A155" s="2"/>
      <c r="B155" t="s" s="24">
        <v>48</v>
      </c>
      <c r="C155" t="s" s="39">
        <v>214</v>
      </c>
      <c r="D155" s="25">
        <v>950.773699273693</v>
      </c>
      <c r="E155" s="25">
        <v>23.0957571796332</v>
      </c>
      <c r="F155" s="25">
        <v>31.104940728411</v>
      </c>
      <c r="G155" s="25">
        <v>51.9114294798486</v>
      </c>
      <c r="H155" s="2"/>
      <c r="I155" s="25">
        <v>4.7</v>
      </c>
      <c r="J155" s="25" cm="1">
        <f t="array" ref="J155">I155/1000</f>
        <v>0.0047</v>
      </c>
      <c r="K155" s="2"/>
      <c r="L155" s="25" cm="1">
        <f t="array" ref="L155">D155*$J155</f>
        <v>4.46863638658636</v>
      </c>
      <c r="M155" s="25" cm="1">
        <f t="array" ref="M155">E155*$J155</f>
        <v>0.108550058744276</v>
      </c>
      <c r="N155" s="25" cm="1">
        <f t="array" ref="N155">F155*$J155</f>
        <v>0.146193221423532</v>
      </c>
      <c r="O155" s="25" cm="1">
        <f t="array" ref="O155">G155*$J155</f>
        <v>0.243983718555288</v>
      </c>
      <c r="P155" s="2"/>
      <c r="Q155" s="25">
        <v>0.0174000000000003</v>
      </c>
      <c r="R155" s="25">
        <v>1</v>
      </c>
      <c r="S155" s="25" cm="1">
        <f t="array" ref="S155">L155/$R155</f>
        <v>4.46863638658636</v>
      </c>
      <c r="T155" s="25" cm="1">
        <f t="array" ref="T155">M155/$R155</f>
        <v>0.108550058744276</v>
      </c>
      <c r="U155" s="25" cm="1">
        <f t="array" ref="U155">N155/$R155</f>
        <v>0.146193221423532</v>
      </c>
      <c r="V155" s="25" cm="1">
        <f t="array" ref="V155">O155/$R155</f>
        <v>0.243983718555288</v>
      </c>
      <c r="W155" s="2"/>
      <c r="X155" s="25" cm="1">
        <f t="array" ref="X155">S155-X$3-X$157</f>
        <v>-4.79048704032652</v>
      </c>
      <c r="Y155" s="25" cm="1">
        <f t="array" ref="Y155">T155-Y$3-Y$157</f>
        <v>0.0544778538368511</v>
      </c>
      <c r="Z155" s="25" cm="1">
        <f t="array" ref="Z155">U155-Z$3-Z$157</f>
        <v>0.0884101268181499</v>
      </c>
      <c r="AA155" s="25" cm="1">
        <f t="array" ref="AA155">V155-AA$3-AA$157</f>
        <v>0.284316956162347</v>
      </c>
      <c r="AB155" s="2"/>
      <c r="AC155" s="32" cm="1">
        <f t="array" ref="AC155">X155</f>
        <v>-4.79048704032652</v>
      </c>
      <c r="AD155" s="32" cm="1">
        <f t="array" ref="AD155">Y155</f>
        <v>0.0544778538368511</v>
      </c>
      <c r="AE155" s="32" cm="1">
        <f t="array" ref="AE155">Z155</f>
        <v>0.0884101268181499</v>
      </c>
      <c r="AF155" s="32" cm="1">
        <f t="array" ref="AF155">AA155</f>
        <v>0.284316956162347</v>
      </c>
    </row>
    <row r="156" ht="17" customHeight="1">
      <c r="A156" s="2"/>
      <c r="B156" t="s" s="24">
        <v>50</v>
      </c>
      <c r="C156" t="s" s="39">
        <v>215</v>
      </c>
      <c r="D156" s="25">
        <v>1191.039854788990</v>
      </c>
      <c r="E156" s="25">
        <v>13.1013155318566</v>
      </c>
      <c r="F156" s="25">
        <v>9.21437986158419</v>
      </c>
      <c r="G156" s="25">
        <v>-8.67922169516093</v>
      </c>
      <c r="H156" s="2"/>
      <c r="I156" s="25">
        <v>4.7</v>
      </c>
      <c r="J156" s="25" cm="1">
        <f t="array" ref="J156">I156/1000</f>
        <v>0.0047</v>
      </c>
      <c r="K156" s="2"/>
      <c r="L156" s="25" cm="1">
        <f t="array" ref="L156">D156*$J156</f>
        <v>5.59788731750825</v>
      </c>
      <c r="M156" s="25" cm="1">
        <f t="array" ref="M156">E156*$J156</f>
        <v>0.061576182999726</v>
      </c>
      <c r="N156" s="25" cm="1">
        <f t="array" ref="N156">F156*$J156</f>
        <v>0.0433075853494457</v>
      </c>
      <c r="O156" s="25" cm="1">
        <f t="array" ref="O156">G156*$J156</f>
        <v>-0.0407923419672564</v>
      </c>
      <c r="P156" s="2"/>
      <c r="Q156" s="25">
        <v>0.0182000000000002</v>
      </c>
      <c r="R156" s="25">
        <v>1</v>
      </c>
      <c r="S156" s="25" cm="1">
        <f t="array" ref="S156">L156/$R156</f>
        <v>5.59788731750825</v>
      </c>
      <c r="T156" s="25" cm="1">
        <f t="array" ref="T156">M156/$R156</f>
        <v>0.061576182999726</v>
      </c>
      <c r="U156" s="25" cm="1">
        <f t="array" ref="U156">N156/$R156</f>
        <v>0.0433075853494457</v>
      </c>
      <c r="V156" s="25" cm="1">
        <f t="array" ref="V156">O156/$R156</f>
        <v>-0.0407923419672564</v>
      </c>
      <c r="W156" s="2"/>
      <c r="X156" s="2"/>
      <c r="Y156" s="2"/>
      <c r="Z156" s="2"/>
      <c r="AA156" s="2"/>
      <c r="AB156" s="2"/>
      <c r="AC156" s="26"/>
      <c r="AD156" s="26"/>
      <c r="AE156" s="26"/>
      <c r="AF156" s="26"/>
    </row>
    <row r="157" ht="17" customHeight="1">
      <c r="A157" s="2"/>
      <c r="B157" t="s" s="24">
        <v>52</v>
      </c>
      <c r="C157" t="s" s="39">
        <v>216</v>
      </c>
      <c r="D157" s="25">
        <v>4209.339376106250</v>
      </c>
      <c r="E157" s="25">
        <v>10.8945469666495</v>
      </c>
      <c r="F157" s="25">
        <v>9.41346869594434</v>
      </c>
      <c r="G157" s="25">
        <v>-8.63903384141206</v>
      </c>
      <c r="H157" s="2"/>
      <c r="I157" s="25">
        <v>4.7</v>
      </c>
      <c r="J157" s="25" cm="1">
        <f t="array" ref="J157">I157/1000</f>
        <v>0.0047</v>
      </c>
      <c r="K157" s="2"/>
      <c r="L157" s="25" cm="1">
        <f t="array" ref="L157">D157*$J157</f>
        <v>19.7838950676994</v>
      </c>
      <c r="M157" s="25" cm="1">
        <f t="array" ref="M157">E157*$J157</f>
        <v>0.0512043707432527</v>
      </c>
      <c r="N157" s="25" cm="1">
        <f t="array" ref="N157">F157*$J157</f>
        <v>0.0442433028709384</v>
      </c>
      <c r="O157" s="25" cm="1">
        <f t="array" ref="O157">G157*$J157</f>
        <v>-0.0406034590546367</v>
      </c>
      <c r="P157" s="2"/>
      <c r="Q157" s="25">
        <v>0.0180000000000007</v>
      </c>
      <c r="R157" s="25">
        <v>1</v>
      </c>
      <c r="S157" s="25" cm="1">
        <f t="array" ref="S157">L157/$R157</f>
        <v>19.7838950676994</v>
      </c>
      <c r="T157" s="25" cm="1">
        <f t="array" ref="T157">M157/$R157</f>
        <v>0.0512043707432527</v>
      </c>
      <c r="U157" s="25" cm="1">
        <f t="array" ref="U157">N157/$R157</f>
        <v>0.0442433028709384</v>
      </c>
      <c r="V157" s="25" cm="1">
        <f t="array" ref="V157">O157/$R157</f>
        <v>-0.0406034590546367</v>
      </c>
      <c r="W157" s="2"/>
      <c r="X157" s="25" cm="1">
        <f t="array" ref="X157">AVERAGE(S156:S158)</f>
        <v>9.259123426912881</v>
      </c>
      <c r="Y157" s="25" cm="1">
        <f t="array" ref="Y157">AVERAGE(T156:T158)</f>
        <v>0.0540722049074249</v>
      </c>
      <c r="Z157" s="25" cm="1">
        <f t="array" ref="Z157">AVERAGE(U156:U158)</f>
        <v>0.0577830946053821</v>
      </c>
      <c r="AA157" s="25" cm="1">
        <f t="array" ref="AA157">AVERAGE(V156:V158)</f>
        <v>-0.0403332376070591</v>
      </c>
      <c r="AB157" s="2"/>
      <c r="AC157" s="26"/>
      <c r="AD157" s="26"/>
      <c r="AE157" s="26"/>
      <c r="AF157" s="26"/>
    </row>
    <row r="158" ht="17" customHeight="1">
      <c r="A158" s="2"/>
      <c r="B158" t="s" s="24">
        <v>54</v>
      </c>
      <c r="C158" t="s" s="39">
        <v>217</v>
      </c>
      <c r="D158" s="25">
        <v>509.699552240633</v>
      </c>
      <c r="E158" s="25">
        <v>10.5183108466587</v>
      </c>
      <c r="F158" s="25">
        <v>18.2549777863324</v>
      </c>
      <c r="G158" s="25">
        <v>-8.42636421261369</v>
      </c>
      <c r="H158" s="2"/>
      <c r="I158" s="25">
        <v>4.7</v>
      </c>
      <c r="J158" s="25" cm="1">
        <f t="array" ref="J158">I158/1000</f>
        <v>0.0047</v>
      </c>
      <c r="K158" s="2"/>
      <c r="L158" s="25" cm="1">
        <f t="array" ref="L158">D158*$J158</f>
        <v>2.39558789553098</v>
      </c>
      <c r="M158" s="25" cm="1">
        <f t="array" ref="M158">E158*$J158</f>
        <v>0.0494360609792959</v>
      </c>
      <c r="N158" s="25" cm="1">
        <f t="array" ref="N158">F158*$J158</f>
        <v>0.0857983955957623</v>
      </c>
      <c r="O158" s="25" cm="1">
        <f t="array" ref="O158">G158*$J158</f>
        <v>-0.0396039117992843</v>
      </c>
      <c r="P158" s="2"/>
      <c r="Q158" s="25">
        <v>0.0185999999999993</v>
      </c>
      <c r="R158" s="25">
        <v>1</v>
      </c>
      <c r="S158" s="25" cm="1">
        <f t="array" ref="S158">L158/$R158</f>
        <v>2.39558789553098</v>
      </c>
      <c r="T158" s="25" cm="1">
        <f t="array" ref="T158">M158/$R158</f>
        <v>0.0494360609792959</v>
      </c>
      <c r="U158" s="25" cm="1">
        <f t="array" ref="U158">N158/$R158</f>
        <v>0.0857983955957623</v>
      </c>
      <c r="V158" s="25" cm="1">
        <f t="array" ref="V158">O158/$R158</f>
        <v>-0.0396039117992843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7" customHeight="1">
      <c r="A159" s="2"/>
      <c r="B159" t="s" s="24">
        <v>56</v>
      </c>
      <c r="C159" t="s" s="39">
        <v>218</v>
      </c>
      <c r="D159" s="25">
        <v>18.4791684067489</v>
      </c>
      <c r="E159" s="25">
        <v>81305.0064040413</v>
      </c>
      <c r="F159" s="25">
        <v>30400.656091747</v>
      </c>
      <c r="G159" s="25">
        <v>26.0550880504886</v>
      </c>
      <c r="H159" s="2"/>
      <c r="I159" s="25">
        <v>4.7</v>
      </c>
      <c r="J159" s="25" cm="1">
        <f t="array" ref="J159">I159/1000</f>
        <v>0.0047</v>
      </c>
      <c r="K159" s="2"/>
      <c r="L159" s="25" cm="1">
        <f t="array" ref="L159">D159*$J159</f>
        <v>0.0868520915117198</v>
      </c>
      <c r="M159" s="25" cm="1">
        <f t="array" ref="M159">E159*$J159</f>
        <v>382.133530098994</v>
      </c>
      <c r="N159" s="25" cm="1">
        <f t="array" ref="N159">F159*$J159</f>
        <v>142.883083631211</v>
      </c>
      <c r="O159" s="25" cm="1">
        <f t="array" ref="O159">G159*$J159</f>
        <v>0.122458913837296</v>
      </c>
      <c r="P159" s="2"/>
      <c r="Q159" s="25">
        <v>0.0189000000000004</v>
      </c>
      <c r="R159" s="25">
        <v>1</v>
      </c>
      <c r="S159" s="25" cm="1">
        <f t="array" ref="S159">L159/$R159</f>
        <v>0.0868520915117198</v>
      </c>
      <c r="T159" s="25" cm="1">
        <f t="array" ref="T159">M159/$R159</f>
        <v>382.133530098994</v>
      </c>
      <c r="U159" s="25" cm="1">
        <f t="array" ref="U159">N159/$R159</f>
        <v>142.883083631211</v>
      </c>
      <c r="V159" s="25" cm="1">
        <f t="array" ref="V159">O159/$R159</f>
        <v>0.122458913837296</v>
      </c>
      <c r="W159" s="2"/>
      <c r="X159" s="25" cm="1">
        <f t="array" ref="X159">S159-X$3-X$166</f>
        <v>-44.9651692134947</v>
      </c>
      <c r="Y159" s="25" cm="1">
        <f t="array" ref="Y159">T159-Y$3-Y$166</f>
        <v>382.044533539944</v>
      </c>
      <c r="Z159" s="25" cm="1">
        <f t="array" ref="Z159">U159-Z$3-Z$166</f>
        <v>142.828540144670</v>
      </c>
      <c r="AA159" s="25" cm="1">
        <f t="array" ref="AA159">V159-AA$3-AA$166</f>
        <v>0.161718516258274</v>
      </c>
      <c r="AB159" s="2"/>
      <c r="AC159" s="32" cm="1">
        <f t="array" ref="AC159">X159</f>
        <v>-44.9651692134947</v>
      </c>
      <c r="AD159" s="32" cm="1">
        <f t="array" ref="AD159">Y159</f>
        <v>382.044533539944</v>
      </c>
      <c r="AE159" s="32" cm="1">
        <f t="array" ref="AE159">Z159</f>
        <v>142.828540144670</v>
      </c>
      <c r="AF159" s="32" cm="1">
        <f t="array" ref="AF159">AA159</f>
        <v>0.161718516258274</v>
      </c>
    </row>
    <row r="160" ht="17" customHeight="1">
      <c r="A160" s="2"/>
      <c r="B160" t="s" s="24">
        <v>58</v>
      </c>
      <c r="C160" t="s" s="39">
        <v>219</v>
      </c>
      <c r="D160" s="25">
        <v>18.6201239118382</v>
      </c>
      <c r="E160" s="25">
        <v>57080.2442309391</v>
      </c>
      <c r="F160" s="25">
        <v>20287.9670161353</v>
      </c>
      <c r="G160" s="25">
        <v>14.7613658248872</v>
      </c>
      <c r="H160" s="2"/>
      <c r="I160" s="25">
        <v>4.7</v>
      </c>
      <c r="J160" s="25" cm="1">
        <f t="array" ref="J160">I160/1000</f>
        <v>0.0047</v>
      </c>
      <c r="K160" s="2"/>
      <c r="L160" s="25" cm="1">
        <f t="array" ref="L160">D160*$J160</f>
        <v>0.0875145823856395</v>
      </c>
      <c r="M160" s="25" cm="1">
        <f t="array" ref="M160">E160*$J160</f>
        <v>268.277147885414</v>
      </c>
      <c r="N160" s="25" cm="1">
        <f t="array" ref="N160">F160*$J160</f>
        <v>95.3534449758359</v>
      </c>
      <c r="O160" s="25" cm="1">
        <f t="array" ref="O160">G160*$J160</f>
        <v>0.0693784193769698</v>
      </c>
      <c r="P160" s="2"/>
      <c r="Q160" s="25">
        <v>0.0185999999999993</v>
      </c>
      <c r="R160" s="25">
        <v>1</v>
      </c>
      <c r="S160" s="25" cm="1">
        <f t="array" ref="S160">L160/$R160</f>
        <v>0.0875145823856395</v>
      </c>
      <c r="T160" s="25" cm="1">
        <f t="array" ref="T160">M160/$R160</f>
        <v>268.277147885414</v>
      </c>
      <c r="U160" s="25" cm="1">
        <f t="array" ref="U160">N160/$R160</f>
        <v>95.3534449758359</v>
      </c>
      <c r="V160" s="25" cm="1">
        <f t="array" ref="V160">O160/$R160</f>
        <v>0.0693784193769698</v>
      </c>
      <c r="W160" s="2"/>
      <c r="X160" s="25" cm="1">
        <f t="array" ref="X160">S160-X$3-X$166</f>
        <v>-44.9645067226208</v>
      </c>
      <c r="Y160" s="25" cm="1">
        <f t="array" ref="Y160">T160-Y$3-Y$166</f>
        <v>268.188151326364</v>
      </c>
      <c r="Z160" s="25" cm="1">
        <f t="array" ref="Z160">U160-Z$3-Z$166</f>
        <v>95.2989014892952</v>
      </c>
      <c r="AA160" s="25" cm="1">
        <f t="array" ref="AA160">V160-AA$3-AA$166</f>
        <v>0.108638021797948</v>
      </c>
      <c r="AB160" s="2"/>
      <c r="AC160" s="32" cm="1">
        <f t="array" ref="AC160">X160</f>
        <v>-44.9645067226208</v>
      </c>
      <c r="AD160" s="32" cm="1">
        <f t="array" ref="AD160">Y160</f>
        <v>268.188151326364</v>
      </c>
      <c r="AE160" s="32" cm="1">
        <f t="array" ref="AE160">Z160</f>
        <v>95.2989014892952</v>
      </c>
      <c r="AF160" s="32" cm="1">
        <f t="array" ref="AF160">AA160</f>
        <v>0.108638021797948</v>
      </c>
    </row>
    <row r="161" ht="17" customHeight="1">
      <c r="A161" s="2"/>
      <c r="B161" t="s" s="24">
        <v>60</v>
      </c>
      <c r="C161" t="s" s="39">
        <v>220</v>
      </c>
      <c r="D161" s="25">
        <v>27.4035231466135</v>
      </c>
      <c r="E161" s="25">
        <v>63495.1800273953</v>
      </c>
      <c r="F161" s="25">
        <v>31456.6200360716</v>
      </c>
      <c r="G161" s="25">
        <v>-9.557322251987779</v>
      </c>
      <c r="H161" s="2"/>
      <c r="I161" s="25">
        <v>4.7</v>
      </c>
      <c r="J161" s="25" cm="1">
        <f t="array" ref="J161">I161/1000</f>
        <v>0.0047</v>
      </c>
      <c r="K161" s="2"/>
      <c r="L161" s="25" cm="1">
        <f t="array" ref="L161">D161*$J161</f>
        <v>0.128796558789083</v>
      </c>
      <c r="M161" s="25" cm="1">
        <f t="array" ref="M161">E161*$J161</f>
        <v>298.427346128758</v>
      </c>
      <c r="N161" s="25" cm="1">
        <f t="array" ref="N161">F161*$J161</f>
        <v>147.846114169537</v>
      </c>
      <c r="O161" s="25" cm="1">
        <f t="array" ref="O161">G161*$J161</f>
        <v>-0.0449194145843426</v>
      </c>
      <c r="P161" s="2"/>
      <c r="Q161" s="25">
        <v>0.0187000000000008</v>
      </c>
      <c r="R161" s="25">
        <v>1</v>
      </c>
      <c r="S161" s="25" cm="1">
        <f t="array" ref="S161">L161/$R161</f>
        <v>0.128796558789083</v>
      </c>
      <c r="T161" s="25" cm="1">
        <f t="array" ref="T161">M161/$R161</f>
        <v>298.427346128758</v>
      </c>
      <c r="U161" s="25" cm="1">
        <f t="array" ref="U161">N161/$R161</f>
        <v>147.846114169537</v>
      </c>
      <c r="V161" s="25" cm="1">
        <f t="array" ref="V161">O161/$R161</f>
        <v>-0.0449194145843426</v>
      </c>
      <c r="W161" s="2"/>
      <c r="X161" s="25" cm="1">
        <f t="array" ref="X161">S161-X$3-X$166</f>
        <v>-44.9232247462173</v>
      </c>
      <c r="Y161" s="25" cm="1">
        <f t="array" ref="Y161">T161-Y$3-Y$166</f>
        <v>298.338349569708</v>
      </c>
      <c r="Z161" s="25" cm="1">
        <f t="array" ref="Z161">U161-Z$3-Z$166</f>
        <v>147.791570682996</v>
      </c>
      <c r="AA161" s="25" cm="1">
        <f t="array" ref="AA161">V161-AA$3-AA$166</f>
        <v>-0.0056598121633644</v>
      </c>
      <c r="AB161" s="2"/>
      <c r="AC161" s="32" cm="1">
        <f t="array" ref="AC161">X161</f>
        <v>-44.9232247462173</v>
      </c>
      <c r="AD161" s="32" cm="1">
        <f t="array" ref="AD161">Y161</f>
        <v>298.338349569708</v>
      </c>
      <c r="AE161" s="32" cm="1">
        <f t="array" ref="AE161">Z161</f>
        <v>147.791570682996</v>
      </c>
      <c r="AF161" s="32" cm="1">
        <f t="array" ref="AF161">AA161</f>
        <v>-0.0056598121633644</v>
      </c>
    </row>
    <row r="162" ht="17" customHeight="1">
      <c r="A162" s="2"/>
      <c r="B162" t="s" s="24">
        <v>62</v>
      </c>
      <c r="C162" t="s" s="39">
        <v>221</v>
      </c>
      <c r="D162" s="25">
        <v>14258.7491069623</v>
      </c>
      <c r="E162" s="25">
        <v>29.527185703330</v>
      </c>
      <c r="F162" s="25">
        <v>15.441138830382</v>
      </c>
      <c r="G162" s="25">
        <v>580.602580622472</v>
      </c>
      <c r="H162" s="2"/>
      <c r="I162" s="25">
        <v>4.7</v>
      </c>
      <c r="J162" s="25" cm="1">
        <f t="array" ref="J162">I162/1000</f>
        <v>0.0047</v>
      </c>
      <c r="K162" s="2"/>
      <c r="L162" s="25" cm="1">
        <f t="array" ref="L162">D162*$J162</f>
        <v>67.0161208027228</v>
      </c>
      <c r="M162" s="25" cm="1">
        <f t="array" ref="M162">E162*$J162</f>
        <v>0.138777772805651</v>
      </c>
      <c r="N162" s="25" cm="1">
        <f t="array" ref="N162">F162*$J162</f>
        <v>0.0725733525027954</v>
      </c>
      <c r="O162" s="25" cm="1">
        <f t="array" ref="O162">G162*$J162</f>
        <v>2.72883212892562</v>
      </c>
      <c r="P162" s="2"/>
      <c r="Q162" s="25">
        <v>0.0175000000000001</v>
      </c>
      <c r="R162" s="25">
        <v>1</v>
      </c>
      <c r="S162" s="25" cm="1">
        <f t="array" ref="S162">L162/$R162</f>
        <v>67.0161208027228</v>
      </c>
      <c r="T162" s="25" cm="1">
        <f t="array" ref="T162">M162/$R162</f>
        <v>0.138777772805651</v>
      </c>
      <c r="U162" s="25" cm="1">
        <f t="array" ref="U162">N162/$R162</f>
        <v>0.0725733525027954</v>
      </c>
      <c r="V162" s="25" cm="1">
        <f t="array" ref="V162">O162/$R162</f>
        <v>2.72883212892562</v>
      </c>
      <c r="W162" s="2"/>
      <c r="X162" s="25" cm="1">
        <f t="array" ref="X162">S162-X$3-X$166</f>
        <v>21.9640994977164</v>
      </c>
      <c r="Y162" s="25" cm="1">
        <f t="array" ref="Y162">T162-Y$3-Y$166</f>
        <v>0.0497812137554775</v>
      </c>
      <c r="Z162" s="25" cm="1">
        <f t="array" ref="Z162">U162-Z$3-Z$166</f>
        <v>0.0180298659620709</v>
      </c>
      <c r="AA162" s="25" cm="1">
        <f t="array" ref="AA162">V162-AA$3-AA$166</f>
        <v>2.7680917313466</v>
      </c>
      <c r="AB162" s="2"/>
      <c r="AC162" s="32" cm="1">
        <f t="array" ref="AC162">X162</f>
        <v>21.9640994977164</v>
      </c>
      <c r="AD162" s="32" cm="1">
        <f t="array" ref="AD162">Y162</f>
        <v>0.0497812137554775</v>
      </c>
      <c r="AE162" s="32" cm="1">
        <f t="array" ref="AE162">Z162</f>
        <v>0.0180298659620709</v>
      </c>
      <c r="AF162" s="32" cm="1">
        <f t="array" ref="AF162">AA162</f>
        <v>2.7680917313466</v>
      </c>
    </row>
    <row r="163" ht="17" customHeight="1">
      <c r="A163" s="2"/>
      <c r="B163" t="s" s="24">
        <v>64</v>
      </c>
      <c r="C163" t="s" s="39">
        <v>222</v>
      </c>
      <c r="D163" s="25">
        <v>6381.5152337221</v>
      </c>
      <c r="E163" s="25">
        <v>43.0962908668287</v>
      </c>
      <c r="F163" s="25">
        <v>21.0071826597285</v>
      </c>
      <c r="G163" s="25">
        <v>1000.729745794650</v>
      </c>
      <c r="H163" s="2"/>
      <c r="I163" s="25">
        <v>4.7</v>
      </c>
      <c r="J163" s="25" cm="1">
        <f t="array" ref="J163">I163/1000</f>
        <v>0.0047</v>
      </c>
      <c r="K163" s="2"/>
      <c r="L163" s="25" cm="1">
        <f t="array" ref="L163">D163*$J163</f>
        <v>29.9931215984939</v>
      </c>
      <c r="M163" s="25" cm="1">
        <f t="array" ref="M163">E163*$J163</f>
        <v>0.202552567074095</v>
      </c>
      <c r="N163" s="25" cm="1">
        <f t="array" ref="N163">F163*$J163</f>
        <v>0.09873375850072399</v>
      </c>
      <c r="O163" s="25" cm="1">
        <f t="array" ref="O163">G163*$J163</f>
        <v>4.70342980523486</v>
      </c>
      <c r="P163" s="2"/>
      <c r="Q163" s="25">
        <v>0.0183</v>
      </c>
      <c r="R163" s="25">
        <v>1</v>
      </c>
      <c r="S163" s="25" cm="1">
        <f t="array" ref="S163">L163/$R163</f>
        <v>29.9931215984939</v>
      </c>
      <c r="T163" s="25" cm="1">
        <f t="array" ref="T163">M163/$R163</f>
        <v>0.202552567074095</v>
      </c>
      <c r="U163" s="25" cm="1">
        <f t="array" ref="U163">N163/$R163</f>
        <v>0.09873375850072399</v>
      </c>
      <c r="V163" s="25" cm="1">
        <f t="array" ref="V163">O163/$R163</f>
        <v>4.70342980523486</v>
      </c>
      <c r="W163" s="2"/>
      <c r="X163" s="25" cm="1">
        <f t="array" ref="X163">S163-X$3-X$166</f>
        <v>-15.0588997065125</v>
      </c>
      <c r="Y163" s="25" cm="1">
        <f t="array" ref="Y163">T163-Y$3-Y$166</f>
        <v>0.113556008023922</v>
      </c>
      <c r="Z163" s="25" cm="1">
        <f t="array" ref="Z163">U163-Z$3-Z$166</f>
        <v>0.0441902719599995</v>
      </c>
      <c r="AA163" s="25" cm="1">
        <f t="array" ref="AA163">V163-AA$3-AA$166</f>
        <v>4.74268940765584</v>
      </c>
      <c r="AB163" s="2"/>
      <c r="AC163" s="32" cm="1">
        <f t="array" ref="AC163">X163</f>
        <v>-15.0588997065125</v>
      </c>
      <c r="AD163" s="32" cm="1">
        <f t="array" ref="AD163">Y163</f>
        <v>0.113556008023922</v>
      </c>
      <c r="AE163" s="32" cm="1">
        <f t="array" ref="AE163">Z163</f>
        <v>0.0441902719599995</v>
      </c>
      <c r="AF163" s="32" cm="1">
        <f t="array" ref="AF163">AA163</f>
        <v>4.74268940765584</v>
      </c>
    </row>
    <row r="164" ht="17" customHeight="1">
      <c r="A164" s="2"/>
      <c r="B164" t="s" s="24">
        <v>66</v>
      </c>
      <c r="C164" t="s" s="39">
        <v>223</v>
      </c>
      <c r="D164" s="25">
        <v>48227.355358988</v>
      </c>
      <c r="E164" s="25">
        <v>26.2993457767846</v>
      </c>
      <c r="F164" s="25">
        <v>14.1063871888825</v>
      </c>
      <c r="G164" s="25">
        <v>752.891059308177</v>
      </c>
      <c r="H164" s="2"/>
      <c r="I164" s="25">
        <v>4.7</v>
      </c>
      <c r="J164" s="25" cm="1">
        <f t="array" ref="J164">I164/1000</f>
        <v>0.0047</v>
      </c>
      <c r="K164" s="2"/>
      <c r="L164" s="25" cm="1">
        <f t="array" ref="L164">D164*$J164</f>
        <v>226.668570187244</v>
      </c>
      <c r="M164" s="25" cm="1">
        <f t="array" ref="M164">E164*$J164</f>
        <v>0.123606925150888</v>
      </c>
      <c r="N164" s="25" cm="1">
        <f t="array" ref="N164">F164*$J164</f>
        <v>0.0663000197877478</v>
      </c>
      <c r="O164" s="25" cm="1">
        <f t="array" ref="O164">G164*$J164</f>
        <v>3.53858797874843</v>
      </c>
      <c r="P164" s="2"/>
      <c r="Q164" s="25">
        <v>0.0184999999999995</v>
      </c>
      <c r="R164" s="25">
        <v>1</v>
      </c>
      <c r="S164" s="25" cm="1">
        <f t="array" ref="S164">L164/$R164</f>
        <v>226.668570187244</v>
      </c>
      <c r="T164" s="25" cm="1">
        <f t="array" ref="T164">M164/$R164</f>
        <v>0.123606925150888</v>
      </c>
      <c r="U164" s="25" cm="1">
        <f t="array" ref="U164">N164/$R164</f>
        <v>0.0663000197877478</v>
      </c>
      <c r="V164" s="25" cm="1">
        <f t="array" ref="V164">O164/$R164</f>
        <v>3.53858797874843</v>
      </c>
      <c r="W164" s="2"/>
      <c r="X164" s="25" cm="1">
        <f t="array" ref="X164">S164-X$3-X$166</f>
        <v>181.616548882238</v>
      </c>
      <c r="Y164" s="25" cm="1">
        <f t="array" ref="Y164">T164-Y$3-Y$166</f>
        <v>0.0346103661007145</v>
      </c>
      <c r="Z164" s="25" cm="1">
        <f t="array" ref="Z164">U164-Z$3-Z$166</f>
        <v>0.0117565332470233</v>
      </c>
      <c r="AA164" s="25" cm="1">
        <f t="array" ref="AA164">V164-AA$3-AA$166</f>
        <v>3.57784758116941</v>
      </c>
      <c r="AB164" s="2"/>
      <c r="AC164" s="32" cm="1">
        <f t="array" ref="AC164">X164</f>
        <v>181.616548882238</v>
      </c>
      <c r="AD164" s="32" cm="1">
        <f t="array" ref="AD164">Y164</f>
        <v>0.0346103661007145</v>
      </c>
      <c r="AE164" s="32" cm="1">
        <f t="array" ref="AE164">Z164</f>
        <v>0.0117565332470233</v>
      </c>
      <c r="AF164" s="32" cm="1">
        <f t="array" ref="AF164">AA164</f>
        <v>3.57784758116941</v>
      </c>
    </row>
    <row r="165" ht="17" customHeight="1">
      <c r="A165" s="2"/>
      <c r="B165" t="s" s="24">
        <v>68</v>
      </c>
      <c r="C165" t="s" s="39">
        <v>224</v>
      </c>
      <c r="D165" s="25">
        <v>5762.925352506980</v>
      </c>
      <c r="E165" s="25">
        <v>24.6911082242802</v>
      </c>
      <c r="F165" s="25">
        <v>10.6491551703899</v>
      </c>
      <c r="G165" s="25">
        <v>-8.18115168814322</v>
      </c>
      <c r="H165" s="2"/>
      <c r="I165" s="25">
        <v>4.7</v>
      </c>
      <c r="J165" s="25" cm="1">
        <f t="array" ref="J165">I165/1000</f>
        <v>0.0047</v>
      </c>
      <c r="K165" s="2"/>
      <c r="L165" s="25" cm="1">
        <f t="array" ref="L165">D165*$J165</f>
        <v>27.0857491567828</v>
      </c>
      <c r="M165" s="25" cm="1">
        <f t="array" ref="M165">E165*$J165</f>
        <v>0.116048208654117</v>
      </c>
      <c r="N165" s="25" cm="1">
        <f t="array" ref="N165">F165*$J165</f>
        <v>0.0500510293008325</v>
      </c>
      <c r="O165" s="25" cm="1">
        <f t="array" ref="O165">G165*$J165</f>
        <v>-0.0384514129342731</v>
      </c>
      <c r="P165" s="2"/>
      <c r="Q165" s="25">
        <v>0.0182000000000002</v>
      </c>
      <c r="R165" s="25">
        <v>1</v>
      </c>
      <c r="S165" s="25" cm="1">
        <f t="array" ref="S165">L165/$R165</f>
        <v>27.0857491567828</v>
      </c>
      <c r="T165" s="25" cm="1">
        <f t="array" ref="T165">M165/$R165</f>
        <v>0.116048208654117</v>
      </c>
      <c r="U165" s="25" cm="1">
        <f t="array" ref="U165">N165/$R165</f>
        <v>0.0500510293008325</v>
      </c>
      <c r="V165" s="25" cm="1">
        <f t="array" ref="V165">O165/$R165</f>
        <v>-0.0384514129342731</v>
      </c>
      <c r="W165" s="2"/>
      <c r="X165" s="2"/>
      <c r="Y165" s="2"/>
      <c r="Z165" s="2"/>
      <c r="AA165" s="2"/>
      <c r="AB165" s="2"/>
      <c r="AC165" s="26"/>
      <c r="AD165" s="26"/>
      <c r="AE165" s="26"/>
      <c r="AF165" s="26"/>
    </row>
    <row r="166" ht="17" customHeight="1">
      <c r="A166" s="2"/>
      <c r="B166" t="s" s="24">
        <v>70</v>
      </c>
      <c r="C166" t="s" s="39">
        <v>225</v>
      </c>
      <c r="D166" s="25">
        <v>19872.4582723317</v>
      </c>
      <c r="E166" s="25">
        <v>17.8190477530814</v>
      </c>
      <c r="F166" s="25">
        <v>12.8522005241509</v>
      </c>
      <c r="G166" s="25">
        <v>-8.39345090643463</v>
      </c>
      <c r="H166" s="2"/>
      <c r="I166" s="25">
        <v>4.7</v>
      </c>
      <c r="J166" s="25" cm="1">
        <f t="array" ref="J166">I166/1000</f>
        <v>0.0047</v>
      </c>
      <c r="K166" s="2"/>
      <c r="L166" s="25" cm="1">
        <f t="array" ref="L166">D166*$J166</f>
        <v>93.40055387995901</v>
      </c>
      <c r="M166" s="25" cm="1">
        <f t="array" ref="M166">E166*$J166</f>
        <v>0.08374952443948259</v>
      </c>
      <c r="N166" s="25" cm="1">
        <f t="array" ref="N166">F166*$J166</f>
        <v>0.0604053424635092</v>
      </c>
      <c r="O166" s="25" cm="1">
        <f t="array" ref="O166">G166*$J166</f>
        <v>-0.0394492192602428</v>
      </c>
      <c r="P166" s="2"/>
      <c r="Q166" s="25">
        <v>0.0179000000000009</v>
      </c>
      <c r="R166" s="25">
        <v>1</v>
      </c>
      <c r="S166" s="25" cm="1">
        <f t="array" ref="S166">L166/$R166</f>
        <v>93.40055387995901</v>
      </c>
      <c r="T166" s="25" cm="1">
        <f t="array" ref="T166">M166/$R166</f>
        <v>0.08374952443948259</v>
      </c>
      <c r="U166" s="25" cm="1">
        <f t="array" ref="U166">N166/$R166</f>
        <v>0.0604053424635092</v>
      </c>
      <c r="V166" s="25" cm="1">
        <f t="array" ref="V166">O166/$R166</f>
        <v>-0.0394492192602428</v>
      </c>
      <c r="W166" s="2"/>
      <c r="X166" s="25" cm="1">
        <f t="array" ref="X166">AVERAGE(S165:S167)</f>
        <v>45.0520213050064</v>
      </c>
      <c r="Y166" s="25" cm="1">
        <f t="array" ref="Y166">AVERAGE(T165:T167)</f>
        <v>0.08899655905017349</v>
      </c>
      <c r="Z166" s="25" cm="1">
        <f t="array" ref="Z166">AVERAGE(U165:U167)</f>
        <v>0.0545434865407245</v>
      </c>
      <c r="AA166" s="25" cm="1">
        <f t="array" ref="AA166">AVERAGE(V165:V167)</f>
        <v>-0.0392596024209782</v>
      </c>
      <c r="AB166" s="2"/>
      <c r="AC166" s="26"/>
      <c r="AD166" s="26"/>
      <c r="AE166" s="26"/>
      <c r="AF166" s="26"/>
    </row>
    <row r="167" ht="17" customHeight="1">
      <c r="A167" s="2"/>
      <c r="B167" t="s" s="36">
        <v>72</v>
      </c>
      <c r="C167" t="s" s="39">
        <v>226</v>
      </c>
      <c r="D167" s="25">
        <v>3121.225718782410</v>
      </c>
      <c r="E167" s="25">
        <v>14.2961583099832</v>
      </c>
      <c r="F167" s="25">
        <v>11.3136357144323</v>
      </c>
      <c r="G167" s="25">
        <v>-8.484718099663541</v>
      </c>
      <c r="H167" s="2"/>
      <c r="I167" s="25">
        <v>4.7</v>
      </c>
      <c r="J167" s="25" cm="1">
        <f t="array" ref="J167">I167/1000</f>
        <v>0.0047</v>
      </c>
      <c r="K167" s="2"/>
      <c r="L167" s="25" cm="1">
        <f t="array" ref="L167">D167*$J167</f>
        <v>14.6697608782773</v>
      </c>
      <c r="M167" s="25" cm="1">
        <f t="array" ref="M167">E167*$J167</f>
        <v>0.067191944056921</v>
      </c>
      <c r="N167" s="25" cm="1">
        <f t="array" ref="N167">F167*$J167</f>
        <v>0.0531740878578318</v>
      </c>
      <c r="O167" s="25" cm="1">
        <f t="array" ref="O167">G167*$J167</f>
        <v>-0.0398781750684186</v>
      </c>
      <c r="P167" s="2"/>
      <c r="Q167" s="25">
        <v>0.0178999999999991</v>
      </c>
      <c r="R167" s="25">
        <v>1</v>
      </c>
      <c r="S167" s="25" cm="1">
        <f t="array" ref="S167">L167/$R167</f>
        <v>14.6697608782773</v>
      </c>
      <c r="T167" s="25" cm="1">
        <f t="array" ref="T167">M167/$R167</f>
        <v>0.067191944056921</v>
      </c>
      <c r="U167" s="25" cm="1">
        <f t="array" ref="U167">N167/$R167</f>
        <v>0.0531740878578318</v>
      </c>
      <c r="V167" s="25" cm="1">
        <f t="array" ref="V167">O167/$R167</f>
        <v>-0.0398781750684186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7" customHeight="1">
      <c r="A168" s="2"/>
      <c r="B168" t="s" s="19">
        <v>74</v>
      </c>
      <c r="C168" t="s" s="39">
        <v>227</v>
      </c>
      <c r="D168" s="25">
        <v>35.7787286934015</v>
      </c>
      <c r="E168" s="25">
        <v>64.9090611277679</v>
      </c>
      <c r="F168" s="25">
        <v>30.9329607816013</v>
      </c>
      <c r="G168" s="25">
        <v>-9.546797005341009</v>
      </c>
      <c r="H168" s="2"/>
      <c r="I168" s="25">
        <v>4.7</v>
      </c>
      <c r="J168" s="25" cm="1">
        <f t="array" ref="J168">I168/1000</f>
        <v>0.0047</v>
      </c>
      <c r="K168" s="2"/>
      <c r="L168" s="25" cm="1">
        <f t="array" ref="L168">D168*$J168</f>
        <v>0.168160024858987</v>
      </c>
      <c r="M168" s="25" cm="1">
        <f t="array" ref="M168">E168*$J168</f>
        <v>0.305072587300509</v>
      </c>
      <c r="N168" s="25" cm="1">
        <f t="array" ref="N168">F168*$J168</f>
        <v>0.145384915673526</v>
      </c>
      <c r="O168" s="25" cm="1">
        <f t="array" ref="O168">G168*$J168</f>
        <v>-0.0448699459251027</v>
      </c>
      <c r="P168" s="2"/>
      <c r="Q168" s="25">
        <v>0.0143000000000004</v>
      </c>
      <c r="R168" s="25">
        <v>1</v>
      </c>
      <c r="S168" s="25" cm="1">
        <f t="array" ref="S168">L168/$R168</f>
        <v>0.168160024858987</v>
      </c>
      <c r="T168" s="25" cm="1">
        <f t="array" ref="T168">M168/$R168</f>
        <v>0.305072587300509</v>
      </c>
      <c r="U168" s="25" cm="1">
        <f t="array" ref="U168">N168/$R168</f>
        <v>0.145384915673526</v>
      </c>
      <c r="V168" s="25" cm="1">
        <f t="array" ref="V168">O168/$R168</f>
        <v>-0.0448699459251027</v>
      </c>
      <c r="W168" s="2"/>
      <c r="X168" s="25" cm="1">
        <f t="array" ref="X168">S168-X$3-X$175</f>
        <v>0.020137815029194</v>
      </c>
      <c r="Y168" s="25" cm="1">
        <f t="array" ref="Y168">T168-Y$3-Y$175</f>
        <v>0.294033955227552</v>
      </c>
      <c r="Z168" s="25" cm="1">
        <f t="array" ref="Z168">U168-Z$3-Z$175</f>
        <v>0.105542448589339</v>
      </c>
      <c r="AA168" s="25" cm="1">
        <f t="array" ref="AA168">V168-AA$3-AA$175</f>
        <v>0.0187292921467707</v>
      </c>
      <c r="AB168" s="2"/>
      <c r="AC168" s="32" cm="1">
        <f t="array" ref="AC168">X168</f>
        <v>0.020137815029194</v>
      </c>
      <c r="AD168" s="32" cm="1">
        <f t="array" ref="AD168">Y168</f>
        <v>0.294033955227552</v>
      </c>
      <c r="AE168" s="32" cm="1">
        <f t="array" ref="AE168">Z168</f>
        <v>0.105542448589339</v>
      </c>
      <c r="AF168" s="32" cm="1">
        <f t="array" ref="AF168">AA168</f>
        <v>0.0187292921467707</v>
      </c>
    </row>
    <row r="169" ht="17" customHeight="1">
      <c r="A169" s="2"/>
      <c r="B169" t="s" s="24">
        <v>76</v>
      </c>
      <c r="C169" t="s" s="39">
        <v>228</v>
      </c>
      <c r="D169" s="25">
        <v>85.35833424681149</v>
      </c>
      <c r="E169" s="25">
        <v>37.8626856494575</v>
      </c>
      <c r="F169" s="25">
        <v>41.7189801910705</v>
      </c>
      <c r="G169" s="25">
        <v>9.50338116397219</v>
      </c>
      <c r="H169" s="2"/>
      <c r="I169" s="25">
        <v>4.7</v>
      </c>
      <c r="J169" s="25" cm="1">
        <f t="array" ref="J169">I169/1000</f>
        <v>0.0047</v>
      </c>
      <c r="K169" s="2"/>
      <c r="L169" s="25" cm="1">
        <f t="array" ref="L169">D169*$J169</f>
        <v>0.401184170960014</v>
      </c>
      <c r="M169" s="25" cm="1">
        <f t="array" ref="M169">E169*$J169</f>
        <v>0.17795462255245</v>
      </c>
      <c r="N169" s="25" cm="1">
        <f t="array" ref="N169">F169*$J169</f>
        <v>0.196079206898031</v>
      </c>
      <c r="O169" s="25" cm="1">
        <f t="array" ref="O169">G169*$J169</f>
        <v>0.0446658914706693</v>
      </c>
      <c r="P169" s="2"/>
      <c r="Q169" s="25">
        <v>0.0180000000000007</v>
      </c>
      <c r="R169" s="25">
        <v>1</v>
      </c>
      <c r="S169" s="25" cm="1">
        <f t="array" ref="S169">L169/$R169</f>
        <v>0.401184170960014</v>
      </c>
      <c r="T169" s="25" cm="1">
        <f t="array" ref="T169">M169/$R169</f>
        <v>0.17795462255245</v>
      </c>
      <c r="U169" s="25" cm="1">
        <f t="array" ref="U169">N169/$R169</f>
        <v>0.196079206898031</v>
      </c>
      <c r="V169" s="25" cm="1">
        <f t="array" ref="V169">O169/$R169</f>
        <v>0.0446658914706693</v>
      </c>
      <c r="W169" s="2"/>
      <c r="X169" s="25" cm="1">
        <f t="array" ref="X169">S169-X$3-X$175</f>
        <v>0.253161961130221</v>
      </c>
      <c r="Y169" s="25" cm="1">
        <f t="array" ref="Y169">T169-Y$3-Y$175</f>
        <v>0.166915990479493</v>
      </c>
      <c r="Z169" s="25" cm="1">
        <f t="array" ref="Z169">U169-Z$3-Z$175</f>
        <v>0.156236739813844</v>
      </c>
      <c r="AA169" s="25" cm="1">
        <f t="array" ref="AA169">V169-AA$3-AA$175</f>
        <v>0.108265129542543</v>
      </c>
      <c r="AB169" s="2"/>
      <c r="AC169" s="32" cm="1">
        <f t="array" ref="AC169">X169</f>
        <v>0.253161961130221</v>
      </c>
      <c r="AD169" s="32" cm="1">
        <f t="array" ref="AD169">Y169</f>
        <v>0.166915990479493</v>
      </c>
      <c r="AE169" s="32" cm="1">
        <f t="array" ref="AE169">Z169</f>
        <v>0.156236739813844</v>
      </c>
      <c r="AF169" s="32" cm="1">
        <f t="array" ref="AF169">AA169</f>
        <v>0.108265129542543</v>
      </c>
    </row>
    <row r="170" ht="17" customHeight="1">
      <c r="A170" s="2"/>
      <c r="B170" t="s" s="24">
        <v>78</v>
      </c>
      <c r="C170" t="s" s="39">
        <v>229</v>
      </c>
      <c r="D170" s="25">
        <v>15.7567084277969</v>
      </c>
      <c r="E170" s="25">
        <v>40.1039046146161</v>
      </c>
      <c r="F170" s="25">
        <v>58.2553959836553</v>
      </c>
      <c r="G170" s="25">
        <v>-8.550576230979781</v>
      </c>
      <c r="H170" s="2"/>
      <c r="I170" s="25">
        <v>4.7</v>
      </c>
      <c r="J170" s="25" cm="1">
        <f t="array" ref="J170">I170/1000</f>
        <v>0.0047</v>
      </c>
      <c r="K170" s="2"/>
      <c r="L170" s="25" cm="1">
        <f t="array" ref="L170">D170*$J170</f>
        <v>0.07405652961064541</v>
      </c>
      <c r="M170" s="25" cm="1">
        <f t="array" ref="M170">E170*$J170</f>
        <v>0.188488351688696</v>
      </c>
      <c r="N170" s="25" cm="1">
        <f t="array" ref="N170">F170*$J170</f>
        <v>0.27380036112318</v>
      </c>
      <c r="O170" s="25" cm="1">
        <f t="array" ref="O170">G170*$J170</f>
        <v>-0.040187708285605</v>
      </c>
      <c r="P170" s="2"/>
      <c r="Q170" s="25">
        <v>0.0186000000000011</v>
      </c>
      <c r="R170" s="25">
        <v>1</v>
      </c>
      <c r="S170" s="25" cm="1">
        <f t="array" ref="S170">L170/$R170</f>
        <v>0.07405652961064541</v>
      </c>
      <c r="T170" s="25" cm="1">
        <f t="array" ref="T170">M170/$R170</f>
        <v>0.188488351688696</v>
      </c>
      <c r="U170" s="25" cm="1">
        <f t="array" ref="U170">N170/$R170</f>
        <v>0.27380036112318</v>
      </c>
      <c r="V170" s="25" cm="1">
        <f t="array" ref="V170">O170/$R170</f>
        <v>-0.040187708285605</v>
      </c>
      <c r="W170" s="2"/>
      <c r="X170" s="25" cm="1">
        <f t="array" ref="X170">S170-X$3-X$175</f>
        <v>-0.07396568021914759</v>
      </c>
      <c r="Y170" s="25" cm="1">
        <f t="array" ref="Y170">T170-Y$3-Y$175</f>
        <v>0.177449719615739</v>
      </c>
      <c r="Z170" s="25" cm="1">
        <f t="array" ref="Z170">U170-Z$3-Z$175</f>
        <v>0.233957894038993</v>
      </c>
      <c r="AA170" s="25" cm="1">
        <f t="array" ref="AA170">V170-AA$3-AA$175</f>
        <v>0.0234115297862684</v>
      </c>
      <c r="AB170" s="2"/>
      <c r="AC170" s="32" cm="1">
        <f t="array" ref="AC170">X170</f>
        <v>-0.07396568021914759</v>
      </c>
      <c r="AD170" s="32" cm="1">
        <f t="array" ref="AD170">Y170</f>
        <v>0.177449719615739</v>
      </c>
      <c r="AE170" s="32" cm="1">
        <f t="array" ref="AE170">Z170</f>
        <v>0.233957894038993</v>
      </c>
      <c r="AF170" s="32" cm="1">
        <f t="array" ref="AF170">AA170</f>
        <v>0.0234115297862684</v>
      </c>
    </row>
    <row r="171" ht="17" customHeight="1">
      <c r="A171" s="2"/>
      <c r="B171" t="s" s="24">
        <v>80</v>
      </c>
      <c r="C171" t="s" s="39">
        <v>230</v>
      </c>
      <c r="D171" s="25">
        <v>9.919593324239541</v>
      </c>
      <c r="E171" s="25">
        <v>46.7139955912032</v>
      </c>
      <c r="F171" s="25">
        <v>3.22409834305072</v>
      </c>
      <c r="G171" s="25">
        <v>37.0112354029525</v>
      </c>
      <c r="H171" s="2"/>
      <c r="I171" s="25">
        <v>4.7</v>
      </c>
      <c r="J171" s="25" cm="1">
        <f t="array" ref="J171">I171/1000</f>
        <v>0.0047</v>
      </c>
      <c r="K171" s="2"/>
      <c r="L171" s="25" cm="1">
        <f t="array" ref="L171">D171*$J171</f>
        <v>0.0466220886239258</v>
      </c>
      <c r="M171" s="25" cm="1">
        <f t="array" ref="M171">E171*$J171</f>
        <v>0.219555779278655</v>
      </c>
      <c r="N171" s="25" cm="1">
        <f t="array" ref="N171">F171*$J171</f>
        <v>0.0151532622123384</v>
      </c>
      <c r="O171" s="25" cm="1">
        <f t="array" ref="O171">G171*$J171</f>
        <v>0.173952806393877</v>
      </c>
      <c r="P171" s="2"/>
      <c r="Q171" s="25">
        <v>0.0179000000000009</v>
      </c>
      <c r="R171" s="25">
        <v>1</v>
      </c>
      <c r="S171" s="25" cm="1">
        <f t="array" ref="S171">L171/$R171</f>
        <v>0.0466220886239258</v>
      </c>
      <c r="T171" s="25" cm="1">
        <f t="array" ref="T171">M171/$R171</f>
        <v>0.219555779278655</v>
      </c>
      <c r="U171" s="25" cm="1">
        <f t="array" ref="U171">N171/$R171</f>
        <v>0.0151532622123384</v>
      </c>
      <c r="V171" s="25" cm="1">
        <f t="array" ref="V171">O171/$R171</f>
        <v>0.173952806393877</v>
      </c>
      <c r="W171" s="2"/>
      <c r="X171" s="25" cm="1">
        <f t="array" ref="X171">S171-X$3-X$175</f>
        <v>-0.101400121205867</v>
      </c>
      <c r="Y171" s="25" cm="1">
        <f t="array" ref="Y171">T171-Y$3-Y$175</f>
        <v>0.208517147205698</v>
      </c>
      <c r="Z171" s="25" cm="1">
        <f t="array" ref="Z171">U171-Z$3-Z$175</f>
        <v>-0.024689204871849</v>
      </c>
      <c r="AA171" s="25" cm="1">
        <f t="array" ref="AA171">V171-AA$3-AA$175</f>
        <v>0.23755204446575</v>
      </c>
      <c r="AB171" s="2"/>
      <c r="AC171" s="32" cm="1">
        <f t="array" ref="AC171">X171</f>
        <v>-0.101400121205867</v>
      </c>
      <c r="AD171" s="32" cm="1">
        <f t="array" ref="AD171">Y171</f>
        <v>0.208517147205698</v>
      </c>
      <c r="AE171" s="32" cm="1">
        <f t="array" ref="AE171">Z171</f>
        <v>-0.024689204871849</v>
      </c>
      <c r="AF171" s="32" cm="1">
        <f t="array" ref="AF171">AA171</f>
        <v>0.23755204446575</v>
      </c>
    </row>
    <row r="172" ht="17" customHeight="1">
      <c r="A172" s="2"/>
      <c r="B172" t="s" s="24">
        <v>82</v>
      </c>
      <c r="C172" t="s" s="39">
        <v>231</v>
      </c>
      <c r="D172" s="25">
        <v>24.3878434296226</v>
      </c>
      <c r="E172" s="25">
        <v>24.0788138496298</v>
      </c>
      <c r="F172" s="25">
        <v>0.0166</v>
      </c>
      <c r="G172" s="25">
        <v>50.0961800232857</v>
      </c>
      <c r="H172" s="2"/>
      <c r="I172" s="25">
        <v>4.7</v>
      </c>
      <c r="J172" s="25" cm="1">
        <f t="array" ref="J172">I172/1000</f>
        <v>0.0047</v>
      </c>
      <c r="K172" s="2"/>
      <c r="L172" s="25" cm="1">
        <f t="array" ref="L172">D172*$J172</f>
        <v>0.114622864119226</v>
      </c>
      <c r="M172" s="25" cm="1">
        <f t="array" ref="M172">E172*$J172</f>
        <v>0.11317042509326</v>
      </c>
      <c r="N172" s="25" cm="1">
        <f t="array" ref="N172">F172*$J172</f>
        <v>7.802e-05</v>
      </c>
      <c r="O172" s="25" cm="1">
        <f t="array" ref="O172">G172*$J172</f>
        <v>0.235452046109443</v>
      </c>
      <c r="P172" s="2"/>
      <c r="Q172" s="25">
        <v>0.0189000000000004</v>
      </c>
      <c r="R172" s="25">
        <v>1</v>
      </c>
      <c r="S172" s="25" cm="1">
        <f t="array" ref="S172">L172/$R172</f>
        <v>0.114622864119226</v>
      </c>
      <c r="T172" s="25" cm="1">
        <f t="array" ref="T172">M172/$R172</f>
        <v>0.11317042509326</v>
      </c>
      <c r="U172" s="25" cm="1">
        <f t="array" ref="U172">N172/$R172</f>
        <v>7.802e-05</v>
      </c>
      <c r="V172" s="25" cm="1">
        <f t="array" ref="V172">O172/$R172</f>
        <v>0.235452046109443</v>
      </c>
      <c r="W172" s="2"/>
      <c r="X172" s="25" cm="1">
        <f t="array" ref="X172">S172-X$3-X$175</f>
        <v>-0.033399345710567</v>
      </c>
      <c r="Y172" s="25" cm="1">
        <f t="array" ref="Y172">T172-Y$3-Y$175</f>
        <v>0.102131793020303</v>
      </c>
      <c r="Z172" s="25" cm="1">
        <f t="array" ref="Z172">U172-Z$3-Z$175</f>
        <v>-0.0397644470841874</v>
      </c>
      <c r="AA172" s="25" cm="1">
        <f t="array" ref="AA172">V172-AA$3-AA$175</f>
        <v>0.299051284181316</v>
      </c>
      <c r="AB172" s="2"/>
      <c r="AC172" s="32" cm="1">
        <f t="array" ref="AC172">X172</f>
        <v>-0.033399345710567</v>
      </c>
      <c r="AD172" s="32" cm="1">
        <f t="array" ref="AD172">Y172</f>
        <v>0.102131793020303</v>
      </c>
      <c r="AE172" s="32" cm="1">
        <f t="array" ref="AE172">Z172</f>
        <v>-0.0397644470841874</v>
      </c>
      <c r="AF172" s="32" cm="1">
        <f t="array" ref="AF172">AA172</f>
        <v>0.299051284181316</v>
      </c>
    </row>
    <row r="173" ht="17" customHeight="1">
      <c r="A173" s="2"/>
      <c r="B173" t="s" s="24">
        <v>84</v>
      </c>
      <c r="C173" t="s" s="39">
        <v>232</v>
      </c>
      <c r="D173" s="25">
        <v>15.4032358409747</v>
      </c>
      <c r="E173" s="25">
        <v>25.2087420323628</v>
      </c>
      <c r="F173" s="25">
        <v>12.6043134646619</v>
      </c>
      <c r="G173" s="25">
        <v>-3.71022186537243</v>
      </c>
      <c r="H173" s="2"/>
      <c r="I173" s="25">
        <v>4.7</v>
      </c>
      <c r="J173" s="25" cm="1">
        <f t="array" ref="J173">I173/1000</f>
        <v>0.0047</v>
      </c>
      <c r="K173" s="2"/>
      <c r="L173" s="25" cm="1">
        <f t="array" ref="L173">D173*$J173</f>
        <v>0.0723952084525811</v>
      </c>
      <c r="M173" s="25" cm="1">
        <f t="array" ref="M173">E173*$J173</f>
        <v>0.118481087552105</v>
      </c>
      <c r="N173" s="25" cm="1">
        <f t="array" ref="N173">F173*$J173</f>
        <v>0.0592402732839109</v>
      </c>
      <c r="O173" s="25" cm="1">
        <f t="array" ref="O173">G173*$J173</f>
        <v>-0.0174380427672504</v>
      </c>
      <c r="P173" s="2"/>
      <c r="Q173" s="25">
        <v>0.0178999999999991</v>
      </c>
      <c r="R173" s="25">
        <v>1</v>
      </c>
      <c r="S173" s="25" cm="1">
        <f t="array" ref="S173">L173/$R173</f>
        <v>0.0723952084525811</v>
      </c>
      <c r="T173" s="25" cm="1">
        <f t="array" ref="T173">M173/$R173</f>
        <v>0.118481087552105</v>
      </c>
      <c r="U173" s="25" cm="1">
        <f t="array" ref="U173">N173/$R173</f>
        <v>0.0592402732839109</v>
      </c>
      <c r="V173" s="25" cm="1">
        <f t="array" ref="V173">O173/$R173</f>
        <v>-0.0174380427672504</v>
      </c>
      <c r="W173" s="2"/>
      <c r="X173" s="25" cm="1">
        <f t="array" ref="X173">S173-X$3-X$175</f>
        <v>-0.0756270013772119</v>
      </c>
      <c r="Y173" s="25" cm="1">
        <f t="array" ref="Y173">T173-Y$3-Y$175</f>
        <v>0.107442455479148</v>
      </c>
      <c r="Z173" s="25" cm="1">
        <f t="array" ref="Z173">U173-Z$3-Z$175</f>
        <v>0.0193978061997235</v>
      </c>
      <c r="AA173" s="25" cm="1">
        <f t="array" ref="AA173">V173-AA$3-AA$175</f>
        <v>0.046161195304623</v>
      </c>
      <c r="AB173" s="2"/>
      <c r="AC173" s="32" cm="1">
        <f t="array" ref="AC173">X173</f>
        <v>-0.0756270013772119</v>
      </c>
      <c r="AD173" s="32" cm="1">
        <f t="array" ref="AD173">Y173</f>
        <v>0.107442455479148</v>
      </c>
      <c r="AE173" s="32" cm="1">
        <f t="array" ref="AE173">Z173</f>
        <v>0.0193978061997235</v>
      </c>
      <c r="AF173" s="32" cm="1">
        <f t="array" ref="AF173">AA173</f>
        <v>0.046161195304623</v>
      </c>
    </row>
    <row r="174" ht="17" customHeight="1">
      <c r="A174" s="2"/>
      <c r="B174" t="s" s="24">
        <v>86</v>
      </c>
      <c r="C174" t="s" s="39">
        <v>233</v>
      </c>
      <c r="D174" s="25">
        <v>14.6622903619256</v>
      </c>
      <c r="E174" s="25">
        <v>7.04263536571751</v>
      </c>
      <c r="F174" s="25">
        <v>14.8624201048655</v>
      </c>
      <c r="G174" s="25">
        <v>-13.469393735295</v>
      </c>
      <c r="H174" s="2"/>
      <c r="I174" s="25">
        <v>4.7</v>
      </c>
      <c r="J174" s="25" cm="1">
        <f t="array" ref="J174">I174/1000</f>
        <v>0.0047</v>
      </c>
      <c r="K174" s="2"/>
      <c r="L174" s="25" cm="1">
        <f t="array" ref="L174">D174*$J174</f>
        <v>0.0689127647010503</v>
      </c>
      <c r="M174" s="25" cm="1">
        <f t="array" ref="M174">E174*$J174</f>
        <v>0.0331003862188723</v>
      </c>
      <c r="N174" s="25" cm="1">
        <f t="array" ref="N174">F174*$J174</f>
        <v>0.0698533744928679</v>
      </c>
      <c r="O174" s="25" cm="1">
        <f t="array" ref="O174">G174*$J174</f>
        <v>-0.0633061505558865</v>
      </c>
      <c r="P174" s="2"/>
      <c r="Q174" s="25">
        <v>0.0184999999999995</v>
      </c>
      <c r="R174" s="25">
        <v>1</v>
      </c>
      <c r="S174" s="25" cm="1">
        <f t="array" ref="S174">L174/$R174</f>
        <v>0.0689127647010503</v>
      </c>
      <c r="T174" s="25" cm="1">
        <f t="array" ref="T174">M174/$R174</f>
        <v>0.0331003862188723</v>
      </c>
      <c r="U174" s="25" cm="1">
        <f t="array" ref="U174">N174/$R174</f>
        <v>0.0698533744928679</v>
      </c>
      <c r="V174" s="25" cm="1">
        <f t="array" ref="V174">O174/$R174</f>
        <v>-0.0633061505558865</v>
      </c>
      <c r="W174" s="2"/>
      <c r="X174" s="2"/>
      <c r="Y174" s="2"/>
      <c r="Z174" s="2"/>
      <c r="AA174" s="2"/>
      <c r="AB174" s="2"/>
      <c r="AC174" s="26"/>
      <c r="AD174" s="26"/>
      <c r="AE174" s="26"/>
      <c r="AF174" s="26"/>
    </row>
    <row r="175" ht="17" customHeight="1">
      <c r="A175" s="2"/>
      <c r="B175" t="s" s="24">
        <v>88</v>
      </c>
      <c r="C175" t="s" s="39">
        <v>234</v>
      </c>
      <c r="D175" s="25">
        <v>43.0243391325257</v>
      </c>
      <c r="E175" s="25">
        <v>0.00165</v>
      </c>
      <c r="F175" s="25">
        <v>3.6380868593289</v>
      </c>
      <c r="G175" s="25">
        <v>-13.5635608326396</v>
      </c>
      <c r="H175" s="2"/>
      <c r="I175" s="25">
        <v>4.7</v>
      </c>
      <c r="J175" s="25" cm="1">
        <f t="array" ref="J175">I175/1000</f>
        <v>0.0047</v>
      </c>
      <c r="K175" s="2"/>
      <c r="L175" s="25" cm="1">
        <f t="array" ref="L175">D175*$J175</f>
        <v>0.202214393922871</v>
      </c>
      <c r="M175" s="25" cm="1">
        <f t="array" ref="M175">E175*$J175</f>
        <v>7.754999999999999e-06</v>
      </c>
      <c r="N175" s="25" cm="1">
        <f t="array" ref="N175">F175*$J175</f>
        <v>0.0170990082388458</v>
      </c>
      <c r="O175" s="25" cm="1">
        <f t="array" ref="O175">G175*$J175</f>
        <v>-0.0637487359134061</v>
      </c>
      <c r="P175" s="2"/>
      <c r="Q175" s="25">
        <v>0.0186000000000011</v>
      </c>
      <c r="R175" s="25">
        <v>1</v>
      </c>
      <c r="S175" s="25" cm="1">
        <f t="array" ref="S175">L175/$R175</f>
        <v>0.202214393922871</v>
      </c>
      <c r="T175" s="25" cm="1">
        <f t="array" ref="T175">M175/$R175</f>
        <v>7.754999999999999e-06</v>
      </c>
      <c r="U175" s="25" cm="1">
        <f t="array" ref="U175">N175/$R175</f>
        <v>0.0170990082388458</v>
      </c>
      <c r="V175" s="25" cm="1">
        <f t="array" ref="V175">O175/$R175</f>
        <v>-0.0637487359134061</v>
      </c>
      <c r="W175" s="2"/>
      <c r="X175" s="25" cm="1">
        <f t="array" ref="X175">AVERAGE(S174:S176)</f>
        <v>0.148022209829793</v>
      </c>
      <c r="Y175" s="25" cm="1">
        <f t="array" ref="Y175">AVERAGE(T174:T176)</f>
        <v>0.0110386320729574</v>
      </c>
      <c r="Z175" s="25" cm="1">
        <f t="array" ref="Z175">AVERAGE(U174:U176)</f>
        <v>0.0398424670841874</v>
      </c>
      <c r="AA175" s="25" cm="1">
        <f t="array" ref="AA175">AVERAGE(V174:V176)</f>
        <v>-0.0635992380718734</v>
      </c>
      <c r="AB175" s="2"/>
      <c r="AC175" s="26"/>
      <c r="AD175" s="26"/>
      <c r="AE175" s="26"/>
      <c r="AF175" s="26"/>
    </row>
    <row r="176" ht="17" customHeight="1">
      <c r="A176" s="2"/>
      <c r="B176" t="s" s="36">
        <v>90</v>
      </c>
      <c r="C176" t="s" s="39">
        <v>235</v>
      </c>
      <c r="D176" s="25">
        <v>36.7956320990339</v>
      </c>
      <c r="E176" s="25">
        <v>0.00165</v>
      </c>
      <c r="F176" s="25">
        <v>6.93085500443585</v>
      </c>
      <c r="G176" s="25">
        <v>-13.5623037758144</v>
      </c>
      <c r="H176" s="2"/>
      <c r="I176" s="25">
        <v>4.7</v>
      </c>
      <c r="J176" s="25" cm="1">
        <f t="array" ref="J176">I176/1000</f>
        <v>0.0047</v>
      </c>
      <c r="K176" s="2"/>
      <c r="L176" s="25" cm="1">
        <f t="array" ref="L176">D176*$J176</f>
        <v>0.172939470865459</v>
      </c>
      <c r="M176" s="25" cm="1">
        <f t="array" ref="M176">E176*$J176</f>
        <v>7.754999999999999e-06</v>
      </c>
      <c r="N176" s="25" cm="1">
        <f t="array" ref="N176">F176*$J176</f>
        <v>0.0325750185208485</v>
      </c>
      <c r="O176" s="25" cm="1">
        <f t="array" ref="O176">G176*$J176</f>
        <v>-0.0637428277463277</v>
      </c>
      <c r="P176" s="2"/>
      <c r="Q176" s="25">
        <v>0.017199999999999</v>
      </c>
      <c r="R176" s="25">
        <v>1</v>
      </c>
      <c r="S176" s="25" cm="1">
        <f t="array" ref="S176">L176/$R176</f>
        <v>0.172939470865459</v>
      </c>
      <c r="T176" s="25" cm="1">
        <f t="array" ref="T176">M176/$R176</f>
        <v>7.754999999999999e-06</v>
      </c>
      <c r="U176" s="25" cm="1">
        <f t="array" ref="U176">N176/$R176</f>
        <v>0.0325750185208485</v>
      </c>
      <c r="V176" s="25" cm="1">
        <f t="array" ref="V176">O176/$R176</f>
        <v>-0.0637428277463277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7" customHeight="1">
      <c r="A177" s="2"/>
      <c r="B177" t="s" s="19">
        <v>92</v>
      </c>
      <c r="C177" t="s" s="39">
        <v>236</v>
      </c>
      <c r="D177" s="25">
        <v>21.7116992569553</v>
      </c>
      <c r="E177" s="25">
        <v>105.475117436710</v>
      </c>
      <c r="F177" s="25">
        <v>927.684340448786</v>
      </c>
      <c r="G177" s="25">
        <v>-7.15023924877325</v>
      </c>
      <c r="H177" s="2"/>
      <c r="I177" s="25">
        <v>4.7</v>
      </c>
      <c r="J177" s="25" cm="1">
        <f t="array" ref="J177">I177/1000</f>
        <v>0.0047</v>
      </c>
      <c r="K177" s="2"/>
      <c r="L177" s="25" cm="1">
        <f t="array" ref="L177">D177*$J177</f>
        <v>0.10204498650769</v>
      </c>
      <c r="M177" s="25" cm="1">
        <f t="array" ref="M177">E177*$J177</f>
        <v>0.495733051952537</v>
      </c>
      <c r="N177" s="25" cm="1">
        <f t="array" ref="N177">F177*$J177</f>
        <v>4.36011640010929</v>
      </c>
      <c r="O177" s="25" cm="1">
        <f t="array" ref="O177">G177*$J177</f>
        <v>-0.0336061244692343</v>
      </c>
      <c r="P177" s="2"/>
      <c r="Q177" s="25">
        <v>0.0184999999999995</v>
      </c>
      <c r="R177" s="25">
        <v>1</v>
      </c>
      <c r="S177" s="25" cm="1">
        <f t="array" ref="S177">L177/$R177</f>
        <v>0.10204498650769</v>
      </c>
      <c r="T177" s="25" cm="1">
        <f t="array" ref="T177">M177/$R177</f>
        <v>0.495733051952537</v>
      </c>
      <c r="U177" s="25" cm="1">
        <f t="array" ref="U177">N177/$R177</f>
        <v>4.36011640010929</v>
      </c>
      <c r="V177" s="25" cm="1">
        <f t="array" ref="V177">O177/$R177</f>
        <v>-0.0336061244692343</v>
      </c>
      <c r="W177" s="2"/>
      <c r="X177" s="25" cm="1">
        <f t="array" ref="X177">S177-X$3-X$184</f>
        <v>0.0118986604216264</v>
      </c>
      <c r="Y177" s="25" cm="1">
        <f t="array" ref="Y177">T177-Y$3-Y$184</f>
        <v>0.410876718525498</v>
      </c>
      <c r="Z177" s="25" cm="1">
        <f t="array" ref="Z177">U177-Z$3-Z$184</f>
        <v>4.26578598988762</v>
      </c>
      <c r="AA177" s="25" cm="1">
        <f t="array" ref="AA177">V177-AA$3-AA$184</f>
        <v>0.0295221657591013</v>
      </c>
      <c r="AB177" s="2"/>
      <c r="AC177" s="32" cm="1">
        <f t="array" ref="AC177">X177</f>
        <v>0.0118986604216264</v>
      </c>
      <c r="AD177" s="32" cm="1">
        <f t="array" ref="AD177">Y177</f>
        <v>0.410876718525498</v>
      </c>
      <c r="AE177" s="32" cm="1">
        <f t="array" ref="AE177">Z177</f>
        <v>4.26578598988762</v>
      </c>
      <c r="AF177" s="32" cm="1">
        <f t="array" ref="AF177">AA177</f>
        <v>0.0295221657591013</v>
      </c>
    </row>
    <row r="178" ht="17" customHeight="1">
      <c r="A178" s="2"/>
      <c r="B178" t="s" s="24">
        <v>94</v>
      </c>
      <c r="C178" t="s" s="39">
        <v>237</v>
      </c>
      <c r="D178" s="25">
        <v>11.9815746757683</v>
      </c>
      <c r="E178" s="25">
        <v>84.139545171148</v>
      </c>
      <c r="F178" s="25">
        <v>1211.592151202520</v>
      </c>
      <c r="G178" s="25">
        <v>-6.21924826608436</v>
      </c>
      <c r="H178" s="2"/>
      <c r="I178" s="25">
        <v>4.7</v>
      </c>
      <c r="J178" s="25" cm="1">
        <f t="array" ref="J178">I178/1000</f>
        <v>0.0047</v>
      </c>
      <c r="K178" s="2"/>
      <c r="L178" s="25" cm="1">
        <f t="array" ref="L178">D178*$J178</f>
        <v>0.056313400976111</v>
      </c>
      <c r="M178" s="25" cm="1">
        <f t="array" ref="M178">E178*$J178</f>
        <v>0.395455862304396</v>
      </c>
      <c r="N178" s="25" cm="1">
        <f t="array" ref="N178">F178*$J178</f>
        <v>5.69448311065184</v>
      </c>
      <c r="O178" s="25" cm="1">
        <f t="array" ref="O178">G178*$J178</f>
        <v>-0.0292304668505965</v>
      </c>
      <c r="P178" s="2"/>
      <c r="Q178" s="25">
        <v>0.0198</v>
      </c>
      <c r="R178" s="25">
        <v>1</v>
      </c>
      <c r="S178" s="25" cm="1">
        <f t="array" ref="S178">L178/$R178</f>
        <v>0.056313400976111</v>
      </c>
      <c r="T178" s="25" cm="1">
        <f t="array" ref="T178">M178/$R178</f>
        <v>0.395455862304396</v>
      </c>
      <c r="U178" s="25" cm="1">
        <f t="array" ref="U178">N178/$R178</f>
        <v>5.69448311065184</v>
      </c>
      <c r="V178" s="25" cm="1">
        <f t="array" ref="V178">O178/$R178</f>
        <v>-0.0292304668505965</v>
      </c>
      <c r="W178" s="2"/>
      <c r="X178" s="25" cm="1">
        <f t="array" ref="X178">S178-X$3-X$184</f>
        <v>-0.0338329251099526</v>
      </c>
      <c r="Y178" s="25" cm="1">
        <f t="array" ref="Y178">T178-Y$3-Y$184</f>
        <v>0.310599528877357</v>
      </c>
      <c r="Z178" s="25" cm="1">
        <f t="array" ref="Z178">U178-Z$3-Z$184</f>
        <v>5.60015270043017</v>
      </c>
      <c r="AA178" s="25" cm="1">
        <f t="array" ref="AA178">V178-AA$3-AA$184</f>
        <v>0.0338978233777391</v>
      </c>
      <c r="AB178" s="2"/>
      <c r="AC178" s="32" cm="1">
        <f t="array" ref="AC178">X178</f>
        <v>-0.0338329251099526</v>
      </c>
      <c r="AD178" s="32" cm="1">
        <f t="array" ref="AD178">Y178</f>
        <v>0.310599528877357</v>
      </c>
      <c r="AE178" s="32" cm="1">
        <f t="array" ref="AE178">Z178</f>
        <v>5.60015270043017</v>
      </c>
      <c r="AF178" s="32" cm="1">
        <f t="array" ref="AF178">AA178</f>
        <v>0.0338978233777391</v>
      </c>
    </row>
    <row r="179" ht="17" customHeight="1">
      <c r="A179" s="2"/>
      <c r="B179" t="s" s="24">
        <v>96</v>
      </c>
      <c r="C179" t="s" s="39">
        <v>238</v>
      </c>
      <c r="D179" s="25">
        <v>12.4054128196576</v>
      </c>
      <c r="E179" s="25">
        <v>101.657848448238</v>
      </c>
      <c r="F179" s="25">
        <v>1189.209587926210</v>
      </c>
      <c r="G179" s="25">
        <v>-7.98393149739222</v>
      </c>
      <c r="H179" s="2"/>
      <c r="I179" s="25">
        <v>4.7</v>
      </c>
      <c r="J179" s="25" cm="1">
        <f t="array" ref="J179">I179/1000</f>
        <v>0.0047</v>
      </c>
      <c r="K179" s="2"/>
      <c r="L179" s="25" cm="1">
        <f t="array" ref="L179">D179*$J179</f>
        <v>0.0583054402523907</v>
      </c>
      <c r="M179" s="25" cm="1">
        <f t="array" ref="M179">E179*$J179</f>
        <v>0.477791887706719</v>
      </c>
      <c r="N179" s="25" cm="1">
        <f t="array" ref="N179">F179*$J179</f>
        <v>5.58928506325319</v>
      </c>
      <c r="O179" s="25" cm="1">
        <f t="array" ref="O179">G179*$J179</f>
        <v>-0.0375244780377434</v>
      </c>
      <c r="P179" s="2"/>
      <c r="Q179" s="25">
        <v>0.0188000000000006</v>
      </c>
      <c r="R179" s="25">
        <v>1</v>
      </c>
      <c r="S179" s="25" cm="1">
        <f t="array" ref="S179">L179/$R179</f>
        <v>0.0583054402523907</v>
      </c>
      <c r="T179" s="25" cm="1">
        <f t="array" ref="T179">M179/$R179</f>
        <v>0.477791887706719</v>
      </c>
      <c r="U179" s="25" cm="1">
        <f t="array" ref="U179">N179/$R179</f>
        <v>5.58928506325319</v>
      </c>
      <c r="V179" s="25" cm="1">
        <f t="array" ref="V179">O179/$R179</f>
        <v>-0.0375244780377434</v>
      </c>
      <c r="W179" s="2"/>
      <c r="X179" s="25" cm="1">
        <f t="array" ref="X179">S179-X$3-X$184</f>
        <v>-0.0318408858336729</v>
      </c>
      <c r="Y179" s="25" cm="1">
        <f t="array" ref="Y179">T179-Y$3-Y$184</f>
        <v>0.39293555427968</v>
      </c>
      <c r="Z179" s="25" cm="1">
        <f t="array" ref="Z179">U179-Z$3-Z$184</f>
        <v>5.49495465303152</v>
      </c>
      <c r="AA179" s="25" cm="1">
        <f t="array" ref="AA179">V179-AA$3-AA$184</f>
        <v>0.0256038121905922</v>
      </c>
      <c r="AB179" s="2"/>
      <c r="AC179" s="32" cm="1">
        <f t="array" ref="AC179">X179</f>
        <v>-0.0318408858336729</v>
      </c>
      <c r="AD179" s="32" cm="1">
        <f t="array" ref="AD179">Y179</f>
        <v>0.39293555427968</v>
      </c>
      <c r="AE179" s="32" cm="1">
        <f t="array" ref="AE179">Z179</f>
        <v>5.49495465303152</v>
      </c>
      <c r="AF179" s="32" cm="1">
        <f t="array" ref="AF179">AA179</f>
        <v>0.0256038121905922</v>
      </c>
    </row>
    <row r="180" ht="17" customHeight="1">
      <c r="A180" s="2"/>
      <c r="B180" t="s" s="24">
        <v>98</v>
      </c>
      <c r="C180" t="s" s="39">
        <v>239</v>
      </c>
      <c r="D180" s="25">
        <v>81.8493259804732</v>
      </c>
      <c r="E180" s="25">
        <v>8.2403248613403</v>
      </c>
      <c r="F180" s="25">
        <v>14.8966188786541</v>
      </c>
      <c r="G180" s="25">
        <v>74.418936936891</v>
      </c>
      <c r="H180" s="2"/>
      <c r="I180" s="25">
        <v>4.7</v>
      </c>
      <c r="J180" s="25" cm="1">
        <f t="array" ref="J180">I180/1000</f>
        <v>0.0047</v>
      </c>
      <c r="K180" s="2"/>
      <c r="L180" s="25" cm="1">
        <f t="array" ref="L180">D180*$J180</f>
        <v>0.384691832108224</v>
      </c>
      <c r="M180" s="25" cm="1">
        <f t="array" ref="M180">E180*$J180</f>
        <v>0.0387295268482994</v>
      </c>
      <c r="N180" s="25" cm="1">
        <f t="array" ref="N180">F180*$J180</f>
        <v>0.0700141087296743</v>
      </c>
      <c r="O180" s="25" cm="1">
        <f t="array" ref="O180">G180*$J180</f>
        <v>0.349769003603388</v>
      </c>
      <c r="P180" s="2"/>
      <c r="Q180" s="25">
        <v>0.0183</v>
      </c>
      <c r="R180" s="25">
        <v>1</v>
      </c>
      <c r="S180" s="25" cm="1">
        <f t="array" ref="S180">L180/$R180</f>
        <v>0.384691832108224</v>
      </c>
      <c r="T180" s="25" cm="1">
        <f t="array" ref="T180">M180/$R180</f>
        <v>0.0387295268482994</v>
      </c>
      <c r="U180" s="25" cm="1">
        <f t="array" ref="U180">N180/$R180</f>
        <v>0.0700141087296743</v>
      </c>
      <c r="V180" s="25" cm="1">
        <f t="array" ref="V180">O180/$R180</f>
        <v>0.349769003603388</v>
      </c>
      <c r="W180" s="2"/>
      <c r="X180" s="25" cm="1">
        <f t="array" ref="X180">S180-X$3-X$184</f>
        <v>0.29454550602216</v>
      </c>
      <c r="Y180" s="25" cm="1">
        <f t="array" ref="Y180">T180-Y$3-Y$184</f>
        <v>-0.0461268065787399</v>
      </c>
      <c r="Z180" s="25" cm="1">
        <f t="array" ref="Z180">U180-Z$3-Z$184</f>
        <v>-0.0243163014920001</v>
      </c>
      <c r="AA180" s="25" cm="1">
        <f t="array" ref="AA180">V180-AA$3-AA$184</f>
        <v>0.412897293831724</v>
      </c>
      <c r="AB180" s="2"/>
      <c r="AC180" s="32" cm="1">
        <f t="array" ref="AC180">X180</f>
        <v>0.29454550602216</v>
      </c>
      <c r="AD180" s="32" cm="1">
        <f t="array" ref="AD180">Y180</f>
        <v>-0.0461268065787399</v>
      </c>
      <c r="AE180" s="32" cm="1">
        <f t="array" ref="AE180">Z180</f>
        <v>-0.0243163014920001</v>
      </c>
      <c r="AF180" s="32" cm="1">
        <f t="array" ref="AF180">AA180</f>
        <v>0.412897293831724</v>
      </c>
    </row>
    <row r="181" ht="17" customHeight="1">
      <c r="A181" s="2"/>
      <c r="B181" t="s" s="24">
        <v>100</v>
      </c>
      <c r="C181" t="s" s="39">
        <v>240</v>
      </c>
      <c r="D181" s="25">
        <v>13.2996790143879</v>
      </c>
      <c r="E181" s="25">
        <v>8.61112095467279</v>
      </c>
      <c r="F181" s="25">
        <v>14.5226215555287</v>
      </c>
      <c r="G181" s="25">
        <v>58.3469987646554</v>
      </c>
      <c r="H181" s="2"/>
      <c r="I181" s="25">
        <v>4.7</v>
      </c>
      <c r="J181" s="25" cm="1">
        <f t="array" ref="J181">I181/1000</f>
        <v>0.0047</v>
      </c>
      <c r="K181" s="2"/>
      <c r="L181" s="25" cm="1">
        <f t="array" ref="L181">D181*$J181</f>
        <v>0.0625084913676231</v>
      </c>
      <c r="M181" s="25" cm="1">
        <f t="array" ref="M181">E181*$J181</f>
        <v>0.0404722684869621</v>
      </c>
      <c r="N181" s="25" cm="1">
        <f t="array" ref="N181">F181*$J181</f>
        <v>0.0682563213109849</v>
      </c>
      <c r="O181" s="25" cm="1">
        <f t="array" ref="O181">G181*$J181</f>
        <v>0.27423089419388</v>
      </c>
      <c r="P181" s="2"/>
      <c r="Q181" s="25">
        <v>0.0175000000000001</v>
      </c>
      <c r="R181" s="25">
        <v>1</v>
      </c>
      <c r="S181" s="25" cm="1">
        <f t="array" ref="S181">L181/$R181</f>
        <v>0.0625084913676231</v>
      </c>
      <c r="T181" s="25" cm="1">
        <f t="array" ref="T181">M181/$R181</f>
        <v>0.0404722684869621</v>
      </c>
      <c r="U181" s="25" cm="1">
        <f t="array" ref="U181">N181/$R181</f>
        <v>0.0682563213109849</v>
      </c>
      <c r="V181" s="25" cm="1">
        <f t="array" ref="V181">O181/$R181</f>
        <v>0.27423089419388</v>
      </c>
      <c r="W181" s="2"/>
      <c r="X181" s="25" cm="1">
        <f t="array" ref="X181">S181-X$3-X$184</f>
        <v>-0.0276378347184405</v>
      </c>
      <c r="Y181" s="25" cm="1">
        <f t="array" ref="Y181">T181-Y$3-Y$184</f>
        <v>-0.0443840649400772</v>
      </c>
      <c r="Z181" s="25" cm="1">
        <f t="array" ref="Z181">U181-Z$3-Z$184</f>
        <v>-0.0260740889106895</v>
      </c>
      <c r="AA181" s="25" cm="1">
        <f t="array" ref="AA181">V181-AA$3-AA$184</f>
        <v>0.337359184422216</v>
      </c>
      <c r="AB181" s="2"/>
      <c r="AC181" s="32" cm="1">
        <f t="array" ref="AC181">X181</f>
        <v>-0.0276378347184405</v>
      </c>
      <c r="AD181" s="32" cm="1">
        <f t="array" ref="AD181">Y181</f>
        <v>-0.0443840649400772</v>
      </c>
      <c r="AE181" s="32" cm="1">
        <f t="array" ref="AE181">Z181</f>
        <v>-0.0260740889106895</v>
      </c>
      <c r="AF181" s="32" cm="1">
        <f t="array" ref="AF181">AA181</f>
        <v>0.337359184422216</v>
      </c>
    </row>
    <row r="182" ht="17" customHeight="1">
      <c r="A182" s="2"/>
      <c r="B182" t="s" s="24">
        <v>102</v>
      </c>
      <c r="C182" t="s" s="39">
        <v>241</v>
      </c>
      <c r="D182" s="25">
        <v>101.383580791575</v>
      </c>
      <c r="E182" s="25">
        <v>21.666702151561</v>
      </c>
      <c r="F182" s="25">
        <v>11.0560921929246</v>
      </c>
      <c r="G182" s="25">
        <v>75.8622078615424</v>
      </c>
      <c r="H182" s="2"/>
      <c r="I182" s="25">
        <v>4.7</v>
      </c>
      <c r="J182" s="25" cm="1">
        <f t="array" ref="J182">I182/1000</f>
        <v>0.0047</v>
      </c>
      <c r="K182" s="2"/>
      <c r="L182" s="25" cm="1">
        <f t="array" ref="L182">D182*$J182</f>
        <v>0.476502829720403</v>
      </c>
      <c r="M182" s="25" cm="1">
        <f t="array" ref="M182">E182*$J182</f>
        <v>0.101833500112337</v>
      </c>
      <c r="N182" s="25" cm="1">
        <f t="array" ref="N182">F182*$J182</f>
        <v>0.0519636333067456</v>
      </c>
      <c r="O182" s="25" cm="1">
        <f t="array" ref="O182">G182*$J182</f>
        <v>0.356552376949249</v>
      </c>
      <c r="P182" s="2"/>
      <c r="Q182" s="25">
        <v>0.0183999999999997</v>
      </c>
      <c r="R182" s="25">
        <v>1</v>
      </c>
      <c r="S182" s="25" cm="1">
        <f t="array" ref="S182">L182/$R182</f>
        <v>0.476502829720403</v>
      </c>
      <c r="T182" s="25" cm="1">
        <f t="array" ref="T182">M182/$R182</f>
        <v>0.101833500112337</v>
      </c>
      <c r="U182" s="25" cm="1">
        <f t="array" ref="U182">N182/$R182</f>
        <v>0.0519636333067456</v>
      </c>
      <c r="V182" s="25" cm="1">
        <f t="array" ref="V182">O182/$R182</f>
        <v>0.356552376949249</v>
      </c>
      <c r="W182" s="2"/>
      <c r="X182" s="25" cm="1">
        <f t="array" ref="X182">S182-X$3-X$184</f>
        <v>0.386356503634339</v>
      </c>
      <c r="Y182" s="25" cm="1">
        <f t="array" ref="Y182">T182-Y$3-Y$184</f>
        <v>0.0169771666852977</v>
      </c>
      <c r="Z182" s="25" cm="1">
        <f t="array" ref="Z182">U182-Z$3-Z$184</f>
        <v>-0.0423667769149288</v>
      </c>
      <c r="AA182" s="25" cm="1">
        <f t="array" ref="AA182">V182-AA$3-AA$184</f>
        <v>0.419680667177585</v>
      </c>
      <c r="AB182" s="2"/>
      <c r="AC182" s="32" cm="1">
        <f t="array" ref="AC182">X182</f>
        <v>0.386356503634339</v>
      </c>
      <c r="AD182" s="32" cm="1">
        <f t="array" ref="AD182">Y182</f>
        <v>0.0169771666852977</v>
      </c>
      <c r="AE182" s="32" cm="1">
        <f t="array" ref="AE182">Z182</f>
        <v>-0.0423667769149288</v>
      </c>
      <c r="AF182" s="32" cm="1">
        <f t="array" ref="AF182">AA182</f>
        <v>0.419680667177585</v>
      </c>
    </row>
    <row r="183" ht="17" customHeight="1">
      <c r="A183" s="2"/>
      <c r="B183" t="s" s="24">
        <v>104</v>
      </c>
      <c r="C183" t="s" s="39">
        <v>242</v>
      </c>
      <c r="D183" s="25">
        <v>19.8207334780966</v>
      </c>
      <c r="E183" s="25">
        <v>7.70564472293078</v>
      </c>
      <c r="F183" s="25">
        <v>22.811000944459</v>
      </c>
      <c r="G183" s="25">
        <v>-13.4882496935573</v>
      </c>
      <c r="H183" s="2"/>
      <c r="I183" s="25">
        <v>4.7</v>
      </c>
      <c r="J183" s="25" cm="1">
        <f t="array" ref="J183">I183/1000</f>
        <v>0.0047</v>
      </c>
      <c r="K183" s="2"/>
      <c r="L183" s="25" cm="1">
        <f t="array" ref="L183">D183*$J183</f>
        <v>0.093157447347054</v>
      </c>
      <c r="M183" s="25" cm="1">
        <f t="array" ref="M183">E183*$J183</f>
        <v>0.0362165301977747</v>
      </c>
      <c r="N183" s="25" cm="1">
        <f t="array" ref="N183">F183*$J183</f>
        <v>0.107211704438957</v>
      </c>
      <c r="O183" s="25" cm="1">
        <f t="array" ref="O183">G183*$J183</f>
        <v>-0.0633947735597193</v>
      </c>
      <c r="P183" s="2"/>
      <c r="Q183" s="25">
        <v>0.0183999999999997</v>
      </c>
      <c r="R183" s="25">
        <v>1</v>
      </c>
      <c r="S183" s="25" cm="1">
        <f t="array" ref="S183">L183/$R183</f>
        <v>0.093157447347054</v>
      </c>
      <c r="T183" s="25" cm="1">
        <f t="array" ref="T183">M183/$R183</f>
        <v>0.0362165301977747</v>
      </c>
      <c r="U183" s="25" cm="1">
        <f t="array" ref="U183">N183/$R183</f>
        <v>0.107211704438957</v>
      </c>
      <c r="V183" s="25" cm="1">
        <f t="array" ref="V183">O183/$R183</f>
        <v>-0.0633947735597193</v>
      </c>
      <c r="W183" s="2"/>
      <c r="X183" s="2"/>
      <c r="Y183" s="2"/>
      <c r="Z183" s="2"/>
      <c r="AA183" s="2"/>
      <c r="AB183" s="2"/>
      <c r="AC183" s="26"/>
      <c r="AD183" s="26"/>
      <c r="AE183" s="26"/>
      <c r="AF183" s="26"/>
    </row>
    <row r="184" ht="17" customHeight="1">
      <c r="A184" s="2"/>
      <c r="B184" t="s" s="24">
        <v>106</v>
      </c>
      <c r="C184" t="s" s="39">
        <v>243</v>
      </c>
      <c r="D184" s="25">
        <v>11.6227756402206</v>
      </c>
      <c r="E184" s="25">
        <v>1.54320799761299</v>
      </c>
      <c r="F184" s="25">
        <v>6.30932376726879</v>
      </c>
      <c r="G184" s="25">
        <v>-13.503059091611</v>
      </c>
      <c r="H184" s="2"/>
      <c r="I184" s="25">
        <v>4.7</v>
      </c>
      <c r="J184" s="25" cm="1">
        <f t="array" ref="J184">I184/1000</f>
        <v>0.0047</v>
      </c>
      <c r="K184" s="2"/>
      <c r="L184" s="25" cm="1">
        <f t="array" ref="L184">D184*$J184</f>
        <v>0.0546270455090368</v>
      </c>
      <c r="M184" s="25" cm="1">
        <f t="array" ref="M184">E184*$J184</f>
        <v>0.00725307758878105</v>
      </c>
      <c r="N184" s="25" cm="1">
        <f t="array" ref="N184">F184*$J184</f>
        <v>0.0296538217061633</v>
      </c>
      <c r="O184" s="25" cm="1">
        <f t="array" ref="O184">G184*$J184</f>
        <v>-0.0634643777305717</v>
      </c>
      <c r="P184" s="2"/>
      <c r="Q184" s="25">
        <v>0.0153999999999996</v>
      </c>
      <c r="R184" s="25">
        <v>1</v>
      </c>
      <c r="S184" s="25" cm="1">
        <f t="array" ref="S184">L184/$R184</f>
        <v>0.0546270455090368</v>
      </c>
      <c r="T184" s="25" cm="1">
        <f t="array" ref="T184">M184/$R184</f>
        <v>0.00725307758878105</v>
      </c>
      <c r="U184" s="25" cm="1">
        <f t="array" ref="U184">N184/$R184</f>
        <v>0.0296538217061633</v>
      </c>
      <c r="V184" s="25" cm="1">
        <f t="array" ref="V184">O184/$R184</f>
        <v>-0.0634643777305717</v>
      </c>
      <c r="W184" s="2"/>
      <c r="X184" s="25" cm="1">
        <f t="array" ref="X184">AVERAGE(S183:S185)</f>
        <v>0.0901463260860636</v>
      </c>
      <c r="Y184" s="25" cm="1">
        <f t="array" ref="Y184">AVERAGE(T183:T185)</f>
        <v>0.0848563334270393</v>
      </c>
      <c r="Z184" s="25" cm="1">
        <f t="array" ref="Z184">AVERAGE(U183:U185)</f>
        <v>0.0943304102216744</v>
      </c>
      <c r="AA184" s="25" cm="1">
        <f t="array" ref="AA184">AVERAGE(V183:V185)</f>
        <v>-0.0631282902283356</v>
      </c>
      <c r="AB184" s="2"/>
      <c r="AC184" s="26"/>
      <c r="AD184" s="26"/>
      <c r="AE184" s="26"/>
      <c r="AF184" s="26"/>
    </row>
    <row r="185" ht="17" customHeight="1">
      <c r="A185" s="2"/>
      <c r="B185" t="s" s="24">
        <v>108</v>
      </c>
      <c r="C185" t="s" s="39">
        <v>244</v>
      </c>
      <c r="D185" s="25">
        <v>26.0966990217233</v>
      </c>
      <c r="E185" s="25">
        <v>44.9147643605452</v>
      </c>
      <c r="F185" s="25">
        <v>31.0905754297665</v>
      </c>
      <c r="G185" s="25">
        <v>-13.3033445520672</v>
      </c>
      <c r="H185" s="2"/>
      <c r="I185" s="25">
        <v>4.7</v>
      </c>
      <c r="J185" s="25" cm="1">
        <f t="array" ref="J185">I185/1000</f>
        <v>0.0047</v>
      </c>
      <c r="K185" s="2"/>
      <c r="L185" s="25" cm="1">
        <f t="array" ref="L185">D185*$J185</f>
        <v>0.1226544854021</v>
      </c>
      <c r="M185" s="25" cm="1">
        <f t="array" ref="M185">E185*$J185</f>
        <v>0.211099392494562</v>
      </c>
      <c r="N185" s="25" cm="1">
        <f t="array" ref="N185">F185*$J185</f>
        <v>0.146125704519903</v>
      </c>
      <c r="O185" s="25" cm="1">
        <f t="array" ref="O185">G185*$J185</f>
        <v>-0.0625257193947158</v>
      </c>
      <c r="P185" s="2"/>
      <c r="Q185" s="25">
        <v>0.0183999999999997</v>
      </c>
      <c r="R185" s="25">
        <v>1</v>
      </c>
      <c r="S185" s="25" cm="1">
        <f t="array" ref="S185">L185/$R185</f>
        <v>0.1226544854021</v>
      </c>
      <c r="T185" s="25" cm="1">
        <f t="array" ref="T185">M185/$R185</f>
        <v>0.211099392494562</v>
      </c>
      <c r="U185" s="25" cm="1">
        <f t="array" ref="U185">N185/$R185</f>
        <v>0.146125704519903</v>
      </c>
      <c r="V185" s="25" cm="1">
        <f t="array" ref="V185">O185/$R185</f>
        <v>-0.0625257193947158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7" customHeight="1">
      <c r="A186" s="2"/>
      <c r="B186" s="2"/>
      <c r="C186" s="2"/>
      <c r="D186" s="25">
        <v>9.05112932285491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7" customHeight="1">
      <c r="A187" s="2"/>
      <c r="B187" s="2"/>
      <c r="C187" s="2"/>
      <c r="D187" s="25">
        <v>12.2971950781543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7" customHeight="1">
      <c r="A188" s="2"/>
      <c r="B188" s="2"/>
      <c r="C188" s="2"/>
      <c r="D188" s="25">
        <v>19.1886962807658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F189"/>
  <sheetViews>
    <sheetView workbookViewId="0" showGridLines="0" defaultGridColor="1"/>
  </sheetViews>
  <sheetFormatPr defaultColWidth="10.8333" defaultRowHeight="16" customHeight="1" outlineLevelRow="0" outlineLevelCol="0"/>
  <cols>
    <col min="1" max="10" width="10.8516" style="48" customWidth="1"/>
    <col min="11" max="11" width="2.85156" style="48" customWidth="1"/>
    <col min="12" max="17" width="10.8516" style="48" customWidth="1"/>
    <col min="18" max="18" width="10.6719" style="48" customWidth="1"/>
    <col min="19" max="32" width="10.8516" style="48" customWidth="1"/>
    <col min="33" max="16384" width="10.8516" style="48" customWidth="1"/>
  </cols>
  <sheetData>
    <row r="1" ht="17" customHeight="1">
      <c r="A1" s="2"/>
      <c r="B1" s="3"/>
      <c r="C1" s="3"/>
      <c r="D1" t="s" s="4">
        <v>0</v>
      </c>
      <c r="E1" s="5"/>
      <c r="F1" s="5"/>
      <c r="G1" s="5"/>
      <c r="H1" s="2"/>
      <c r="I1" s="3"/>
      <c r="J1" s="3"/>
      <c r="K1" s="5"/>
      <c r="L1" t="s" s="4">
        <v>1</v>
      </c>
      <c r="M1" s="5"/>
      <c r="N1" s="5"/>
      <c r="O1" s="5"/>
      <c r="P1" s="2"/>
      <c r="Q1" t="s" s="6">
        <v>2</v>
      </c>
      <c r="R1" s="2"/>
      <c r="S1" s="5"/>
      <c r="T1" s="5"/>
      <c r="U1" s="5"/>
      <c r="V1" s="5"/>
      <c r="W1" s="2"/>
      <c r="X1" t="s" s="4">
        <v>3</v>
      </c>
      <c r="Y1" s="5"/>
      <c r="Z1" s="5"/>
      <c r="AA1" s="5"/>
      <c r="AB1" s="2"/>
      <c r="AC1" t="s" s="4">
        <v>4</v>
      </c>
      <c r="AD1" s="5"/>
      <c r="AE1" s="5"/>
      <c r="AF1" s="5"/>
    </row>
    <row r="2" ht="36" customHeight="1">
      <c r="A2" s="7"/>
      <c r="B2" t="s" s="8">
        <v>5</v>
      </c>
      <c r="C2" t="s" s="9">
        <v>6</v>
      </c>
      <c r="D2" t="s" s="10">
        <v>7</v>
      </c>
      <c r="E2" t="s" s="10">
        <v>8</v>
      </c>
      <c r="F2" t="s" s="10">
        <v>9</v>
      </c>
      <c r="G2" t="s" s="12">
        <v>10</v>
      </c>
      <c r="H2" s="13"/>
      <c r="I2" t="s" s="14">
        <v>11</v>
      </c>
      <c r="J2" t="s" s="15">
        <v>12</v>
      </c>
      <c r="K2" s="16"/>
      <c r="L2" t="s" s="10">
        <v>7</v>
      </c>
      <c r="M2" t="s" s="10">
        <v>8</v>
      </c>
      <c r="N2" t="s" s="10">
        <v>9</v>
      </c>
      <c r="O2" t="s" s="12">
        <v>10</v>
      </c>
      <c r="P2" s="13"/>
      <c r="Q2" t="s" s="14">
        <v>13</v>
      </c>
      <c r="R2" s="17"/>
      <c r="S2" t="s" s="10">
        <v>7</v>
      </c>
      <c r="T2" t="s" s="10">
        <v>8</v>
      </c>
      <c r="U2" t="s" s="10">
        <v>9</v>
      </c>
      <c r="V2" t="s" s="12">
        <v>10</v>
      </c>
      <c r="W2" s="17"/>
      <c r="X2" t="s" s="10">
        <v>7</v>
      </c>
      <c r="Y2" t="s" s="10">
        <v>8</v>
      </c>
      <c r="Z2" t="s" s="10">
        <v>9</v>
      </c>
      <c r="AA2" t="s" s="12">
        <v>10</v>
      </c>
      <c r="AB2" s="17"/>
      <c r="AC2" t="s" s="10">
        <v>7</v>
      </c>
      <c r="AD2" t="s" s="10">
        <v>8</v>
      </c>
      <c r="AE2" t="s" s="10">
        <v>9</v>
      </c>
      <c r="AF2" t="s" s="18">
        <v>10</v>
      </c>
    </row>
    <row r="3" ht="17" customHeight="1">
      <c r="A3" s="2"/>
      <c r="B3" t="s" s="19">
        <v>14</v>
      </c>
      <c r="C3" t="s" s="20">
        <v>15</v>
      </c>
      <c r="D3" s="21"/>
      <c r="E3" s="21"/>
      <c r="F3" s="21"/>
      <c r="G3" s="21"/>
      <c r="H3" s="2"/>
      <c r="I3" s="22">
        <v>4.7195</v>
      </c>
      <c r="J3" s="22" cm="1">
        <f t="array" ref="J3">I3/1000</f>
        <v>0.0047195</v>
      </c>
      <c r="K3" s="21"/>
      <c r="L3" s="22" cm="1">
        <f t="array" ref="L3">D3*$J3</f>
        <v>0</v>
      </c>
      <c r="M3" s="22" cm="1">
        <f t="array" ref="M3">E3*$J3</f>
        <v>0</v>
      </c>
      <c r="N3" s="22" cm="1">
        <f t="array" ref="N3">F3*$J3</f>
        <v>0</v>
      </c>
      <c r="O3" s="22" cm="1">
        <f t="array" ref="O3">G3*$J3</f>
        <v>0</v>
      </c>
      <c r="P3" s="2"/>
      <c r="Q3" s="22">
        <v>0.0195000000000007</v>
      </c>
      <c r="R3" s="2"/>
      <c r="S3" s="22" cm="1">
        <f t="array" ref="S3">L3/$Q3</f>
        <v>0</v>
      </c>
      <c r="T3" s="22" cm="1">
        <f t="array" ref="T3">M3/$Q3</f>
        <v>0</v>
      </c>
      <c r="U3" s="22" cm="1">
        <f t="array" ref="U3">N3/$Q3</f>
        <v>0</v>
      </c>
      <c r="V3" s="22" cm="1">
        <f t="array" ref="V3">O3/$Q3</f>
        <v>0</v>
      </c>
      <c r="W3" s="2"/>
      <c r="X3" s="22" cm="1">
        <f t="array" ref="X3">AVERAGE(S3:S5)</f>
        <v>0</v>
      </c>
      <c r="Y3" s="22">
        <v>0</v>
      </c>
      <c r="Z3" s="22">
        <v>0</v>
      </c>
      <c r="AA3" s="22" cm="1">
        <f t="array" ref="AA3">AVERAGE(V3:V5)</f>
        <v>0</v>
      </c>
      <c r="AB3" s="2"/>
      <c r="AC3" s="23"/>
      <c r="AD3" s="23"/>
      <c r="AE3" s="23"/>
      <c r="AF3" s="23"/>
    </row>
    <row r="4" ht="17" customHeight="1">
      <c r="A4" s="2"/>
      <c r="B4" t="s" s="24">
        <v>16</v>
      </c>
      <c r="C4" t="s" s="20">
        <v>17</v>
      </c>
      <c r="D4" s="2"/>
      <c r="E4" s="2"/>
      <c r="F4" s="2"/>
      <c r="G4" s="2"/>
      <c r="H4" s="2"/>
      <c r="I4" s="25">
        <v>4.7083</v>
      </c>
      <c r="J4" s="25" cm="1">
        <f t="array" ref="J4">I4/1000</f>
        <v>0.0047083</v>
      </c>
      <c r="K4" s="2"/>
      <c r="L4" s="25" cm="1">
        <f t="array" ref="L4">D4*$J4</f>
        <v>0</v>
      </c>
      <c r="M4" s="25" cm="1">
        <f t="array" ref="M4">E4*$J4</f>
        <v>0</v>
      </c>
      <c r="N4" s="25" cm="1">
        <f t="array" ref="N4">F4*$J4</f>
        <v>0</v>
      </c>
      <c r="O4" s="25" cm="1">
        <f t="array" ref="O4">G4*$J4</f>
        <v>0</v>
      </c>
      <c r="P4" s="2"/>
      <c r="Q4" s="25">
        <v>0.0182</v>
      </c>
      <c r="R4" s="2"/>
      <c r="S4" s="25" cm="1">
        <f t="array" ref="S4">L4/$Q4</f>
        <v>0</v>
      </c>
      <c r="T4" s="25" cm="1">
        <f t="array" ref="T4">M4/$Q4</f>
        <v>0</v>
      </c>
      <c r="U4" s="25" cm="1">
        <f t="array" ref="U4">N4/$Q4</f>
        <v>0</v>
      </c>
      <c r="V4" s="25" cm="1">
        <f t="array" ref="V4">O4/$Q4</f>
        <v>0</v>
      </c>
      <c r="W4" s="2"/>
      <c r="X4" s="2"/>
      <c r="Y4" s="2"/>
      <c r="Z4" s="2"/>
      <c r="AA4" s="2"/>
      <c r="AB4" s="2"/>
      <c r="AC4" s="26"/>
      <c r="AD4" s="26"/>
      <c r="AE4" s="26"/>
      <c r="AF4" s="26"/>
    </row>
    <row r="5" ht="17" customHeight="1">
      <c r="A5" s="2"/>
      <c r="B5" t="s" s="24">
        <v>18</v>
      </c>
      <c r="C5" t="s" s="20">
        <v>19</v>
      </c>
      <c r="D5" s="2"/>
      <c r="E5" s="2"/>
      <c r="F5" s="2"/>
      <c r="G5" s="2"/>
      <c r="H5" s="2"/>
      <c r="I5" s="25">
        <v>4.6946</v>
      </c>
      <c r="J5" s="25" cm="1">
        <f t="array" ref="J5">I5/1000</f>
        <v>0.0046946</v>
      </c>
      <c r="K5" s="2"/>
      <c r="L5" s="25" cm="1">
        <f t="array" ref="L5">D5*$J5</f>
        <v>0</v>
      </c>
      <c r="M5" s="25" cm="1">
        <f t="array" ref="M5">E5*$J5</f>
        <v>0</v>
      </c>
      <c r="N5" s="25" cm="1">
        <f t="array" ref="N5">F5*$J5</f>
        <v>0</v>
      </c>
      <c r="O5" s="25" cm="1">
        <f t="array" ref="O5">G5*$J5</f>
        <v>0</v>
      </c>
      <c r="P5" s="2"/>
      <c r="Q5" s="25">
        <v>0.0182</v>
      </c>
      <c r="R5" s="2"/>
      <c r="S5" s="25" cm="1">
        <f t="array" ref="S5">L5/$Q5</f>
        <v>0</v>
      </c>
      <c r="T5" s="25" cm="1">
        <f t="array" ref="T5">M5/$Q5</f>
        <v>0</v>
      </c>
      <c r="U5" s="25" cm="1">
        <f t="array" ref="U5">N5/$Q5</f>
        <v>0</v>
      </c>
      <c r="V5" s="25" cm="1">
        <f t="array" ref="V5">O5/AVERAGE(Q3:Q5)</f>
        <v>0</v>
      </c>
      <c r="W5" s="2"/>
      <c r="X5" s="2"/>
      <c r="Y5" s="2"/>
      <c r="Z5" s="2"/>
      <c r="AA5" s="2"/>
      <c r="AB5" s="2"/>
      <c r="AC5" s="26"/>
      <c r="AD5" s="26"/>
      <c r="AE5" s="26"/>
      <c r="AF5" s="26"/>
    </row>
    <row r="6" ht="17" customHeight="1">
      <c r="A6" s="2"/>
      <c r="B6" t="s" s="24">
        <v>20</v>
      </c>
      <c r="C6" t="s" s="20">
        <v>21</v>
      </c>
      <c r="D6" s="25">
        <v>17.4384932346801</v>
      </c>
      <c r="E6" s="25">
        <v>7.90719897927628</v>
      </c>
      <c r="F6" s="25">
        <v>12.076593667496</v>
      </c>
      <c r="G6" s="25">
        <v>-8.87610199892787</v>
      </c>
      <c r="H6" s="2"/>
      <c r="I6" s="25">
        <v>4.712</v>
      </c>
      <c r="J6" s="25" cm="1">
        <f t="array" ref="J6">I6/1000</f>
        <v>0.004712</v>
      </c>
      <c r="K6" s="2"/>
      <c r="L6" s="25" cm="1">
        <f t="array" ref="L6">D6*$J6</f>
        <v>0.0821701801218126</v>
      </c>
      <c r="M6" s="25" cm="1">
        <f t="array" ref="M6">E6*$J6</f>
        <v>0.0372587215903498</v>
      </c>
      <c r="N6" s="25" cm="1">
        <f t="array" ref="N6">F6*$J6</f>
        <v>0.0569049093612412</v>
      </c>
      <c r="O6" s="25" cm="1">
        <f t="array" ref="O6">G6*AVERAGE($J6:$J8)</f>
        <v>-0.041750520972357</v>
      </c>
      <c r="P6" s="2"/>
      <c r="Q6" s="25">
        <v>0.0180000000000007</v>
      </c>
      <c r="R6" s="25">
        <v>0.010209657</v>
      </c>
      <c r="S6" s="25" cm="1">
        <f t="array" ref="S6">L6/$R6</f>
        <v>8.04828018432084</v>
      </c>
      <c r="T6" s="25" cm="1">
        <f t="array" ref="T6">M6/$R6</f>
        <v>3.64936075622813</v>
      </c>
      <c r="U6" s="25" cm="1">
        <f t="array" ref="U6">N6/$R6</f>
        <v>5.57363576085281</v>
      </c>
      <c r="V6" s="25" cm="1">
        <f t="array" ref="V6">O6/$R6</f>
        <v>-4.08931670989114</v>
      </c>
      <c r="W6" s="2"/>
      <c r="X6" s="25" cm="1">
        <f t="array" ref="X6">S6-X$3-X$13</f>
        <v>-1.40212359292706</v>
      </c>
      <c r="Y6" s="25" cm="1">
        <f t="array" ref="Y6">T6-Y$3-Y$13</f>
        <v>-1.67091129341776</v>
      </c>
      <c r="Z6" s="25" cm="1">
        <f t="array" ref="Z6">U6-Z$3-Z$13</f>
        <v>-5.50563194540099</v>
      </c>
      <c r="AA6" s="25" cm="1">
        <f t="array" ref="AA6">V6-AA$3-AA$13</f>
        <v>0.05671738885587</v>
      </c>
      <c r="AB6" s="2"/>
      <c r="AC6" s="32" cm="1">
        <f t="array" ref="AC6">X6</f>
        <v>-1.40212359292706</v>
      </c>
      <c r="AD6" s="32" cm="1">
        <f t="array" ref="AD6">Y6</f>
        <v>-1.67091129341776</v>
      </c>
      <c r="AE6" s="32" cm="1">
        <f t="array" ref="AE6">Z6</f>
        <v>-5.50563194540099</v>
      </c>
      <c r="AF6" s="32" cm="1">
        <f t="array" ref="AF6">AA6</f>
        <v>0.05671738885587</v>
      </c>
    </row>
    <row r="7" ht="17" customHeight="1">
      <c r="A7" s="2"/>
      <c r="B7" t="s" s="24">
        <v>22</v>
      </c>
      <c r="C7" t="s" s="20">
        <v>23</v>
      </c>
      <c r="D7" s="25">
        <v>16.7092715711902</v>
      </c>
      <c r="E7" s="25">
        <v>5.81003962147908</v>
      </c>
      <c r="F7" s="25">
        <v>20.5383796031702</v>
      </c>
      <c r="G7" s="25">
        <v>-9.20317585034512</v>
      </c>
      <c r="H7" s="2"/>
      <c r="I7" s="25">
        <v>4.7041</v>
      </c>
      <c r="J7" s="25" cm="1">
        <f t="array" ref="J7">I7/1000</f>
        <v>0.0047041</v>
      </c>
      <c r="K7" s="2"/>
      <c r="L7" s="25" cm="1">
        <f t="array" ref="L7">D7*$J7</f>
        <v>0.0786020843980358</v>
      </c>
      <c r="M7" s="25" cm="1">
        <f t="array" ref="M7">E7*$J7</f>
        <v>0.0273310073833997</v>
      </c>
      <c r="N7" s="25" cm="1">
        <f t="array" ref="N7">F7*$J7</f>
        <v>0.0966145914912729</v>
      </c>
      <c r="O7" s="25" cm="1">
        <f t="array" ref="O7">G7*$J7</f>
        <v>-0.0432926595176085</v>
      </c>
      <c r="P7" s="2"/>
      <c r="Q7" s="25">
        <v>0.0181999999999984</v>
      </c>
      <c r="R7" s="25">
        <v>0.010209657</v>
      </c>
      <c r="S7" s="25" cm="1">
        <f t="array" ref="S7">L7/$R7</f>
        <v>7.69879775569696</v>
      </c>
      <c r="T7" s="25" cm="1">
        <f t="array" ref="T7">M7/$R7</f>
        <v>2.67697606133092</v>
      </c>
      <c r="U7" s="25" cm="1">
        <f t="array" ref="U7">N7/$R7</f>
        <v>9.463059482926109</v>
      </c>
      <c r="V7" s="25" cm="1">
        <f t="array" ref="V7">O7/$R7</f>
        <v>-4.24036375733372</v>
      </c>
      <c r="W7" s="2"/>
      <c r="X7" s="25" cm="1">
        <f t="array" ref="X7">S7-X$3-X$13</f>
        <v>-1.75160602155094</v>
      </c>
      <c r="Y7" s="25" cm="1">
        <f t="array" ref="Y7">T7-Y$3-Y$13</f>
        <v>-2.64329598831497</v>
      </c>
      <c r="Z7" s="25" cm="1">
        <f t="array" ref="Z7">U7-Z$3-Z$13</f>
        <v>-1.61620822332769</v>
      </c>
      <c r="AA7" s="25" cm="1">
        <f t="array" ref="AA7">V7-AA$3-AA$13</f>
        <v>-0.09432965858671</v>
      </c>
      <c r="AB7" s="2"/>
      <c r="AC7" s="32" cm="1">
        <f t="array" ref="AC7">X7</f>
        <v>-1.75160602155094</v>
      </c>
      <c r="AD7" s="32" cm="1">
        <f t="array" ref="AD7">Y7</f>
        <v>-2.64329598831497</v>
      </c>
      <c r="AE7" s="32" cm="1">
        <f t="array" ref="AE7">Z7</f>
        <v>-1.61620822332769</v>
      </c>
      <c r="AF7" s="32" cm="1">
        <f t="array" ref="AF7">AA7</f>
        <v>-0.09432965858671</v>
      </c>
    </row>
    <row r="8" ht="17" customHeight="1">
      <c r="A8" s="2"/>
      <c r="B8" t="s" s="24">
        <v>24</v>
      </c>
      <c r="C8" t="s" s="20">
        <v>25</v>
      </c>
      <c r="D8" s="25">
        <v>14.5174553389005</v>
      </c>
      <c r="E8" s="25">
        <v>5.92322249523099</v>
      </c>
      <c r="F8" s="25">
        <v>15.9632972554776</v>
      </c>
      <c r="G8" s="25">
        <v>-9.31546830687504</v>
      </c>
      <c r="H8" s="2"/>
      <c r="I8" s="25">
        <v>4.695</v>
      </c>
      <c r="J8" s="25" cm="1">
        <f t="array" ref="J8">I8/1000</f>
        <v>0.004695</v>
      </c>
      <c r="K8" s="2"/>
      <c r="L8" s="25" cm="1">
        <f t="array" ref="L8">D8*$J8</f>
        <v>0.06815945281613781</v>
      </c>
      <c r="M8" s="25" cm="1">
        <f t="array" ref="M8">E8*$J8</f>
        <v>0.0278095296151095</v>
      </c>
      <c r="N8" s="25" cm="1">
        <f t="array" ref="N8">F8*$J8</f>
        <v>0.0749476806144673</v>
      </c>
      <c r="O8" s="25" cm="1">
        <f t="array" ref="O8">G8*$J8</f>
        <v>-0.0437361237007783</v>
      </c>
      <c r="P8" s="2"/>
      <c r="Q8" s="25">
        <v>0.0180000000000007</v>
      </c>
      <c r="R8" s="25">
        <v>0.010209657</v>
      </c>
      <c r="S8" s="25" cm="1">
        <f t="array" ref="S8">L8/$R8</f>
        <v>6.67597871467551</v>
      </c>
      <c r="T8" s="25" cm="1">
        <f t="array" ref="T8">M8/$R8</f>
        <v>2.7238456311617</v>
      </c>
      <c r="U8" s="25" cm="1">
        <f t="array" ref="U8">N8/$R8</f>
        <v>7.34086175612631</v>
      </c>
      <c r="V8" s="25" cm="1">
        <f t="array" ref="V8">O8/$R8</f>
        <v>-4.28379951459469</v>
      </c>
      <c r="W8" s="2"/>
      <c r="X8" s="25" cm="1">
        <f t="array" ref="X8">S8-X$3-X$13</f>
        <v>-2.77442506257239</v>
      </c>
      <c r="Y8" s="25" cm="1">
        <f t="array" ref="Y8">T8-Y$3-Y$13</f>
        <v>-2.59642641848419</v>
      </c>
      <c r="Z8" s="25" cm="1">
        <f t="array" ref="Z8">U8-Z$3-Z$13</f>
        <v>-3.73840595012749</v>
      </c>
      <c r="AA8" s="25" cm="1">
        <f t="array" ref="AA8">V8-AA$3-AA$13</f>
        <v>-0.13776541584768</v>
      </c>
      <c r="AB8" s="2"/>
      <c r="AC8" s="32" cm="1">
        <f t="array" ref="AC8">X8</f>
        <v>-2.77442506257239</v>
      </c>
      <c r="AD8" s="32" cm="1">
        <f t="array" ref="AD8">Y8</f>
        <v>-2.59642641848419</v>
      </c>
      <c r="AE8" s="32" cm="1">
        <f t="array" ref="AE8">Z8</f>
        <v>-3.73840595012749</v>
      </c>
      <c r="AF8" s="32" cm="1">
        <f t="array" ref="AF8">AA8</f>
        <v>-0.13776541584768</v>
      </c>
    </row>
    <row r="9" ht="17" customHeight="1">
      <c r="A9" s="2"/>
      <c r="B9" t="s" s="24">
        <v>26</v>
      </c>
      <c r="C9" t="s" s="20">
        <v>27</v>
      </c>
      <c r="D9" s="25">
        <v>3.04705238908849</v>
      </c>
      <c r="E9" s="25">
        <v>176.9363824881</v>
      </c>
      <c r="F9" s="25">
        <v>19.0499014542993</v>
      </c>
      <c r="G9" s="25">
        <v>-9.848412914443459</v>
      </c>
      <c r="H9" s="2"/>
      <c r="I9" s="25">
        <v>4.6861</v>
      </c>
      <c r="J9" s="25" cm="1">
        <f t="array" ref="J9">I9/1000</f>
        <v>0.0046861</v>
      </c>
      <c r="K9" s="2"/>
      <c r="L9" s="25" cm="1">
        <f t="array" ref="L9">D9*$J9</f>
        <v>0.0142787922005076</v>
      </c>
      <c r="M9" s="25" cm="1">
        <f t="array" ref="M9">E9*$J9</f>
        <v>0.829141581977485</v>
      </c>
      <c r="N9" s="25" cm="1">
        <f t="array" ref="N9">F9*$J9</f>
        <v>0.0892697432049919</v>
      </c>
      <c r="O9" s="25" cm="1">
        <f t="array" ref="O9">G9*$J9</f>
        <v>-0.0461506477583735</v>
      </c>
      <c r="P9" s="2"/>
      <c r="Q9" s="25">
        <v>0.0181000000000004</v>
      </c>
      <c r="R9" s="25">
        <v>0.010209657</v>
      </c>
      <c r="S9" s="25" cm="1">
        <f t="array" ref="S9">L9/$R9</f>
        <v>1.39855748342061</v>
      </c>
      <c r="T9" s="25" cm="1">
        <f t="array" ref="T9">M9/$R9</f>
        <v>81.2115022059492</v>
      </c>
      <c r="U9" s="25" cm="1">
        <f t="array" ref="U9">N9/$R9</f>
        <v>8.743657422084979</v>
      </c>
      <c r="V9" s="25" cm="1">
        <f t="array" ref="V9">O9/$R9</f>
        <v>-4.52029365515154</v>
      </c>
      <c r="W9" s="2"/>
      <c r="X9" s="25" cm="1">
        <f t="array" ref="X9">S9-X$3-X$13</f>
        <v>-8.051846293827291</v>
      </c>
      <c r="Y9" s="25" cm="1">
        <f t="array" ref="Y9">T9-Y$3-Y$13</f>
        <v>75.89123015630329</v>
      </c>
      <c r="Z9" s="25" cm="1">
        <f t="array" ref="Z9">U9-Z$3-Z$13</f>
        <v>-2.33561028416882</v>
      </c>
      <c r="AA9" s="25" cm="1">
        <f t="array" ref="AA9">V9-AA$3-AA$13</f>
        <v>-0.37425955640453</v>
      </c>
      <c r="AB9" s="2"/>
      <c r="AC9" s="32" cm="1">
        <f t="array" ref="AC9">X9</f>
        <v>-8.051846293827291</v>
      </c>
      <c r="AD9" s="32" cm="1">
        <f t="array" ref="AD9">Y9</f>
        <v>75.89123015630329</v>
      </c>
      <c r="AE9" s="32" cm="1">
        <f t="array" ref="AE9">Z9</f>
        <v>-2.33561028416882</v>
      </c>
      <c r="AF9" s="32" cm="1">
        <f t="array" ref="AF9">AA9</f>
        <v>-0.37425955640453</v>
      </c>
    </row>
    <row r="10" ht="17" customHeight="1">
      <c r="A10" s="2"/>
      <c r="B10" t="s" s="24">
        <v>28</v>
      </c>
      <c r="C10" t="s" s="20">
        <v>29</v>
      </c>
      <c r="D10" s="25">
        <v>29.2127373900964</v>
      </c>
      <c r="E10" s="25">
        <v>9.052369218230851</v>
      </c>
      <c r="F10" s="25">
        <v>89.732593985384</v>
      </c>
      <c r="G10" s="25">
        <v>-8.235484030084621</v>
      </c>
      <c r="H10" s="2"/>
      <c r="I10" s="25">
        <v>4.7183</v>
      </c>
      <c r="J10" s="25" cm="1">
        <f t="array" ref="J10">I10/1000</f>
        <v>0.0047183</v>
      </c>
      <c r="K10" s="2"/>
      <c r="L10" s="25" cm="1">
        <f t="array" ref="L10">D10*$J10</f>
        <v>0.137834458827692</v>
      </c>
      <c r="M10" s="25" cm="1">
        <f t="array" ref="M10">E10*$J10</f>
        <v>0.0427117936823786</v>
      </c>
      <c r="N10" s="25" cm="1">
        <f t="array" ref="N10">F10*$J10</f>
        <v>0.423385298201237</v>
      </c>
      <c r="O10" s="25" cm="1">
        <f t="array" ref="O10">G10*$J10</f>
        <v>-0.0388574842991483</v>
      </c>
      <c r="P10" s="2"/>
      <c r="Q10" s="25">
        <v>0.0178000000000011</v>
      </c>
      <c r="R10" s="25">
        <v>0.010209657</v>
      </c>
      <c r="S10" s="25" cm="1">
        <f t="array" ref="S10">L10/$R10</f>
        <v>13.500400535267</v>
      </c>
      <c r="T10" s="25" cm="1">
        <f t="array" ref="T10">M10/$R10</f>
        <v>4.18346999143836</v>
      </c>
      <c r="U10" s="25" cm="1">
        <f t="array" ref="U10">N10/$R10</f>
        <v>41.4691010874545</v>
      </c>
      <c r="V10" s="25" cm="1">
        <f t="array" ref="V10">O10/$R10</f>
        <v>-3.80595394136633</v>
      </c>
      <c r="W10" s="2"/>
      <c r="X10" s="25" cm="1">
        <f t="array" ref="X10">S10-X$3-X$13</f>
        <v>4.0499967580191</v>
      </c>
      <c r="Y10" s="25" cm="1">
        <f t="array" ref="Y10">T10-Y$3-Y$13</f>
        <v>-1.13680205820753</v>
      </c>
      <c r="Z10" s="25" cm="1">
        <f t="array" ref="Z10">U10-Z$3-Z$13</f>
        <v>30.3898333812007</v>
      </c>
      <c r="AA10" s="25" cm="1">
        <f t="array" ref="AA10">V10-AA$3-AA$13</f>
        <v>0.34008015738068</v>
      </c>
      <c r="AB10" s="2"/>
      <c r="AC10" s="32" cm="1">
        <f t="array" ref="AC10">X10</f>
        <v>4.0499967580191</v>
      </c>
      <c r="AD10" s="32" cm="1">
        <f t="array" ref="AD10">Y10</f>
        <v>-1.13680205820753</v>
      </c>
      <c r="AE10" s="32" cm="1">
        <f t="array" ref="AE10">Z10</f>
        <v>30.3898333812007</v>
      </c>
      <c r="AF10" s="32" cm="1">
        <f t="array" ref="AF10">AA10</f>
        <v>0.34008015738068</v>
      </c>
    </row>
    <row r="11" ht="17" customHeight="1">
      <c r="A11" s="2"/>
      <c r="B11" t="s" s="24">
        <v>30</v>
      </c>
      <c r="C11" t="s" s="20">
        <v>31</v>
      </c>
      <c r="D11" s="25">
        <v>150.776373508971</v>
      </c>
      <c r="E11" s="25">
        <v>8.894815259007791</v>
      </c>
      <c r="F11" s="25">
        <v>5.71154088322992</v>
      </c>
      <c r="G11" s="25">
        <v>-8.353550577946431</v>
      </c>
      <c r="H11" s="2"/>
      <c r="I11" s="25">
        <v>4.7205</v>
      </c>
      <c r="J11" s="25" cm="1">
        <f t="array" ref="J11">I11/1000</f>
        <v>0.0047205</v>
      </c>
      <c r="K11" s="2"/>
      <c r="L11" s="25" cm="1">
        <f t="array" ref="L11">D11*$J11</f>
        <v>0.711739871149098</v>
      </c>
      <c r="M11" s="25" cm="1">
        <f t="array" ref="M11">E11*$J11</f>
        <v>0.0419879754301463</v>
      </c>
      <c r="N11" s="25" cm="1">
        <f t="array" ref="N11">F11*$J11</f>
        <v>0.0269613287392868</v>
      </c>
      <c r="O11" s="25" cm="1">
        <f t="array" ref="O11">G11*$J11</f>
        <v>-0.0394329355031961</v>
      </c>
      <c r="P11" s="2"/>
      <c r="Q11" s="25">
        <v>0.0182000000000002</v>
      </c>
      <c r="R11" s="25">
        <v>0.010209657</v>
      </c>
      <c r="S11" s="25" cm="1">
        <f t="array" ref="S11">L11/$R11</f>
        <v>69.7124174836724</v>
      </c>
      <c r="T11" s="25" cm="1">
        <f t="array" ref="T11">M11/$R11</f>
        <v>4.11257453900227</v>
      </c>
      <c r="U11" s="25" cm="1">
        <f t="array" ref="U11">N11/$R11</f>
        <v>2.64076733814729</v>
      </c>
      <c r="V11" s="25" cm="1">
        <f t="array" ref="V11">O11/$R11</f>
        <v>-3.86231736317842</v>
      </c>
      <c r="W11" s="2"/>
      <c r="X11" s="25" cm="1">
        <f t="array" ref="X11">S11-X$3-X$13</f>
        <v>60.2620137064245</v>
      </c>
      <c r="Y11" s="25" cm="1">
        <f t="array" ref="Y11">T11-Y$3-Y$13</f>
        <v>-1.20769751064362</v>
      </c>
      <c r="Z11" s="25" cm="1">
        <f t="array" ref="Z11">U11-Z$3-Z$13</f>
        <v>-8.43850036810651</v>
      </c>
      <c r="AA11" s="25" cm="1">
        <f t="array" ref="AA11">V11-AA$3-AA$13</f>
        <v>0.28371673556859</v>
      </c>
      <c r="AB11" s="2"/>
      <c r="AC11" s="32" cm="1">
        <f t="array" ref="AC11">X11</f>
        <v>60.2620137064245</v>
      </c>
      <c r="AD11" s="32" cm="1">
        <f t="array" ref="AD11">Y11</f>
        <v>-1.20769751064362</v>
      </c>
      <c r="AE11" s="32" cm="1">
        <f t="array" ref="AE11">Z11</f>
        <v>-8.43850036810651</v>
      </c>
      <c r="AF11" s="32" cm="1">
        <f t="array" ref="AF11">AA11</f>
        <v>0.28371673556859</v>
      </c>
    </row>
    <row r="12" ht="17" customHeight="1">
      <c r="A12" s="2"/>
      <c r="B12" t="s" s="24">
        <v>32</v>
      </c>
      <c r="C12" t="s" s="20">
        <v>33</v>
      </c>
      <c r="D12" s="25">
        <v>24.8867114668942</v>
      </c>
      <c r="E12" s="25">
        <v>15.7352691498615</v>
      </c>
      <c r="F12" s="25">
        <v>9.874943221976039</v>
      </c>
      <c r="G12" s="25">
        <v>-8.666025162190079</v>
      </c>
      <c r="H12" s="2"/>
      <c r="I12" s="25">
        <v>4.7263</v>
      </c>
      <c r="J12" s="25" cm="1">
        <f t="array" ref="J12">I12/1000</f>
        <v>0.0047263</v>
      </c>
      <c r="K12" s="2"/>
      <c r="L12" s="25" cm="1">
        <f t="array" ref="L12">D12*$J12</f>
        <v>0.117622064405982</v>
      </c>
      <c r="M12" s="25" cm="1">
        <f t="array" ref="M12">E12*$J12</f>
        <v>0.0743696025829904</v>
      </c>
      <c r="N12" s="25" cm="1">
        <f t="array" ref="N12">F12*$J12</f>
        <v>0.0466719441500254</v>
      </c>
      <c r="O12" s="25" cm="1">
        <f t="array" ref="O12">G12*$J12</f>
        <v>-0.040958234724059</v>
      </c>
      <c r="P12" s="2"/>
      <c r="Q12" s="25">
        <v>0.0175000000000001</v>
      </c>
      <c r="R12" s="25">
        <v>0.010209657</v>
      </c>
      <c r="S12" s="25" cm="1">
        <f t="array" ref="S12">L12/$R12</f>
        <v>11.5206675803097</v>
      </c>
      <c r="T12" s="25" cm="1">
        <f t="array" ref="T12">M12/$R12</f>
        <v>7.28424104580501</v>
      </c>
      <c r="U12" s="25" cm="1">
        <f t="array" ref="U12">N12/$R12</f>
        <v>4.57135280352958</v>
      </c>
      <c r="V12" s="25" cm="1">
        <f t="array" ref="V12">O12/$R12</f>
        <v>-4.01171505801409</v>
      </c>
      <c r="W12" s="2"/>
      <c r="X12" s="2"/>
      <c r="Y12" s="2"/>
      <c r="Z12" s="2"/>
      <c r="AA12" s="2"/>
      <c r="AB12" s="2"/>
      <c r="AC12" s="26"/>
      <c r="AD12" s="26"/>
      <c r="AE12" s="26"/>
      <c r="AF12" s="26"/>
    </row>
    <row r="13" ht="17" customHeight="1">
      <c r="A13" s="2"/>
      <c r="B13" t="s" s="24">
        <v>34</v>
      </c>
      <c r="C13" t="s" s="20">
        <v>35</v>
      </c>
      <c r="D13" s="25">
        <v>17.2332355144498</v>
      </c>
      <c r="E13" s="25">
        <v>9.543825266098761</v>
      </c>
      <c r="F13" s="25">
        <v>58.0006444876699</v>
      </c>
      <c r="G13" s="25">
        <v>-9.18477847373045</v>
      </c>
      <c r="H13" s="2"/>
      <c r="I13" s="25">
        <v>4.7004</v>
      </c>
      <c r="J13" s="25" cm="1">
        <f t="array" ref="J13">I13/1000</f>
        <v>0.0047004</v>
      </c>
      <c r="K13" s="2"/>
      <c r="L13" s="25" cm="1">
        <f t="array" ref="L13">D13*$J13</f>
        <v>0.0810031002121198</v>
      </c>
      <c r="M13" s="25" cm="1">
        <f t="array" ref="M13">E13*$J13</f>
        <v>0.0448597962807706</v>
      </c>
      <c r="N13" s="25" cm="1">
        <f t="array" ref="N13">F13*$J13</f>
        <v>0.272626229349844</v>
      </c>
      <c r="O13" s="25" cm="1">
        <f t="array" ref="O13">G13*$J13</f>
        <v>-0.0431721327379226</v>
      </c>
      <c r="P13" s="2"/>
      <c r="Q13" s="25">
        <v>0.0176999999999996</v>
      </c>
      <c r="R13" s="25">
        <v>0.010209657</v>
      </c>
      <c r="S13" s="25" cm="1">
        <f t="array" ref="S13">L13/$R13</f>
        <v>7.93396881130481</v>
      </c>
      <c r="T13" s="25" cm="1">
        <f t="array" ref="T13">M13/$R13</f>
        <v>4.39385929231223</v>
      </c>
      <c r="U13" s="25" cm="1">
        <f t="array" ref="U13">N13/$R13</f>
        <v>26.7027804508853</v>
      </c>
      <c r="V13" s="25" cm="1">
        <f t="array" ref="V13">O13/$R13</f>
        <v>-4.22855858310643</v>
      </c>
      <c r="W13" s="2"/>
      <c r="X13" s="25" cm="1">
        <f t="array" ref="X13">AVERAGE(S12:S14)</f>
        <v>9.450403777247899</v>
      </c>
      <c r="Y13" s="25" cm="1">
        <f t="array" ref="Y13">AVERAGE(T12:T14)</f>
        <v>5.32027204964589</v>
      </c>
      <c r="Z13" s="25" cm="1">
        <f t="array" ref="Z13">AVERAGE(U12:U14)</f>
        <v>11.0792677062538</v>
      </c>
      <c r="AA13" s="25" cm="1">
        <f t="array" ref="AA13">AVERAGE(V12:V14)</f>
        <v>-4.14603409874701</v>
      </c>
      <c r="AB13" s="2"/>
      <c r="AC13" s="26"/>
      <c r="AD13" s="26"/>
      <c r="AE13" s="26"/>
      <c r="AF13" s="26"/>
    </row>
    <row r="14" ht="17" customHeight="1">
      <c r="A14" s="2"/>
      <c r="B14" t="s" s="24">
        <v>36</v>
      </c>
      <c r="C14" t="s" s="20">
        <v>37</v>
      </c>
      <c r="D14" s="25">
        <v>19.3401423642105</v>
      </c>
      <c r="E14" s="25">
        <v>9.31013722068637</v>
      </c>
      <c r="F14" s="25">
        <v>4.26879501250194</v>
      </c>
      <c r="G14" s="25">
        <v>-9.12560219600803</v>
      </c>
      <c r="H14" s="2"/>
      <c r="I14" s="25">
        <v>4.6965</v>
      </c>
      <c r="J14" s="25" cm="1">
        <f t="array" ref="J14">I14/1000</f>
        <v>0.0046965</v>
      </c>
      <c r="K14" s="2"/>
      <c r="L14" s="25" cm="1">
        <f t="array" ref="L14">D14*$J14</f>
        <v>0.09083097861351461</v>
      </c>
      <c r="M14" s="25" cm="1">
        <f t="array" ref="M14">E14*$J14</f>
        <v>0.0437250594569535</v>
      </c>
      <c r="N14" s="25" cm="1">
        <f t="array" ref="N14">F14*$J14</f>
        <v>0.0200483957762154</v>
      </c>
      <c r="O14" s="25" cm="1">
        <f t="array" ref="O14">G14*$J14</f>
        <v>-0.0428583907135517</v>
      </c>
      <c r="P14" s="2"/>
      <c r="Q14" s="25">
        <v>0.017100000000001</v>
      </c>
      <c r="R14" s="25">
        <v>0.010209657</v>
      </c>
      <c r="S14" s="25" cm="1">
        <f t="array" ref="S14">L14/$R14</f>
        <v>8.89657494012919</v>
      </c>
      <c r="T14" s="25" cm="1">
        <f t="array" ref="T14">M14/$R14</f>
        <v>4.28271581082043</v>
      </c>
      <c r="U14" s="25" cm="1">
        <f t="array" ref="U14">N14/$R14</f>
        <v>1.96366986434661</v>
      </c>
      <c r="V14" s="25" cm="1">
        <f t="array" ref="V14">O14/$R14</f>
        <v>-4.19782865512051</v>
      </c>
      <c r="W14" s="2"/>
      <c r="X14" s="2"/>
      <c r="Y14" s="2"/>
      <c r="Z14" s="2"/>
      <c r="AA14" s="2"/>
      <c r="AB14" s="2"/>
      <c r="AC14" s="26"/>
      <c r="AD14" s="26"/>
      <c r="AE14" s="26"/>
      <c r="AF14" s="26"/>
    </row>
    <row r="15" ht="17" customHeight="1">
      <c r="A15" s="2"/>
      <c r="B15" t="s" s="24">
        <v>38</v>
      </c>
      <c r="C15" t="s" s="20">
        <v>39</v>
      </c>
      <c r="D15" s="25">
        <v>13.1042998065913</v>
      </c>
      <c r="E15" s="25">
        <v>9.64275604435038</v>
      </c>
      <c r="F15" s="25">
        <v>6.96409019361688</v>
      </c>
      <c r="G15" s="25">
        <v>-6.74801243947778</v>
      </c>
      <c r="H15" s="2"/>
      <c r="I15" s="25">
        <v>4.7172</v>
      </c>
      <c r="J15" s="25" cm="1">
        <f t="array" ref="J15">I15/1000</f>
        <v>0.0047172</v>
      </c>
      <c r="K15" s="2"/>
      <c r="L15" s="25" cm="1">
        <f t="array" ref="L15">D15*$J15</f>
        <v>0.0618156030476525</v>
      </c>
      <c r="M15" s="25" cm="1">
        <f t="array" ref="M15">E15*$J15</f>
        <v>0.0454868088124096</v>
      </c>
      <c r="N15" s="25" cm="1">
        <f t="array" ref="N15">F15*$J15</f>
        <v>0.0328510062613295</v>
      </c>
      <c r="O15" s="25" cm="1">
        <f t="array" ref="O15">G15*$J15</f>
        <v>-0.0318317242795046</v>
      </c>
      <c r="P15" s="2"/>
      <c r="Q15" s="25">
        <v>0.0167999999999999</v>
      </c>
      <c r="R15" s="25">
        <v>0.010209657</v>
      </c>
      <c r="S15" s="25" cm="1">
        <f t="array" ref="S15">L15/$R15</f>
        <v>6.05462093855381</v>
      </c>
      <c r="T15" s="25" cm="1">
        <f t="array" ref="T15">M15/$R15</f>
        <v>4.45527296484197</v>
      </c>
      <c r="U15" s="25" cm="1">
        <f t="array" ref="U15">N15/$R15</f>
        <v>3.21764053986628</v>
      </c>
      <c r="V15" s="25" cm="1">
        <f t="array" ref="V15">O15/$R15</f>
        <v>-3.11780545414058</v>
      </c>
      <c r="W15" s="2"/>
      <c r="X15" s="25" cm="1">
        <f t="array" ref="X15">S15-X$3-X$22</f>
        <v>-3.80923108501102</v>
      </c>
      <c r="Y15" s="25" cm="1">
        <f t="array" ref="Y15">T15-Y$3-Y$22</f>
        <v>-0.79994644024184</v>
      </c>
      <c r="Z15" s="25" cm="1">
        <f t="array" ref="Z15">U15-Z$3-Z$22</f>
        <v>-15.8322844918021</v>
      </c>
      <c r="AA15" s="25" cm="1">
        <f t="array" ref="AA15">V15-AA$3-AA$22</f>
        <v>0.01411721209302</v>
      </c>
      <c r="AB15" s="2"/>
      <c r="AC15" s="32" cm="1">
        <f t="array" ref="AC15">X15</f>
        <v>-3.80923108501102</v>
      </c>
      <c r="AD15" s="32" cm="1">
        <f t="array" ref="AD15">Y15</f>
        <v>-0.79994644024184</v>
      </c>
      <c r="AE15" s="32" cm="1">
        <f t="array" ref="AE15">Z15</f>
        <v>-15.8322844918021</v>
      </c>
      <c r="AF15" s="32" cm="1">
        <f t="array" ref="AF15">AA15</f>
        <v>0.01411721209302</v>
      </c>
    </row>
    <row r="16" ht="17" customHeight="1">
      <c r="A16" s="2"/>
      <c r="B16" t="s" s="24">
        <v>40</v>
      </c>
      <c r="C16" t="s" s="20">
        <v>41</v>
      </c>
      <c r="D16" s="25">
        <v>15.2743021132922</v>
      </c>
      <c r="E16" s="25">
        <v>10.2816895108654</v>
      </c>
      <c r="F16" s="25">
        <v>12.6366863816982</v>
      </c>
      <c r="G16" s="25">
        <v>-5.19931508336404</v>
      </c>
      <c r="H16" s="2"/>
      <c r="I16" s="25">
        <v>4.708</v>
      </c>
      <c r="J16" s="25" cm="1">
        <f t="array" ref="J16">I16/1000</f>
        <v>0.004708</v>
      </c>
      <c r="K16" s="2"/>
      <c r="L16" s="25" cm="1">
        <f t="array" ref="L16">D16*$J16</f>
        <v>0.0719114143493797</v>
      </c>
      <c r="M16" s="25" cm="1">
        <f t="array" ref="M16">E16*$J16</f>
        <v>0.0484061942171543</v>
      </c>
      <c r="N16" s="25" cm="1">
        <f t="array" ref="N16">F16*$J16</f>
        <v>0.0594935194850351</v>
      </c>
      <c r="O16" s="25" cm="1">
        <f t="array" ref="O16">G16*$J16</f>
        <v>-0.0244783754124779</v>
      </c>
      <c r="P16" s="2"/>
      <c r="Q16" s="25">
        <v>0.017199999999999</v>
      </c>
      <c r="R16" s="25">
        <v>0.010209657</v>
      </c>
      <c r="S16" s="25" cm="1">
        <f t="array" ref="S16">L16/$R16</f>
        <v>7.04347015275633</v>
      </c>
      <c r="T16" s="25" cm="1">
        <f t="array" ref="T16">M16/$R16</f>
        <v>4.74121649896312</v>
      </c>
      <c r="U16" s="25" cm="1">
        <f t="array" ref="U16">N16/$R16</f>
        <v>5.82718101940497</v>
      </c>
      <c r="V16" s="25" cm="1">
        <f t="array" ref="V16">O16/$R16</f>
        <v>-2.39757079130845</v>
      </c>
      <c r="W16" s="2"/>
      <c r="X16" s="25" cm="1">
        <f t="array" ref="X16">S16-X$3-X$22</f>
        <v>-2.8203818708085</v>
      </c>
      <c r="Y16" s="25" cm="1">
        <f t="array" ref="Y16">T16-Y$3-Y$22</f>
        <v>-0.51400290612069</v>
      </c>
      <c r="Z16" s="25" cm="1">
        <f t="array" ref="Z16">U16-Z$3-Z$22</f>
        <v>-13.2227440122634</v>
      </c>
      <c r="AA16" s="25" cm="1">
        <f t="array" ref="AA16">V16-AA$3-AA$22</f>
        <v>0.73435187492515</v>
      </c>
      <c r="AB16" s="2"/>
      <c r="AC16" s="32" cm="1">
        <f t="array" ref="AC16">X16</f>
        <v>-2.8203818708085</v>
      </c>
      <c r="AD16" s="32" cm="1">
        <f t="array" ref="AD16">Y16</f>
        <v>-0.51400290612069</v>
      </c>
      <c r="AE16" s="32" cm="1">
        <f t="array" ref="AE16">Z16</f>
        <v>-13.2227440122634</v>
      </c>
      <c r="AF16" s="32" cm="1">
        <f t="array" ref="AF16">AA16</f>
        <v>0.73435187492515</v>
      </c>
    </row>
    <row r="17" ht="17" customHeight="1">
      <c r="A17" s="2"/>
      <c r="B17" t="s" s="24">
        <v>42</v>
      </c>
      <c r="C17" t="s" s="20">
        <v>43</v>
      </c>
      <c r="D17" s="25">
        <v>12.8983523240688</v>
      </c>
      <c r="E17" s="25">
        <v>14.395686611955</v>
      </c>
      <c r="F17" s="25">
        <v>8.014604141763989</v>
      </c>
      <c r="G17" s="25">
        <v>-6.46961554188423</v>
      </c>
      <c r="H17" s="2"/>
      <c r="I17" s="25">
        <v>4.7133</v>
      </c>
      <c r="J17" s="25" cm="1">
        <f t="array" ref="J17">I17/1000</f>
        <v>0.0047133</v>
      </c>
      <c r="K17" s="2"/>
      <c r="L17" s="25" cm="1">
        <f t="array" ref="L17">D17*$J17</f>
        <v>0.0607938040090335</v>
      </c>
      <c r="M17" s="25" cm="1">
        <f t="array" ref="M17">E17*$J17</f>
        <v>0.06785118970812749</v>
      </c>
      <c r="N17" s="25" cm="1">
        <f t="array" ref="N17">F17*$J17</f>
        <v>0.0377752337013762</v>
      </c>
      <c r="O17" s="25" cm="1">
        <f t="array" ref="O17">G17*$J17</f>
        <v>-0.0304932389335629</v>
      </c>
      <c r="P17" s="2"/>
      <c r="Q17" s="25">
        <v>0.0175999999999998</v>
      </c>
      <c r="R17" s="25">
        <v>0.010209657</v>
      </c>
      <c r="S17" s="25" cm="1">
        <f t="array" ref="S17">L17/$R17</f>
        <v>5.95453931596659</v>
      </c>
      <c r="T17" s="25" cm="1">
        <f t="array" ref="T17">M17/$R17</f>
        <v>6.64578542728003</v>
      </c>
      <c r="U17" s="25" cm="1">
        <f t="array" ref="U17">N17/$R17</f>
        <v>3.69995130114324</v>
      </c>
      <c r="V17" s="25" cm="1">
        <f t="array" ref="V17">O17/$R17</f>
        <v>-2.98670552140615</v>
      </c>
      <c r="W17" s="2"/>
      <c r="X17" s="25" cm="1">
        <f t="array" ref="X17">S17-X$3-X$22</f>
        <v>-3.90931270759824</v>
      </c>
      <c r="Y17" s="25" cm="1">
        <f t="array" ref="Y17">T17-Y$3-Y$22</f>
        <v>1.39056602219622</v>
      </c>
      <c r="Z17" s="25" cm="1">
        <f t="array" ref="Z17">U17-Z$3-Z$22</f>
        <v>-15.3499737305252</v>
      </c>
      <c r="AA17" s="25" cm="1">
        <f t="array" ref="AA17">V17-AA$3-AA$22</f>
        <v>0.14521714482745</v>
      </c>
      <c r="AB17" s="2"/>
      <c r="AC17" s="32" cm="1">
        <f t="array" ref="AC17">X17</f>
        <v>-3.90931270759824</v>
      </c>
      <c r="AD17" s="32" cm="1">
        <f t="array" ref="AD17">Y17</f>
        <v>1.39056602219622</v>
      </c>
      <c r="AE17" s="32" cm="1">
        <f t="array" ref="AE17">Z17</f>
        <v>-15.3499737305252</v>
      </c>
      <c r="AF17" s="32" cm="1">
        <f t="array" ref="AF17">AA17</f>
        <v>0.14521714482745</v>
      </c>
    </row>
    <row r="18" ht="17" customHeight="1">
      <c r="A18" s="2"/>
      <c r="B18" t="s" s="24">
        <v>44</v>
      </c>
      <c r="C18" t="s" s="20">
        <v>45</v>
      </c>
      <c r="D18" s="25">
        <v>61.6121565397709</v>
      </c>
      <c r="E18" s="25">
        <v>10.411184235649</v>
      </c>
      <c r="F18" s="25">
        <v>17.8897419718705</v>
      </c>
      <c r="G18" s="25">
        <v>-6.3988066903258</v>
      </c>
      <c r="H18" s="2"/>
      <c r="I18" s="25">
        <v>4.6935</v>
      </c>
      <c r="J18" s="25" cm="1">
        <f t="array" ref="J18">I18/1000</f>
        <v>0.0046935</v>
      </c>
      <c r="K18" s="2"/>
      <c r="L18" s="25" cm="1">
        <f t="array" ref="L18">D18*$J18</f>
        <v>0.289176656719415</v>
      </c>
      <c r="M18" s="25" cm="1">
        <f t="array" ref="M18">E18*$J18</f>
        <v>0.0488648932100186</v>
      </c>
      <c r="N18" s="25" cm="1">
        <f t="array" ref="N18">F18*$J18</f>
        <v>0.08396550394497421</v>
      </c>
      <c r="O18" s="25" cm="1">
        <f t="array" ref="O18">G18*$J18</f>
        <v>-0.0300327992010441</v>
      </c>
      <c r="P18" s="2"/>
      <c r="Q18" s="25">
        <v>0.0180000000000007</v>
      </c>
      <c r="R18" s="25">
        <v>0.010209657</v>
      </c>
      <c r="S18" s="25" cm="1">
        <f t="array" ref="S18">L18/$R18</f>
        <v>28.3238366107123</v>
      </c>
      <c r="T18" s="25" cm="1">
        <f t="array" ref="T18">M18/$R18</f>
        <v>4.78614445225913</v>
      </c>
      <c r="U18" s="25" cm="1">
        <f t="array" ref="U18">N18/$R18</f>
        <v>8.224125839386589</v>
      </c>
      <c r="V18" s="25" cm="1">
        <f t="array" ref="V18">O18/$R18</f>
        <v>-2.94160706878244</v>
      </c>
      <c r="W18" s="2"/>
      <c r="X18" s="25" cm="1">
        <f t="array" ref="X18">S18-X$3-X$22</f>
        <v>18.4599845871475</v>
      </c>
      <c r="Y18" s="25" cm="1">
        <f t="array" ref="Y18">T18-Y$3-Y$22</f>
        <v>-0.46907495282468</v>
      </c>
      <c r="Z18" s="25" cm="1">
        <f t="array" ref="Z18">U18-Z$3-Z$22</f>
        <v>-10.8257991922818</v>
      </c>
      <c r="AA18" s="25" cm="1">
        <f t="array" ref="AA18">V18-AA$3-AA$22</f>
        <v>0.19031559745116</v>
      </c>
      <c r="AB18" s="2"/>
      <c r="AC18" s="32" cm="1">
        <f t="array" ref="AC18">X18</f>
        <v>18.4599845871475</v>
      </c>
      <c r="AD18" s="32" cm="1">
        <f t="array" ref="AD18">Y18</f>
        <v>-0.46907495282468</v>
      </c>
      <c r="AE18" s="32" cm="1">
        <f t="array" ref="AE18">Z18</f>
        <v>-10.8257991922818</v>
      </c>
      <c r="AF18" s="32" cm="1">
        <f t="array" ref="AF18">AA18</f>
        <v>0.19031559745116</v>
      </c>
    </row>
    <row r="19" ht="17" customHeight="1">
      <c r="A19" s="2"/>
      <c r="B19" t="s" s="24">
        <v>46</v>
      </c>
      <c r="C19" t="s" s="20">
        <v>47</v>
      </c>
      <c r="D19" s="25">
        <v>17.2452587046768</v>
      </c>
      <c r="E19" s="25">
        <v>9.492470137146629</v>
      </c>
      <c r="F19" s="25">
        <v>13.4204228735386</v>
      </c>
      <c r="G19" s="25">
        <v>-6.43273002234422</v>
      </c>
      <c r="H19" s="2"/>
      <c r="I19" s="25">
        <v>4.6862</v>
      </c>
      <c r="J19" s="25" cm="1">
        <f t="array" ref="J19">I19/1000</f>
        <v>0.0046862</v>
      </c>
      <c r="K19" s="2"/>
      <c r="L19" s="25" cm="1">
        <f t="array" ref="L19">D19*$J19</f>
        <v>0.08081473134185641</v>
      </c>
      <c r="M19" s="25" cm="1">
        <f t="array" ref="M19">E19*$J19</f>
        <v>0.0444836135566965</v>
      </c>
      <c r="N19" s="25" cm="1">
        <f t="array" ref="N19">F19*$J19</f>
        <v>0.06289078566997661</v>
      </c>
      <c r="O19" s="25" cm="1">
        <f t="array" ref="O19">G19*$J19</f>
        <v>-0.0301450594307095</v>
      </c>
      <c r="P19" s="2"/>
      <c r="Q19" s="25">
        <v>0.0175000000000001</v>
      </c>
      <c r="R19" s="25">
        <v>0.010209657</v>
      </c>
      <c r="S19" s="25" cm="1">
        <f t="array" ref="S19">L19/$R19</f>
        <v>7.91551874287808</v>
      </c>
      <c r="T19" s="25" cm="1">
        <f t="array" ref="T19">M19/$R19</f>
        <v>4.35701351736856</v>
      </c>
      <c r="U19" s="25" cm="1">
        <f t="array" ref="U19">N19/$R19</f>
        <v>6.15993129543692</v>
      </c>
      <c r="V19" s="25" cm="1">
        <f t="array" ref="V19">O19/$R19</f>
        <v>-2.95260256350527</v>
      </c>
      <c r="W19" s="2"/>
      <c r="X19" s="25" cm="1">
        <f t="array" ref="X19">S19-X$3-X$22</f>
        <v>-1.94833328068675</v>
      </c>
      <c r="Y19" s="25" cm="1">
        <f t="array" ref="Y19">T19-Y$3-Y$22</f>
        <v>-0.89820588771525</v>
      </c>
      <c r="Z19" s="25" cm="1">
        <f t="array" ref="Z19">U19-Z$3-Z$22</f>
        <v>-12.8899937362315</v>
      </c>
      <c r="AA19" s="25" cm="1">
        <f t="array" ref="AA19">V19-AA$3-AA$22</f>
        <v>0.17932010272833</v>
      </c>
      <c r="AB19" s="2"/>
      <c r="AC19" s="32" cm="1">
        <f t="array" ref="AC19">X19</f>
        <v>-1.94833328068675</v>
      </c>
      <c r="AD19" s="32" cm="1">
        <f t="array" ref="AD19">Y19</f>
        <v>-0.89820588771525</v>
      </c>
      <c r="AE19" s="32" cm="1">
        <f t="array" ref="AE19">Z19</f>
        <v>-12.8899937362315</v>
      </c>
      <c r="AF19" s="32" cm="1">
        <f t="array" ref="AF19">AA19</f>
        <v>0.17932010272833</v>
      </c>
    </row>
    <row r="20" ht="17" customHeight="1">
      <c r="A20" s="2"/>
      <c r="B20" t="s" s="24">
        <v>48</v>
      </c>
      <c r="C20" t="s" s="20">
        <v>49</v>
      </c>
      <c r="D20" s="25">
        <v>16.647917581544</v>
      </c>
      <c r="E20" s="25">
        <v>7.45317436251193</v>
      </c>
      <c r="F20" s="25">
        <v>4.80256731643554</v>
      </c>
      <c r="G20" s="25">
        <v>-6.49749770487544</v>
      </c>
      <c r="H20" s="2"/>
      <c r="I20" s="25">
        <v>4.7149</v>
      </c>
      <c r="J20" s="25" cm="1">
        <f t="array" ref="J20">I20/1000</f>
        <v>0.0047149</v>
      </c>
      <c r="K20" s="2"/>
      <c r="L20" s="25" cm="1">
        <f t="array" ref="L20">D20*$J20</f>
        <v>0.0784932666052218</v>
      </c>
      <c r="M20" s="25" cm="1">
        <f t="array" ref="M20">E20*$J20</f>
        <v>0.0351409718018075</v>
      </c>
      <c r="N20" s="25" cm="1">
        <f t="array" ref="N20">F20*$J20</f>
        <v>0.0226436246402619</v>
      </c>
      <c r="O20" s="25" cm="1">
        <f t="array" ref="O20">G20*$J20</f>
        <v>-0.0306350519287172</v>
      </c>
      <c r="P20" s="2"/>
      <c r="Q20" s="25">
        <v>0.0179000000000009</v>
      </c>
      <c r="R20" s="25">
        <v>0.010209657</v>
      </c>
      <c r="S20" s="25" cm="1">
        <f t="array" ref="S20">L20/$R20</f>
        <v>7.6881394355581</v>
      </c>
      <c r="T20" s="25" cm="1">
        <f t="array" ref="T20">M20/$R20</f>
        <v>3.44193461169239</v>
      </c>
      <c r="U20" s="25" cm="1">
        <f t="array" ref="U20">N20/$R20</f>
        <v>2.21786340523114</v>
      </c>
      <c r="V20" s="25" cm="1">
        <f t="array" ref="V20">O20/$R20</f>
        <v>-3.00059560558373</v>
      </c>
      <c r="W20" s="2"/>
      <c r="X20" s="25" cm="1">
        <f t="array" ref="X20">S20-X$3-X$22</f>
        <v>-2.17571258800673</v>
      </c>
      <c r="Y20" s="25" cm="1">
        <f t="array" ref="Y20">T20-Y$3-Y$22</f>
        <v>-1.81328479339142</v>
      </c>
      <c r="Z20" s="25" cm="1">
        <f t="array" ref="Z20">U20-Z$3-Z$22</f>
        <v>-16.8320616264373</v>
      </c>
      <c r="AA20" s="25" cm="1">
        <f t="array" ref="AA20">V20-AA$3-AA$22</f>
        <v>0.13132706064987</v>
      </c>
      <c r="AB20" s="2"/>
      <c r="AC20" s="32" cm="1">
        <f t="array" ref="AC20">X20</f>
        <v>-2.17571258800673</v>
      </c>
      <c r="AD20" s="32" cm="1">
        <f t="array" ref="AD20">Y20</f>
        <v>-1.81328479339142</v>
      </c>
      <c r="AE20" s="32" cm="1">
        <f t="array" ref="AE20">Z20</f>
        <v>-16.8320616264373</v>
      </c>
      <c r="AF20" s="32" cm="1">
        <f t="array" ref="AF20">AA20</f>
        <v>0.13132706064987</v>
      </c>
    </row>
    <row r="21" ht="17" customHeight="1">
      <c r="A21" s="2"/>
      <c r="B21" t="s" s="24">
        <v>50</v>
      </c>
      <c r="C21" t="s" s="20">
        <v>51</v>
      </c>
      <c r="D21" s="25">
        <v>11.7135684079459</v>
      </c>
      <c r="E21" s="25">
        <v>7.18257004044942</v>
      </c>
      <c r="F21" s="25">
        <v>10.9269596269432</v>
      </c>
      <c r="G21" s="25">
        <v>-6.84797691495934</v>
      </c>
      <c r="H21" s="2"/>
      <c r="I21" s="25">
        <v>4.7299</v>
      </c>
      <c r="J21" s="25" cm="1">
        <f t="array" ref="J21">I21/1000</f>
        <v>0.0047299</v>
      </c>
      <c r="K21" s="2"/>
      <c r="L21" s="25" cm="1">
        <f t="array" ref="L21">D21*$J21</f>
        <v>0.0554040072127433</v>
      </c>
      <c r="M21" s="25" cm="1">
        <f t="array" ref="M21">E21*$J21</f>
        <v>0.0339728380343217</v>
      </c>
      <c r="N21" s="25" cm="1">
        <f t="array" ref="N21">F21*$J21</f>
        <v>0.0516834263394786</v>
      </c>
      <c r="O21" s="25" cm="1">
        <f t="array" ref="O21">G21*$J21</f>
        <v>-0.0323902460100662</v>
      </c>
      <c r="P21" s="2"/>
      <c r="Q21" s="25">
        <v>0.0184000000000015</v>
      </c>
      <c r="R21" s="25">
        <v>0.010209657</v>
      </c>
      <c r="S21" s="25" cm="1">
        <f t="array" ref="S21">L21/$R21</f>
        <v>5.42662767346085</v>
      </c>
      <c r="T21" s="25" cm="1">
        <f t="array" ref="T21">M21/$R21</f>
        <v>3.32752001701151</v>
      </c>
      <c r="U21" s="25" cm="1">
        <f t="array" ref="U21">N21/$R21</f>
        <v>5.06220986067197</v>
      </c>
      <c r="V21" s="25" cm="1">
        <f t="array" ref="V21">O21/$R21</f>
        <v>-3.17251069355868</v>
      </c>
      <c r="W21" s="2"/>
      <c r="X21" s="2"/>
      <c r="Y21" s="2"/>
      <c r="Z21" s="2"/>
      <c r="AA21" s="2"/>
      <c r="AB21" s="2"/>
      <c r="AC21" s="26"/>
      <c r="AD21" s="26"/>
      <c r="AE21" s="26"/>
      <c r="AF21" s="26"/>
    </row>
    <row r="22" ht="17" customHeight="1">
      <c r="A22" s="2"/>
      <c r="B22" t="s" s="24">
        <v>52</v>
      </c>
      <c r="C22" t="s" s="20">
        <v>53</v>
      </c>
      <c r="D22" s="25">
        <v>34.6205848540528</v>
      </c>
      <c r="E22" s="25">
        <v>10.7704940483173</v>
      </c>
      <c r="F22" s="25">
        <v>8.467604164658191</v>
      </c>
      <c r="G22" s="25">
        <v>-6.67627910266544</v>
      </c>
      <c r="H22" s="2"/>
      <c r="I22" s="25">
        <v>4.7298</v>
      </c>
      <c r="J22" s="25" cm="1">
        <f t="array" ref="J22">I22/1000</f>
        <v>0.0047298</v>
      </c>
      <c r="K22" s="2"/>
      <c r="L22" s="25" cm="1">
        <f t="array" ref="L22">D22*$J22</f>
        <v>0.163748442242699</v>
      </c>
      <c r="M22" s="25" cm="1">
        <f t="array" ref="M22">E22*$J22</f>
        <v>0.0509422827497312</v>
      </c>
      <c r="N22" s="25" cm="1">
        <f t="array" ref="N22">F22*$J22</f>
        <v>0.0400500741780003</v>
      </c>
      <c r="O22" s="25" cm="1">
        <f t="array" ref="O22">G22*$J22</f>
        <v>-0.031577464899787</v>
      </c>
      <c r="P22" s="2"/>
      <c r="Q22" s="25">
        <v>0.0180999999999987</v>
      </c>
      <c r="R22" s="25">
        <v>0.010209657</v>
      </c>
      <c r="S22" s="25" cm="1">
        <f t="array" ref="S22">L22/$R22</f>
        <v>16.0385840819823</v>
      </c>
      <c r="T22" s="25" cm="1">
        <f t="array" ref="T22">M22/$R22</f>
        <v>4.98961745235234</v>
      </c>
      <c r="U22" s="25" cm="1">
        <f t="array" ref="U22">N22/$R22</f>
        <v>3.92276392615347</v>
      </c>
      <c r="V22" s="25" cm="1">
        <f t="array" ref="V22">O22/$R22</f>
        <v>-3.09290164202255</v>
      </c>
      <c r="W22" s="2"/>
      <c r="X22" s="25" cm="1">
        <f t="array" ref="X22">AVERAGE(S21:S23)</f>
        <v>9.86385202356483</v>
      </c>
      <c r="Y22" s="25" cm="1">
        <f t="array" ref="Y22">AVERAGE(T21:T23)</f>
        <v>5.25521940508381</v>
      </c>
      <c r="Z22" s="25" cm="1">
        <f t="array" ref="Z22">AVERAGE(U21:U23)</f>
        <v>19.0499250316684</v>
      </c>
      <c r="AA22" s="25" cm="1">
        <f t="array" ref="AA22">AVERAGE(V21:V23)</f>
        <v>-3.1319226662336</v>
      </c>
      <c r="AB22" s="2"/>
      <c r="AC22" s="26"/>
      <c r="AD22" s="26"/>
      <c r="AE22" s="26"/>
      <c r="AF22" s="26"/>
    </row>
    <row r="23" ht="17" customHeight="1">
      <c r="A23" s="2"/>
      <c r="B23" t="s" s="24">
        <v>54</v>
      </c>
      <c r="C23" t="s" s="20">
        <v>55</v>
      </c>
      <c r="D23" s="25">
        <v>17.6398324876932</v>
      </c>
      <c r="E23" s="25">
        <v>16.1684827939143</v>
      </c>
      <c r="F23" s="25">
        <v>104.551197182818</v>
      </c>
      <c r="G23" s="25">
        <v>-6.79505413285247</v>
      </c>
      <c r="H23" s="2"/>
      <c r="I23" s="25">
        <v>4.7034</v>
      </c>
      <c r="J23" s="25" cm="1">
        <f t="array" ref="J23">I23/1000</f>
        <v>0.0047034</v>
      </c>
      <c r="K23" s="2"/>
      <c r="L23" s="25" cm="1">
        <f t="array" ref="L23">D23*$J23</f>
        <v>0.08296718812261621</v>
      </c>
      <c r="M23" s="25" cm="1">
        <f t="array" ref="M23">E23*$J23</f>
        <v>0.0760468419728965</v>
      </c>
      <c r="N23" s="25" cm="1">
        <f t="array" ref="N23">F23*$J23</f>
        <v>0.491746100829666</v>
      </c>
      <c r="O23" s="25" cm="1">
        <f t="array" ref="O23">G23*$J23</f>
        <v>-0.0319598576084583</v>
      </c>
      <c r="P23" s="2"/>
      <c r="Q23" s="25">
        <v>0.0183999999999997</v>
      </c>
      <c r="R23" s="25">
        <v>0.010209657</v>
      </c>
      <c r="S23" s="25" cm="1">
        <f t="array" ref="S23">L23/$R23</f>
        <v>8.12634431525135</v>
      </c>
      <c r="T23" s="25" cm="1">
        <f t="array" ref="T23">M23/$R23</f>
        <v>7.44852074588759</v>
      </c>
      <c r="U23" s="25" cm="1">
        <f t="array" ref="U23">N23/$R23</f>
        <v>48.1648013081797</v>
      </c>
      <c r="V23" s="25" cm="1">
        <f t="array" ref="V23">O23/$R23</f>
        <v>-3.13035566311956</v>
      </c>
      <c r="W23" s="2"/>
      <c r="X23" s="2"/>
      <c r="Y23" s="2"/>
      <c r="Z23" s="2"/>
      <c r="AA23" s="2"/>
      <c r="AB23" s="2"/>
      <c r="AC23" s="26"/>
      <c r="AD23" s="26"/>
      <c r="AE23" s="26"/>
      <c r="AF23" s="26"/>
    </row>
    <row r="24" ht="17" customHeight="1">
      <c r="A24" s="2"/>
      <c r="B24" t="s" s="24">
        <v>56</v>
      </c>
      <c r="C24" t="s" s="20">
        <v>57</v>
      </c>
      <c r="D24" s="25">
        <v>21.4124199871973</v>
      </c>
      <c r="E24" s="25">
        <v>12.4876881811314</v>
      </c>
      <c r="F24" s="25">
        <v>10.3055348773786</v>
      </c>
      <c r="G24" s="25">
        <v>-7.03471784402791</v>
      </c>
      <c r="H24" s="2"/>
      <c r="I24" s="25">
        <v>4.7184</v>
      </c>
      <c r="J24" s="25" cm="1">
        <f t="array" ref="J24">I24/1000</f>
        <v>0.0047184</v>
      </c>
      <c r="K24" s="2"/>
      <c r="L24" s="25" cm="1">
        <f t="array" ref="L24">D24*$J24</f>
        <v>0.101032362467592</v>
      </c>
      <c r="M24" s="25" cm="1">
        <f t="array" ref="M24">E24*$J24</f>
        <v>0.0589219079138504</v>
      </c>
      <c r="N24" s="25" cm="1">
        <f t="array" ref="N24">F24*$J24</f>
        <v>0.0486256357654232</v>
      </c>
      <c r="O24" s="25" cm="1">
        <f t="array" ref="O24">G24*$J24</f>
        <v>-0.0331926126752613</v>
      </c>
      <c r="P24" s="2"/>
      <c r="Q24" s="25">
        <v>0.0183</v>
      </c>
      <c r="R24" s="25">
        <v>0.010209657</v>
      </c>
      <c r="S24" s="25" cm="1">
        <f t="array" ref="S24">L24/$R24</f>
        <v>9.89576461457931</v>
      </c>
      <c r="T24" s="25" cm="1">
        <f t="array" ref="T24">M24/$R24</f>
        <v>5.77119367612941</v>
      </c>
      <c r="U24" s="25" cm="1">
        <f t="array" ref="U24">N24/$R24</f>
        <v>4.7627100269307</v>
      </c>
      <c r="V24" s="25" cm="1">
        <f t="array" ref="V24">O24/$R24</f>
        <v>-3.25109968682212</v>
      </c>
      <c r="W24" s="2"/>
      <c r="X24" s="25" cm="1">
        <f t="array" ref="X24">S24-X$3-X$31</f>
        <v>-0.95248500599049</v>
      </c>
      <c r="Y24" s="25" cm="1">
        <f t="array" ref="Y24">T24-Y$3-Y$31</f>
        <v>-0.20245015435315</v>
      </c>
      <c r="Z24" s="25" cm="1">
        <f t="array" ref="Z24">U24-Z$3-Z$31</f>
        <v>-1.16023952482407</v>
      </c>
      <c r="AA24" s="25" cm="1">
        <f t="array" ref="AA24">V24-AA$3-AA$31</f>
        <v>-0.19099487658286</v>
      </c>
      <c r="AB24" s="2"/>
      <c r="AC24" s="32" cm="1">
        <f t="array" ref="AC24">X24</f>
        <v>-0.95248500599049</v>
      </c>
      <c r="AD24" s="32" cm="1">
        <f t="array" ref="AD24">Y24</f>
        <v>-0.20245015435315</v>
      </c>
      <c r="AE24" s="32" cm="1">
        <f t="array" ref="AE24">Z24</f>
        <v>-1.16023952482407</v>
      </c>
      <c r="AF24" s="32" cm="1">
        <f t="array" ref="AF24">AA24</f>
        <v>-0.19099487658286</v>
      </c>
    </row>
    <row r="25" ht="17" customHeight="1">
      <c r="A25" s="2"/>
      <c r="B25" t="s" s="24">
        <v>58</v>
      </c>
      <c r="C25" t="s" s="20">
        <v>59</v>
      </c>
      <c r="D25" s="25">
        <v>33.0092124203434</v>
      </c>
      <c r="E25" s="25">
        <v>30.7909165583617</v>
      </c>
      <c r="F25" s="25">
        <v>15.5024778970867</v>
      </c>
      <c r="G25" s="25">
        <v>-6.90119373722742</v>
      </c>
      <c r="H25" s="2"/>
      <c r="I25" s="25">
        <v>4.6816</v>
      </c>
      <c r="J25" s="25" cm="1">
        <f t="array" ref="J25">I25/1000</f>
        <v>0.0046816</v>
      </c>
      <c r="K25" s="2"/>
      <c r="L25" s="25" cm="1">
        <f t="array" ref="L25">D25*$J25</f>
        <v>0.15453592886708</v>
      </c>
      <c r="M25" s="25" cm="1">
        <f t="array" ref="M25">E25*$J25</f>
        <v>0.144150754959626</v>
      </c>
      <c r="N25" s="25" cm="1">
        <f t="array" ref="N25">F25*$J25</f>
        <v>0.0725764005230011</v>
      </c>
      <c r="O25" s="25" cm="1">
        <f t="array" ref="O25">G25*$J25</f>
        <v>-0.0323086286002039</v>
      </c>
      <c r="P25" s="2"/>
      <c r="Q25" s="25">
        <v>0.0181999999999984</v>
      </c>
      <c r="R25" s="25">
        <v>0.010209657</v>
      </c>
      <c r="S25" s="25" cm="1">
        <f t="array" ref="S25">L25/$R25</f>
        <v>15.1362507934478</v>
      </c>
      <c r="T25" s="25" cm="1">
        <f t="array" ref="T25">M25/$R25</f>
        <v>14.1190595295832</v>
      </c>
      <c r="U25" s="25" cm="1">
        <f t="array" ref="U25">N25/$R25</f>
        <v>7.10860320998062</v>
      </c>
      <c r="V25" s="25" cm="1">
        <f t="array" ref="V25">O25/$R25</f>
        <v>-3.16451655527741</v>
      </c>
      <c r="W25" s="2"/>
      <c r="X25" s="25" cm="1">
        <f t="array" ref="X25">S25-X$3-X$31</f>
        <v>4.288001172878</v>
      </c>
      <c r="Y25" s="25" cm="1">
        <f t="array" ref="Y25">T25-Y$3-Y$31</f>
        <v>8.14541569910064</v>
      </c>
      <c r="Z25" s="25" cm="1">
        <f t="array" ref="Z25">U25-Z$3-Z$31</f>
        <v>1.18565365822585</v>
      </c>
      <c r="AA25" s="25" cm="1">
        <f t="array" ref="AA25">V25-AA$3-AA$31</f>
        <v>-0.10441174503815</v>
      </c>
      <c r="AB25" s="2"/>
      <c r="AC25" s="32" cm="1">
        <f t="array" ref="AC25">X25</f>
        <v>4.288001172878</v>
      </c>
      <c r="AD25" s="32" cm="1">
        <f t="array" ref="AD25">Y25</f>
        <v>8.14541569910064</v>
      </c>
      <c r="AE25" s="32" cm="1">
        <f t="array" ref="AE25">Z25</f>
        <v>1.18565365822585</v>
      </c>
      <c r="AF25" s="32" cm="1">
        <f t="array" ref="AF25">AA25</f>
        <v>-0.10441174503815</v>
      </c>
    </row>
    <row r="26" ht="17" customHeight="1">
      <c r="A26" s="2"/>
      <c r="B26" t="s" s="24">
        <v>60</v>
      </c>
      <c r="C26" t="s" s="20">
        <v>61</v>
      </c>
      <c r="D26" s="25">
        <v>29.6982117422824</v>
      </c>
      <c r="E26" s="25">
        <v>12.6656329613969</v>
      </c>
      <c r="F26" s="25">
        <v>7.69830261978151</v>
      </c>
      <c r="G26" s="25">
        <v>-6.74486585645386</v>
      </c>
      <c r="H26" s="2"/>
      <c r="I26" s="25">
        <v>4.6939</v>
      </c>
      <c r="J26" s="25" cm="1">
        <f t="array" ref="J26">I26/1000</f>
        <v>0.0046939</v>
      </c>
      <c r="K26" s="2"/>
      <c r="L26" s="25" cm="1">
        <f t="array" ref="L26">D26*$J26</f>
        <v>0.139400436097099</v>
      </c>
      <c r="M26" s="25" cm="1">
        <f t="array" ref="M26">E26*$J26</f>
        <v>0.0594512145575009</v>
      </c>
      <c r="N26" s="25" cm="1">
        <f t="array" ref="N26">F26*$J26</f>
        <v>0.0361350626669924</v>
      </c>
      <c r="O26" s="25" cm="1">
        <f t="array" ref="O26">G26*$J26</f>
        <v>-0.0316597258436088</v>
      </c>
      <c r="P26" s="2"/>
      <c r="Q26" s="25">
        <v>0.0182000000000002</v>
      </c>
      <c r="R26" s="25">
        <v>0.010209657</v>
      </c>
      <c r="S26" s="25" cm="1">
        <f t="array" ref="S26">L26/$R26</f>
        <v>13.6537825019096</v>
      </c>
      <c r="T26" s="25" cm="1">
        <f t="array" ref="T26">M26/$R26</f>
        <v>5.82303740052197</v>
      </c>
      <c r="U26" s="25" cm="1">
        <f t="array" ref="U26">N26/$R26</f>
        <v>3.53930231612995</v>
      </c>
      <c r="V26" s="25" cm="1">
        <f t="array" ref="V26">O26/$R26</f>
        <v>-3.1009588121921</v>
      </c>
      <c r="W26" s="2"/>
      <c r="X26" s="25" cm="1">
        <f t="array" ref="X26">S26-X$3-X$31</f>
        <v>2.8055328813398</v>
      </c>
      <c r="Y26" s="25" cm="1">
        <f t="array" ref="Y26">T26-Y$3-Y$31</f>
        <v>-0.15060642996059</v>
      </c>
      <c r="Z26" s="25" cm="1">
        <f t="array" ref="Z26">U26-Z$3-Z$31</f>
        <v>-2.38364723562482</v>
      </c>
      <c r="AA26" s="25" cm="1">
        <f t="array" ref="AA26">V26-AA$3-AA$31</f>
        <v>-0.04085400195284</v>
      </c>
      <c r="AB26" s="2"/>
      <c r="AC26" s="32" cm="1">
        <f t="array" ref="AC26">X26</f>
        <v>2.8055328813398</v>
      </c>
      <c r="AD26" s="32" cm="1">
        <f t="array" ref="AD26">Y26</f>
        <v>-0.15060642996059</v>
      </c>
      <c r="AE26" s="32" cm="1">
        <f t="array" ref="AE26">Z26</f>
        <v>-2.38364723562482</v>
      </c>
      <c r="AF26" s="32" cm="1">
        <f t="array" ref="AF26">AA26</f>
        <v>-0.04085400195284</v>
      </c>
    </row>
    <row r="27" ht="17" customHeight="1">
      <c r="A27" s="2"/>
      <c r="B27" t="s" s="24">
        <v>62</v>
      </c>
      <c r="C27" t="s" s="20">
        <v>63</v>
      </c>
      <c r="D27" s="25">
        <v>35.080065723728</v>
      </c>
      <c r="E27" s="25">
        <v>14.0594437388642</v>
      </c>
      <c r="F27" s="25">
        <v>5.85361968985189</v>
      </c>
      <c r="G27" s="25">
        <v>-6.87848146713763</v>
      </c>
      <c r="H27" s="2"/>
      <c r="I27" s="25">
        <v>4.7023</v>
      </c>
      <c r="J27" s="25" cm="1">
        <f t="array" ref="J27">I27/1000</f>
        <v>0.0047023</v>
      </c>
      <c r="K27" s="2"/>
      <c r="L27" s="25" cm="1">
        <f t="array" ref="L27">D27*$J27</f>
        <v>0.164956993052686</v>
      </c>
      <c r="M27" s="25" cm="1">
        <f t="array" ref="M27">E27*$J27</f>
        <v>0.06611172229326109</v>
      </c>
      <c r="N27" s="25" cm="1">
        <f t="array" ref="N27">F27*$J27</f>
        <v>0.0275254758675905</v>
      </c>
      <c r="O27" s="25" cm="1">
        <f t="array" ref="O27">G27*$J27</f>
        <v>-0.0323446834029213</v>
      </c>
      <c r="P27" s="2"/>
      <c r="Q27" s="25">
        <v>0.0183</v>
      </c>
      <c r="R27" s="25">
        <v>0.010209657</v>
      </c>
      <c r="S27" s="25" cm="1">
        <f t="array" ref="S27">L27/$R27</f>
        <v>16.1569573838461</v>
      </c>
      <c r="T27" s="25" cm="1">
        <f t="array" ref="T27">M27/$R27</f>
        <v>6.47541071098286</v>
      </c>
      <c r="U27" s="25" cm="1">
        <f t="array" ref="U27">N27/$R27</f>
        <v>2.69602356549201</v>
      </c>
      <c r="V27" s="25" cm="1">
        <f t="array" ref="V27">O27/$R27</f>
        <v>-3.16804799641372</v>
      </c>
      <c r="W27" s="2"/>
      <c r="X27" s="25" cm="1">
        <f t="array" ref="X27">S27-X$3-X$31</f>
        <v>5.3087077632763</v>
      </c>
      <c r="Y27" s="25" cm="1">
        <f t="array" ref="Y27">T27-Y$3-Y$31</f>
        <v>0.5017668805003</v>
      </c>
      <c r="Z27" s="25" cm="1">
        <f t="array" ref="Z27">U27-Z$3-Z$31</f>
        <v>-3.22692598626276</v>
      </c>
      <c r="AA27" s="25" cm="1">
        <f t="array" ref="AA27">V27-AA$3-AA$31</f>
        <v>-0.10794318617446</v>
      </c>
      <c r="AB27" s="2"/>
      <c r="AC27" s="32" cm="1">
        <f t="array" ref="AC27">X27</f>
        <v>5.3087077632763</v>
      </c>
      <c r="AD27" s="32" cm="1">
        <f t="array" ref="AD27">Y27</f>
        <v>0.5017668805003</v>
      </c>
      <c r="AE27" s="32" cm="1">
        <f t="array" ref="AE27">Z27</f>
        <v>-3.22692598626276</v>
      </c>
      <c r="AF27" s="32" cm="1">
        <f t="array" ref="AF27">AA27</f>
        <v>-0.10794318617446</v>
      </c>
    </row>
    <row r="28" ht="17" customHeight="1">
      <c r="A28" s="2"/>
      <c r="B28" t="s" s="24">
        <v>64</v>
      </c>
      <c r="C28" t="s" s="20">
        <v>65</v>
      </c>
      <c r="D28" s="25">
        <v>34.5759151676513</v>
      </c>
      <c r="E28" s="25">
        <v>11.9858416999422</v>
      </c>
      <c r="F28" s="25">
        <v>25.5537491858786</v>
      </c>
      <c r="G28" s="25">
        <v>-6.42843038948703</v>
      </c>
      <c r="H28" s="2"/>
      <c r="I28" s="25">
        <v>4.7</v>
      </c>
      <c r="J28" s="25" cm="1">
        <f t="array" ref="J28">I28/1000</f>
        <v>0.0047</v>
      </c>
      <c r="K28" s="2"/>
      <c r="L28" s="25" cm="1">
        <f t="array" ref="L28">D28*$J28</f>
        <v>0.162506801287961</v>
      </c>
      <c r="M28" s="25" cm="1">
        <f t="array" ref="M28">E28*$J28</f>
        <v>0.0563334559897283</v>
      </c>
      <c r="N28" s="25" cm="1">
        <f t="array" ref="N28">F28*$J28</f>
        <v>0.120102621173629</v>
      </c>
      <c r="O28" s="25" cm="1">
        <f t="array" ref="O28">G28*$J28</f>
        <v>-0.030213622830589</v>
      </c>
      <c r="P28" s="2"/>
      <c r="Q28" s="25">
        <v>0.0179000000000009</v>
      </c>
      <c r="R28" s="25">
        <v>0.010209657</v>
      </c>
      <c r="S28" s="25" cm="1">
        <f t="array" ref="S28">L28/$R28</f>
        <v>15.9169697168045</v>
      </c>
      <c r="T28" s="25" cm="1">
        <f t="array" ref="T28">M28/$R28</f>
        <v>5.51766391267878</v>
      </c>
      <c r="U28" s="25" cm="1">
        <f t="array" ref="U28">N28/$R28</f>
        <v>11.7636293926063</v>
      </c>
      <c r="V28" s="25" cm="1">
        <f t="array" ref="V28">O28/$R28</f>
        <v>-2.95931810741428</v>
      </c>
      <c r="W28" s="2"/>
      <c r="X28" s="25" cm="1">
        <f t="array" ref="X28">S28-X$3-X$31</f>
        <v>5.0687200962347</v>
      </c>
      <c r="Y28" s="25" cm="1">
        <f t="array" ref="Y28">T28-Y$3-Y$31</f>
        <v>-0.45597991780378</v>
      </c>
      <c r="Z28" s="25" cm="1">
        <f t="array" ref="Z28">U28-Z$3-Z$31</f>
        <v>5.84067984085153</v>
      </c>
      <c r="AA28" s="25" cm="1">
        <f t="array" ref="AA28">V28-AA$3-AA$31</f>
        <v>0.10078670282498</v>
      </c>
      <c r="AB28" s="2"/>
      <c r="AC28" s="32" cm="1">
        <f t="array" ref="AC28">X28</f>
        <v>5.0687200962347</v>
      </c>
      <c r="AD28" s="32" cm="1">
        <f t="array" ref="AD28">Y28</f>
        <v>-0.45597991780378</v>
      </c>
      <c r="AE28" s="32" cm="1">
        <f t="array" ref="AE28">Z28</f>
        <v>5.84067984085153</v>
      </c>
      <c r="AF28" s="32" cm="1">
        <f t="array" ref="AF28">AA28</f>
        <v>0.10078670282498</v>
      </c>
    </row>
    <row r="29" ht="17" customHeight="1">
      <c r="A29" s="2"/>
      <c r="B29" t="s" s="24">
        <v>66</v>
      </c>
      <c r="C29" t="s" s="20">
        <v>67</v>
      </c>
      <c r="D29" s="25">
        <v>189.533751658085</v>
      </c>
      <c r="E29" s="25">
        <v>15.8236897843479</v>
      </c>
      <c r="F29" s="25">
        <v>23.8801696526993</v>
      </c>
      <c r="G29" s="25">
        <v>-6.70300012374097</v>
      </c>
      <c r="H29" s="2"/>
      <c r="I29" s="25">
        <v>4.7</v>
      </c>
      <c r="J29" s="25" cm="1">
        <f t="array" ref="J29">I29/1000</f>
        <v>0.0047</v>
      </c>
      <c r="K29" s="2"/>
      <c r="L29" s="25" cm="1">
        <f t="array" ref="L29">D29*$J29</f>
        <v>0.890808632793</v>
      </c>
      <c r="M29" s="25" cm="1">
        <f t="array" ref="M29">E29*$J29</f>
        <v>0.07437134198643509</v>
      </c>
      <c r="N29" s="25" cm="1">
        <f t="array" ref="N29">F29*$J29</f>
        <v>0.112236797367687</v>
      </c>
      <c r="O29" s="25" cm="1">
        <f t="array" ref="O29">G29*$J29</f>
        <v>-0.0315041005815826</v>
      </c>
      <c r="P29" s="2"/>
      <c r="Q29" s="25">
        <v>0.0179999999999989</v>
      </c>
      <c r="R29" s="25">
        <v>0.010209657</v>
      </c>
      <c r="S29" s="25" cm="1">
        <f t="array" ref="S29">L29/$R29</f>
        <v>87.2515729757621</v>
      </c>
      <c r="T29" s="25" cm="1">
        <f t="array" ref="T29">M29/$R29</f>
        <v>7.28441141425565</v>
      </c>
      <c r="U29" s="25" cm="1">
        <f t="array" ref="U29">N29/$R29</f>
        <v>10.9931996116703</v>
      </c>
      <c r="V29" s="25" cm="1">
        <f t="array" ref="V29">O29/$R29</f>
        <v>-3.08571586504646</v>
      </c>
      <c r="W29" s="2"/>
      <c r="X29" s="25" cm="1">
        <f t="array" ref="X29">S29-X$3-X$31</f>
        <v>76.4033233551923</v>
      </c>
      <c r="Y29" s="25" cm="1">
        <f t="array" ref="Y29">T29-Y$3-Y$31</f>
        <v>1.31076758377309</v>
      </c>
      <c r="Z29" s="25" cm="1">
        <f t="array" ref="Z29">U29-Z$3-Z$31</f>
        <v>5.07025005991553</v>
      </c>
      <c r="AA29" s="25" cm="1">
        <f t="array" ref="AA29">V29-AA$3-AA$31</f>
        <v>-0.0256110548072</v>
      </c>
      <c r="AB29" s="2"/>
      <c r="AC29" s="32" cm="1">
        <f t="array" ref="AC29">X29</f>
        <v>76.4033233551923</v>
      </c>
      <c r="AD29" s="32" cm="1">
        <f t="array" ref="AD29">Y29</f>
        <v>1.31076758377309</v>
      </c>
      <c r="AE29" s="32" cm="1">
        <f t="array" ref="AE29">Z29</f>
        <v>5.07025005991553</v>
      </c>
      <c r="AF29" s="32" cm="1">
        <f t="array" ref="AF29">AA29</f>
        <v>-0.0256110548072</v>
      </c>
    </row>
    <row r="30" ht="17" customHeight="1">
      <c r="A30" s="2"/>
      <c r="B30" t="s" s="24">
        <v>68</v>
      </c>
      <c r="C30" t="s" s="20">
        <v>69</v>
      </c>
      <c r="D30" s="25">
        <v>25.1144141711334</v>
      </c>
      <c r="E30" s="25">
        <v>10.0006745023341</v>
      </c>
      <c r="F30" s="25">
        <v>8.02874543645677</v>
      </c>
      <c r="G30" s="25">
        <v>-6.1949650010867</v>
      </c>
      <c r="H30" s="2"/>
      <c r="I30" s="25">
        <v>4.7</v>
      </c>
      <c r="J30" s="25" cm="1">
        <f t="array" ref="J30">I30/1000</f>
        <v>0.0047</v>
      </c>
      <c r="K30" s="2"/>
      <c r="L30" s="25" cm="1">
        <f t="array" ref="L30">D30*$J30</f>
        <v>0.118037746604327</v>
      </c>
      <c r="M30" s="25" cm="1">
        <f t="array" ref="M30">E30*$J30</f>
        <v>0.0470031701609703</v>
      </c>
      <c r="N30" s="25" cm="1">
        <f t="array" ref="N30">F30*$J30</f>
        <v>0.0377351035513468</v>
      </c>
      <c r="O30" s="25" cm="1">
        <f t="array" ref="O30">G30*$J30</f>
        <v>-0.0291163355051075</v>
      </c>
      <c r="P30" s="2"/>
      <c r="Q30" s="25">
        <v>0.0188000000000006</v>
      </c>
      <c r="R30" s="25">
        <v>0.010209657</v>
      </c>
      <c r="S30" s="25" cm="1">
        <f t="array" ref="S30">L30/$R30</f>
        <v>11.5613821898549</v>
      </c>
      <c r="T30" s="25" cm="1">
        <f t="array" ref="T30">M30/$R30</f>
        <v>4.60379522651645</v>
      </c>
      <c r="U30" s="25" cm="1">
        <f t="array" ref="U30">N30/$R30</f>
        <v>3.69602069406904</v>
      </c>
      <c r="V30" s="25" cm="1">
        <f t="array" ref="V30">O30/$R30</f>
        <v>-2.85184267259003</v>
      </c>
      <c r="W30" s="2"/>
      <c r="X30" s="2"/>
      <c r="Y30" s="2"/>
      <c r="Z30" s="2"/>
      <c r="AA30" s="2"/>
      <c r="AB30" s="2"/>
      <c r="AC30" s="26"/>
      <c r="AD30" s="26"/>
      <c r="AE30" s="26"/>
      <c r="AF30" s="26"/>
    </row>
    <row r="31" ht="17" customHeight="1">
      <c r="A31" s="2"/>
      <c r="B31" t="s" s="24">
        <v>70</v>
      </c>
      <c r="C31" t="s" s="20">
        <v>71</v>
      </c>
      <c r="D31" s="25">
        <v>23.8765268016907</v>
      </c>
      <c r="E31" s="25">
        <v>17.8002755577542</v>
      </c>
      <c r="F31" s="25">
        <v>21.8944739580662</v>
      </c>
      <c r="G31" s="25">
        <v>-7.60045114423734</v>
      </c>
      <c r="H31" s="2"/>
      <c r="I31" s="25">
        <v>4.7</v>
      </c>
      <c r="J31" s="25" cm="1">
        <f t="array" ref="J31">I31/1000</f>
        <v>0.0047</v>
      </c>
      <c r="K31" s="2"/>
      <c r="L31" s="25" cm="1">
        <f t="array" ref="L31">D31*$J31</f>
        <v>0.112219675967946</v>
      </c>
      <c r="M31" s="25" cm="1">
        <f t="array" ref="M31">E31*$J31</f>
        <v>0.0836612951214447</v>
      </c>
      <c r="N31" s="25" cm="1">
        <f t="array" ref="N31">F31*$J31</f>
        <v>0.102904027602911</v>
      </c>
      <c r="O31" s="25" cm="1">
        <f t="array" ref="O31">G31*$J31</f>
        <v>-0.0357221203779155</v>
      </c>
      <c r="P31" s="2"/>
      <c r="Q31" s="25">
        <v>0.0183999999999997</v>
      </c>
      <c r="R31" s="25">
        <v>0.010209657</v>
      </c>
      <c r="S31" s="25" cm="1">
        <f t="array" ref="S31">L31/$R31</f>
        <v>10.9915226307746</v>
      </c>
      <c r="T31" s="25" cm="1">
        <f t="array" ref="T31">M31/$R31</f>
        <v>8.194329654898761</v>
      </c>
      <c r="U31" s="25" cm="1">
        <f t="array" ref="U31">N31/$R31</f>
        <v>10.079087632710</v>
      </c>
      <c r="V31" s="25" cm="1">
        <f t="array" ref="V31">O31/$R31</f>
        <v>-3.49885607106248</v>
      </c>
      <c r="W31" s="2"/>
      <c r="X31" s="25" cm="1">
        <f t="array" ref="X31">AVERAGE(S30:S32)</f>
        <v>10.8482496205698</v>
      </c>
      <c r="Y31" s="25" cm="1">
        <f t="array" ref="Y31">AVERAGE(T30:T32)</f>
        <v>5.97364383048256</v>
      </c>
      <c r="Z31" s="25" cm="1">
        <f t="array" ref="Z31">AVERAGE(U30:U32)</f>
        <v>5.92294955175477</v>
      </c>
      <c r="AA31" s="25" cm="1">
        <f t="array" ref="AA31">AVERAGE(V30:V32)</f>
        <v>-3.06010481023926</v>
      </c>
      <c r="AB31" s="2"/>
      <c r="AC31" s="26"/>
      <c r="AD31" s="26"/>
      <c r="AE31" s="26"/>
      <c r="AF31" s="26"/>
    </row>
    <row r="32" ht="17" customHeight="1">
      <c r="A32" s="2"/>
      <c r="B32" t="s" s="36">
        <v>72</v>
      </c>
      <c r="C32" t="s" s="20">
        <v>73</v>
      </c>
      <c r="D32" s="25">
        <v>21.7049575440255</v>
      </c>
      <c r="E32" s="25">
        <v>11.128106035269</v>
      </c>
      <c r="F32" s="25">
        <v>8.675472106574849</v>
      </c>
      <c r="G32" s="25">
        <v>-6.14668204399059</v>
      </c>
      <c r="H32" s="2"/>
      <c r="I32" s="25">
        <v>4.7</v>
      </c>
      <c r="J32" s="25" cm="1">
        <f t="array" ref="J32">I32/1000</f>
        <v>0.0047</v>
      </c>
      <c r="K32" s="2"/>
      <c r="L32" s="25" cm="1">
        <f t="array" ref="L32">D32*$J32</f>
        <v>0.10201330045692</v>
      </c>
      <c r="M32" s="25" cm="1">
        <f t="array" ref="M32">E32*$J32</f>
        <v>0.0523020983657643</v>
      </c>
      <c r="N32" s="25" cm="1">
        <f t="array" ref="N32">F32*$J32</f>
        <v>0.0407747189009018</v>
      </c>
      <c r="O32" s="25" cm="1">
        <f t="array" ref="O32">G32*$J32</f>
        <v>-0.0288894056067558</v>
      </c>
      <c r="P32" s="2"/>
      <c r="Q32" s="25">
        <v>0.0182000000000002</v>
      </c>
      <c r="R32" s="25">
        <v>0.010209657</v>
      </c>
      <c r="S32" s="25" cm="1">
        <f t="array" ref="S32">L32/$R32</f>
        <v>9.991844041079929</v>
      </c>
      <c r="T32" s="25" cm="1">
        <f t="array" ref="T32">M32/$R32</f>
        <v>5.12280661003247</v>
      </c>
      <c r="U32" s="25" cm="1">
        <f t="array" ref="U32">N32/$R32</f>
        <v>3.99374032848526</v>
      </c>
      <c r="V32" s="25" cm="1">
        <f t="array" ref="V32">O32/$R32</f>
        <v>-2.82961568706528</v>
      </c>
      <c r="W32" s="2"/>
      <c r="X32" s="2"/>
      <c r="Y32" s="2"/>
      <c r="Z32" s="2"/>
      <c r="AA32" s="2"/>
      <c r="AB32" s="2"/>
      <c r="AC32" s="26"/>
      <c r="AD32" s="26"/>
      <c r="AE32" s="26"/>
      <c r="AF32" s="26"/>
    </row>
    <row r="33" ht="17" customHeight="1">
      <c r="A33" s="2"/>
      <c r="B33" t="s" s="19">
        <v>74</v>
      </c>
      <c r="C33" t="s" s="20">
        <v>75</v>
      </c>
      <c r="D33" s="25">
        <v>19.6209120479029</v>
      </c>
      <c r="E33" s="25">
        <v>65.960495666784</v>
      </c>
      <c r="F33" s="25">
        <v>30.6642247066849</v>
      </c>
      <c r="G33" s="25">
        <v>-7.04521085378034</v>
      </c>
      <c r="H33" s="2"/>
      <c r="I33" s="25">
        <v>4.7</v>
      </c>
      <c r="J33" s="25" cm="1">
        <f t="array" ref="J33">I33/1000</f>
        <v>0.0047</v>
      </c>
      <c r="K33" s="2"/>
      <c r="L33" s="25" cm="1">
        <f t="array" ref="L33">D33*$J33</f>
        <v>0.0922182866251436</v>
      </c>
      <c r="M33" s="25" cm="1">
        <f t="array" ref="M33">E33*$J33</f>
        <v>0.310014329633885</v>
      </c>
      <c r="N33" s="25" cm="1">
        <f t="array" ref="N33">F33*$J33</f>
        <v>0.144121856121419</v>
      </c>
      <c r="O33" s="25" cm="1">
        <f t="array" ref="O33">G33*$J33</f>
        <v>-0.0331124910127676</v>
      </c>
      <c r="P33" s="2"/>
      <c r="Q33" s="25">
        <v>0.0185999999999993</v>
      </c>
      <c r="R33" s="25">
        <v>0.010209657</v>
      </c>
      <c r="S33" s="25" cm="1">
        <f t="array" ref="S33">L33/$R33</f>
        <v>9.03245688127854</v>
      </c>
      <c r="T33" s="25" cm="1">
        <f t="array" ref="T33">M33/$R33</f>
        <v>30.364813395189</v>
      </c>
      <c r="U33" s="25" cm="1">
        <f t="array" ref="U33">N33/$R33</f>
        <v>14.1162289900061</v>
      </c>
      <c r="V33" s="25" cm="1">
        <f t="array" ref="V33">O33/$R33</f>
        <v>-3.24325205173569</v>
      </c>
      <c r="W33" s="2"/>
      <c r="X33" s="25" cm="1">
        <f t="array" ref="X33">S33-X$3-X$40</f>
        <v>-3.12659944462676</v>
      </c>
      <c r="Y33" s="25" cm="1">
        <f t="array" ref="Y33">T33-Y$3-Y$40</f>
        <v>23.9462397514899</v>
      </c>
      <c r="Z33" s="25" cm="1">
        <f t="array" ref="Z33">U33-Z$3-Z$40</f>
        <v>10.0830958232211</v>
      </c>
      <c r="AA33" s="25" cm="1">
        <f t="array" ref="AA33">V33-AA$3-AA$40</f>
        <v>0.02814440764631</v>
      </c>
      <c r="AB33" s="2"/>
      <c r="AC33" s="32" cm="1">
        <f t="array" ref="AC33">X33</f>
        <v>-3.12659944462676</v>
      </c>
      <c r="AD33" s="32" cm="1">
        <f t="array" ref="AD33">Y33</f>
        <v>23.9462397514899</v>
      </c>
      <c r="AE33" s="32" cm="1">
        <f t="array" ref="AE33">Z33</f>
        <v>10.0830958232211</v>
      </c>
      <c r="AF33" s="32" cm="1">
        <f t="array" ref="AF33">AA33</f>
        <v>0.02814440764631</v>
      </c>
    </row>
    <row r="34" ht="17" customHeight="1">
      <c r="A34" s="2"/>
      <c r="B34" t="s" s="24">
        <v>76</v>
      </c>
      <c r="C34" t="s" s="20">
        <v>77</v>
      </c>
      <c r="D34" s="25">
        <v>24.1742966086213</v>
      </c>
      <c r="E34" s="25">
        <v>142.237308978340</v>
      </c>
      <c r="F34" s="25">
        <v>23.3585557310147</v>
      </c>
      <c r="G34" s="25">
        <v>-7.789725684475</v>
      </c>
      <c r="H34" s="2"/>
      <c r="I34" s="25">
        <v>4.7</v>
      </c>
      <c r="J34" s="25" cm="1">
        <f t="array" ref="J34">I34/1000</f>
        <v>0.0047</v>
      </c>
      <c r="K34" s="2"/>
      <c r="L34" s="25" cm="1">
        <f t="array" ref="L34">D34*$J34</f>
        <v>0.11361919406052</v>
      </c>
      <c r="M34" s="25" cm="1">
        <f t="array" ref="M34">E34*$J34</f>
        <v>0.668515352198198</v>
      </c>
      <c r="N34" s="25" cm="1">
        <f t="array" ref="N34">F34*$J34</f>
        <v>0.109785211935769</v>
      </c>
      <c r="O34" s="25" cm="1">
        <f t="array" ref="O34">G34*$J34</f>
        <v>-0.0366117107170325</v>
      </c>
      <c r="P34" s="2"/>
      <c r="Q34" s="25">
        <v>0.0187000000000008</v>
      </c>
      <c r="R34" s="25">
        <v>0.010209657</v>
      </c>
      <c r="S34" s="25" cm="1">
        <f t="array" ref="S34">L34/$R34</f>
        <v>11.1286005064147</v>
      </c>
      <c r="T34" s="25" cm="1">
        <f t="array" ref="T34">M34/$R34</f>
        <v>65.4787278552255</v>
      </c>
      <c r="U34" s="25" cm="1">
        <f t="array" ref="U34">N34/$R34</f>
        <v>10.7530754398281</v>
      </c>
      <c r="V34" s="25" cm="1">
        <f t="array" ref="V34">O34/$R34</f>
        <v>-3.58598831645691</v>
      </c>
      <c r="W34" s="2"/>
      <c r="X34" s="25" cm="1">
        <f t="array" ref="X34">S34-X$3-X$40</f>
        <v>-1.0304558194906</v>
      </c>
      <c r="Y34" s="25" cm="1">
        <f t="array" ref="Y34">T34-Y$3-Y$40</f>
        <v>59.0601542115264</v>
      </c>
      <c r="Z34" s="25" cm="1">
        <f t="array" ref="Z34">U34-Z$3-Z$40</f>
        <v>6.71994227304309</v>
      </c>
      <c r="AA34" s="25" cm="1">
        <f t="array" ref="AA34">V34-AA$3-AA$40</f>
        <v>-0.31459185707491</v>
      </c>
      <c r="AB34" s="2"/>
      <c r="AC34" s="32" cm="1">
        <f t="array" ref="AC34">X34</f>
        <v>-1.0304558194906</v>
      </c>
      <c r="AD34" s="32" cm="1">
        <f t="array" ref="AD34">Y34</f>
        <v>59.0601542115264</v>
      </c>
      <c r="AE34" s="32" cm="1">
        <f t="array" ref="AE34">Z34</f>
        <v>6.71994227304309</v>
      </c>
      <c r="AF34" s="32" cm="1">
        <f t="array" ref="AF34">AA34</f>
        <v>-0.31459185707491</v>
      </c>
    </row>
    <row r="35" ht="17" customHeight="1">
      <c r="A35" s="2"/>
      <c r="B35" t="s" s="24">
        <v>78</v>
      </c>
      <c r="C35" t="s" s="20">
        <v>79</v>
      </c>
      <c r="D35" s="25">
        <v>11.9967419508887</v>
      </c>
      <c r="E35" s="25">
        <v>11.1943476292013</v>
      </c>
      <c r="F35" s="25">
        <v>12.3659520406527</v>
      </c>
      <c r="G35" s="25">
        <v>-6.59878315628002</v>
      </c>
      <c r="H35" s="2"/>
      <c r="I35" s="25">
        <v>4.7</v>
      </c>
      <c r="J35" s="25" cm="1">
        <f t="array" ref="J35">I35/1000</f>
        <v>0.0047</v>
      </c>
      <c r="K35" s="2"/>
      <c r="L35" s="25" cm="1">
        <f t="array" ref="L35">D35*$J35</f>
        <v>0.0563846871691769</v>
      </c>
      <c r="M35" s="25" cm="1">
        <f t="array" ref="M35">E35*$J35</f>
        <v>0.0526134338572461</v>
      </c>
      <c r="N35" s="25" cm="1">
        <f t="array" ref="N35">F35*$J35</f>
        <v>0.0581199745910677</v>
      </c>
      <c r="O35" s="25" cm="1">
        <f t="array" ref="O35">G35*$J35</f>
        <v>-0.0310142808345161</v>
      </c>
      <c r="P35" s="2"/>
      <c r="Q35" s="25">
        <v>0.0183999999999997</v>
      </c>
      <c r="R35" s="25">
        <v>0.010209657</v>
      </c>
      <c r="S35" s="25" cm="1">
        <f t="array" ref="S35">L35/$R35</f>
        <v>5.52268182654686</v>
      </c>
      <c r="T35" s="25" cm="1">
        <f t="array" ref="T35">M35/$R35</f>
        <v>5.15330082658468</v>
      </c>
      <c r="U35" s="25" cm="1">
        <f t="array" ref="U35">N35/$R35</f>
        <v>5.69264712723138</v>
      </c>
      <c r="V35" s="25" cm="1">
        <f t="array" ref="V35">O35/$R35</f>
        <v>-3.03773974331519</v>
      </c>
      <c r="W35" s="2"/>
      <c r="X35" s="25" cm="1">
        <f t="array" ref="X35">S35-X$3-X$40</f>
        <v>-6.63637449935844</v>
      </c>
      <c r="Y35" s="25" cm="1">
        <f t="array" ref="Y35">T35-Y$3-Y$40</f>
        <v>-1.26527281711441</v>
      </c>
      <c r="Z35" s="25" cm="1">
        <f t="array" ref="Z35">U35-Z$3-Z$40</f>
        <v>1.65951396044637</v>
      </c>
      <c r="AA35" s="25" cm="1">
        <f t="array" ref="AA35">V35-AA$3-AA$40</f>
        <v>0.23365671606681</v>
      </c>
      <c r="AB35" s="2"/>
      <c r="AC35" s="32" cm="1">
        <f t="array" ref="AC35">X35</f>
        <v>-6.63637449935844</v>
      </c>
      <c r="AD35" s="32" cm="1">
        <f t="array" ref="AD35">Y35</f>
        <v>-1.26527281711441</v>
      </c>
      <c r="AE35" s="32" cm="1">
        <f t="array" ref="AE35">Z35</f>
        <v>1.65951396044637</v>
      </c>
      <c r="AF35" s="32" cm="1">
        <f t="array" ref="AF35">AA35</f>
        <v>0.23365671606681</v>
      </c>
    </row>
    <row r="36" ht="17" customHeight="1">
      <c r="A36" s="2"/>
      <c r="B36" t="s" s="24">
        <v>80</v>
      </c>
      <c r="C36" t="s" s="20">
        <v>81</v>
      </c>
      <c r="D36" s="25">
        <v>12.3149693887224</v>
      </c>
      <c r="E36" s="25">
        <v>13.5870249297569</v>
      </c>
      <c r="F36" s="25">
        <v>9.682753009407779</v>
      </c>
      <c r="G36" s="25">
        <v>-6.24979767220694</v>
      </c>
      <c r="H36" s="2"/>
      <c r="I36" s="25">
        <v>4.7</v>
      </c>
      <c r="J36" s="25" cm="1">
        <f t="array" ref="J36">I36/1000</f>
        <v>0.0047</v>
      </c>
      <c r="K36" s="2"/>
      <c r="L36" s="25" cm="1">
        <f t="array" ref="L36">D36*$J36</f>
        <v>0.0578803561269953</v>
      </c>
      <c r="M36" s="25" cm="1">
        <f t="array" ref="M36">E36*$J36</f>
        <v>0.0638590171698574</v>
      </c>
      <c r="N36" s="25" cm="1">
        <f t="array" ref="N36">F36*$J36</f>
        <v>0.0455089391442166</v>
      </c>
      <c r="O36" s="25" cm="1">
        <f t="array" ref="O36">G36*$J36</f>
        <v>-0.0293740490593726</v>
      </c>
      <c r="P36" s="2"/>
      <c r="Q36" s="25">
        <v>0.0188000000000006</v>
      </c>
      <c r="R36" s="25">
        <v>0.010209657</v>
      </c>
      <c r="S36" s="25" cm="1">
        <f t="array" ref="S36">L36/$R36</f>
        <v>5.66917734131473</v>
      </c>
      <c r="T36" s="25" cm="1">
        <f t="array" ref="T36">M36/$R36</f>
        <v>6.25476616597966</v>
      </c>
      <c r="U36" s="25" cm="1">
        <f t="array" ref="U36">N36/$R36</f>
        <v>4.45744055301922</v>
      </c>
      <c r="V36" s="25" cm="1">
        <f t="array" ref="V36">O36/$R36</f>
        <v>-2.87708480895809</v>
      </c>
      <c r="W36" s="2"/>
      <c r="X36" s="25" cm="1">
        <f t="array" ref="X36">S36-X$3-X$40</f>
        <v>-6.48987898459057</v>
      </c>
      <c r="Y36" s="25" cm="1">
        <f t="array" ref="Y36">T36-Y$3-Y$40</f>
        <v>-0.16380747771943</v>
      </c>
      <c r="Z36" s="25" cm="1">
        <f t="array" ref="Z36">U36-Z$3-Z$40</f>
        <v>0.42430738623421</v>
      </c>
      <c r="AA36" s="25" cm="1">
        <f t="array" ref="AA36">V36-AA$3-AA$40</f>
        <v>0.39431165042391</v>
      </c>
      <c r="AB36" s="2"/>
      <c r="AC36" s="32" cm="1">
        <f t="array" ref="AC36">X36</f>
        <v>-6.48987898459057</v>
      </c>
      <c r="AD36" s="32" cm="1">
        <f t="array" ref="AD36">Y36</f>
        <v>-0.16380747771943</v>
      </c>
      <c r="AE36" s="32" cm="1">
        <f t="array" ref="AE36">Z36</f>
        <v>0.42430738623421</v>
      </c>
      <c r="AF36" s="32" cm="1">
        <f t="array" ref="AF36">AA36</f>
        <v>0.39431165042391</v>
      </c>
    </row>
    <row r="37" ht="17" customHeight="1">
      <c r="A37" s="2"/>
      <c r="B37" t="s" s="24">
        <v>82</v>
      </c>
      <c r="C37" t="s" s="20">
        <v>83</v>
      </c>
      <c r="D37" s="25">
        <v>16.5292947075847</v>
      </c>
      <c r="E37" s="25">
        <v>95.3273784638066</v>
      </c>
      <c r="F37" s="25">
        <v>67.0809865296268</v>
      </c>
      <c r="G37" s="25">
        <v>-5.88974640959199</v>
      </c>
      <c r="H37" s="2"/>
      <c r="I37" s="25">
        <v>4.7</v>
      </c>
      <c r="J37" s="25" cm="1">
        <f t="array" ref="J37">I37/1000</f>
        <v>0.0047</v>
      </c>
      <c r="K37" s="2"/>
      <c r="L37" s="25" cm="1">
        <f t="array" ref="L37">D37*$J37</f>
        <v>0.0776876851256481</v>
      </c>
      <c r="M37" s="25" cm="1">
        <f t="array" ref="M37">E37*$J37</f>
        <v>0.448038678779891</v>
      </c>
      <c r="N37" s="25" cm="1">
        <f t="array" ref="N37">F37*$J37</f>
        <v>0.315280636689246</v>
      </c>
      <c r="O37" s="25" cm="1">
        <f t="array" ref="O37">G37*$J37</f>
        <v>-0.0276818081250824</v>
      </c>
      <c r="P37" s="2"/>
      <c r="Q37" s="25">
        <v>0.0191000000000017</v>
      </c>
      <c r="R37" s="25">
        <v>0.010209657</v>
      </c>
      <c r="S37" s="25" cm="1">
        <f t="array" ref="S37">L37/$R37</f>
        <v>7.60923556253144</v>
      </c>
      <c r="T37" s="25" cm="1">
        <f t="array" ref="T37">M37/$R37</f>
        <v>43.8838130193689</v>
      </c>
      <c r="U37" s="25" cm="1">
        <f t="array" ref="U37">N37/$R37</f>
        <v>30.8806296518332</v>
      </c>
      <c r="V37" s="25" cm="1">
        <f t="array" ref="V37">O37/$R37</f>
        <v>-2.71133576035732</v>
      </c>
      <c r="W37" s="2"/>
      <c r="X37" s="25" cm="1">
        <f t="array" ref="X37">S37-X$3-X$40</f>
        <v>-4.54982076337386</v>
      </c>
      <c r="Y37" s="25" cm="1">
        <f t="array" ref="Y37">T37-Y$3-Y$40</f>
        <v>37.4652393756698</v>
      </c>
      <c r="Z37" s="25" cm="1">
        <f t="array" ref="Z37">U37-Z$3-Z$40</f>
        <v>26.8474964850482</v>
      </c>
      <c r="AA37" s="25" cm="1">
        <f t="array" ref="AA37">V37-AA$3-AA$40</f>
        <v>0.56006069902468</v>
      </c>
      <c r="AB37" s="2"/>
      <c r="AC37" s="32" cm="1">
        <f t="array" ref="AC37">X37</f>
        <v>-4.54982076337386</v>
      </c>
      <c r="AD37" s="32" cm="1">
        <f t="array" ref="AD37">Y37</f>
        <v>37.4652393756698</v>
      </c>
      <c r="AE37" s="32" cm="1">
        <f t="array" ref="AE37">Z37</f>
        <v>26.8474964850482</v>
      </c>
      <c r="AF37" s="32" cm="1">
        <f t="array" ref="AF37">AA37</f>
        <v>0.56006069902468</v>
      </c>
    </row>
    <row r="38" ht="17" customHeight="1">
      <c r="A38" s="2"/>
      <c r="B38" t="s" s="24">
        <v>84</v>
      </c>
      <c r="C38" t="s" s="20">
        <v>85</v>
      </c>
      <c r="D38" s="25">
        <v>9.9832463986981</v>
      </c>
      <c r="E38" s="25">
        <v>11.4371799581931</v>
      </c>
      <c r="F38" s="25">
        <v>6.47748246674319</v>
      </c>
      <c r="G38" s="25">
        <v>-4.95313204476188</v>
      </c>
      <c r="H38" s="2"/>
      <c r="I38" s="25">
        <v>4.7</v>
      </c>
      <c r="J38" s="25" cm="1">
        <f t="array" ref="J38">I38/1000</f>
        <v>0.0047</v>
      </c>
      <c r="K38" s="2"/>
      <c r="L38" s="25" cm="1">
        <f t="array" ref="L38">D38*$J38</f>
        <v>0.0469212580738811</v>
      </c>
      <c r="M38" s="25" cm="1">
        <f t="array" ref="M38">E38*$J38</f>
        <v>0.0537547458035076</v>
      </c>
      <c r="N38" s="25" cm="1">
        <f t="array" ref="N38">F38*$J38</f>
        <v>0.030444167593693</v>
      </c>
      <c r="O38" s="25" cm="1">
        <f t="array" ref="O38">G38*$J38</f>
        <v>-0.0232797206103808</v>
      </c>
      <c r="P38" s="2"/>
      <c r="Q38" s="25">
        <v>0.0192999999999994</v>
      </c>
      <c r="R38" s="25">
        <v>0.010209657</v>
      </c>
      <c r="S38" s="25" cm="1">
        <f t="array" ref="S38">L38/$R38</f>
        <v>4.59577222563707</v>
      </c>
      <c r="T38" s="25" cm="1">
        <f t="array" ref="T38">M38/$R38</f>
        <v>5.26508831819792</v>
      </c>
      <c r="U38" s="25" cm="1">
        <f t="array" ref="U38">N38/$R38</f>
        <v>2.98189915622954</v>
      </c>
      <c r="V38" s="25" cm="1">
        <f t="array" ref="V38">O38/$R38</f>
        <v>-2.28016676861728</v>
      </c>
      <c r="W38" s="2"/>
      <c r="X38" s="25" cm="1">
        <f t="array" ref="X38">S38-X$3-X$40</f>
        <v>-7.56328410026823</v>
      </c>
      <c r="Y38" s="25" cm="1">
        <f t="array" ref="Y38">T38-Y$3-Y$40</f>
        <v>-1.15348532550117</v>
      </c>
      <c r="Z38" s="25" cm="1">
        <f t="array" ref="Z38">U38-Z$3-Z$40</f>
        <v>-1.05123401055547</v>
      </c>
      <c r="AA38" s="25" cm="1">
        <f t="array" ref="AA38">V38-AA$3-AA$40</f>
        <v>0.99122969076472</v>
      </c>
      <c r="AB38" s="2"/>
      <c r="AC38" s="32" cm="1">
        <f t="array" ref="AC38">X38</f>
        <v>-7.56328410026823</v>
      </c>
      <c r="AD38" s="32" cm="1">
        <f t="array" ref="AD38">Y38</f>
        <v>-1.15348532550117</v>
      </c>
      <c r="AE38" s="32" cm="1">
        <f t="array" ref="AE38">Z38</f>
        <v>-1.05123401055547</v>
      </c>
      <c r="AF38" s="32" cm="1">
        <f t="array" ref="AF38">AA38</f>
        <v>0.99122969076472</v>
      </c>
    </row>
    <row r="39" ht="17" customHeight="1">
      <c r="A39" s="2"/>
      <c r="B39" t="s" s="24">
        <v>86</v>
      </c>
      <c r="C39" t="s" s="20">
        <v>87</v>
      </c>
      <c r="D39" s="25">
        <v>52.5199382655948</v>
      </c>
      <c r="E39" s="25">
        <v>16.1994364531174</v>
      </c>
      <c r="F39" s="25">
        <v>9.702369457625419</v>
      </c>
      <c r="G39" s="25">
        <v>-7.49396299889429</v>
      </c>
      <c r="H39" s="2"/>
      <c r="I39" s="25">
        <v>4.7</v>
      </c>
      <c r="J39" s="25" cm="1">
        <f t="array" ref="J39">I39/1000</f>
        <v>0.0047</v>
      </c>
      <c r="K39" s="2"/>
      <c r="L39" s="25" cm="1">
        <f t="array" ref="L39">D39*$J39</f>
        <v>0.246843709848296</v>
      </c>
      <c r="M39" s="25" cm="1">
        <f t="array" ref="M39">E39*$J39</f>
        <v>0.0761373513296518</v>
      </c>
      <c r="N39" s="25" cm="1">
        <f t="array" ref="N39">F39*$J39</f>
        <v>0.0456011364508395</v>
      </c>
      <c r="O39" s="25" cm="1">
        <f t="array" ref="O39">G39*$J39</f>
        <v>-0.0352216260948032</v>
      </c>
      <c r="P39" s="2"/>
      <c r="Q39" s="25">
        <v>0.0206999999999997</v>
      </c>
      <c r="R39" s="25">
        <v>0.010209657</v>
      </c>
      <c r="S39" s="25" cm="1">
        <f t="array" ref="S39">L39/$R39</f>
        <v>24.1774733321889</v>
      </c>
      <c r="T39" s="25" cm="1">
        <f t="array" ref="T39">M39/$R39</f>
        <v>7.45738581909772</v>
      </c>
      <c r="U39" s="25" cm="1">
        <f t="array" ref="U39">N39/$R39</f>
        <v>4.46647095498306</v>
      </c>
      <c r="V39" s="25" cm="1">
        <f t="array" ref="V39">O39/$R39</f>
        <v>-3.44983441606346</v>
      </c>
      <c r="W39" s="2"/>
      <c r="X39" s="2"/>
      <c r="Y39" s="2"/>
      <c r="Z39" s="2"/>
      <c r="AA39" s="2"/>
      <c r="AB39" s="2"/>
      <c r="AC39" s="26"/>
      <c r="AD39" s="26"/>
      <c r="AE39" s="26"/>
      <c r="AF39" s="26"/>
    </row>
    <row r="40" ht="17" customHeight="1">
      <c r="A40" s="2"/>
      <c r="B40" t="s" s="24">
        <v>88</v>
      </c>
      <c r="C40" t="s" s="20">
        <v>89</v>
      </c>
      <c r="D40" s="25">
        <v>16.3987171376099</v>
      </c>
      <c r="E40" s="25">
        <v>12.9688477233233</v>
      </c>
      <c r="F40" s="25">
        <v>6.10800066556259</v>
      </c>
      <c r="G40" s="25">
        <v>-6.67276548200879</v>
      </c>
      <c r="H40" s="2"/>
      <c r="I40" s="25">
        <v>4.7</v>
      </c>
      <c r="J40" s="25" cm="1">
        <f t="array" ref="J40">I40/1000</f>
        <v>0.0047</v>
      </c>
      <c r="K40" s="2"/>
      <c r="L40" s="25" cm="1">
        <f t="array" ref="L40">D40*$J40</f>
        <v>0.0770739705467665</v>
      </c>
      <c r="M40" s="25" cm="1">
        <f t="array" ref="M40">E40*$J40</f>
        <v>0.0609535842996195</v>
      </c>
      <c r="N40" s="25" cm="1">
        <f t="array" ref="N40">F40*$J40</f>
        <v>0.0287076031281442</v>
      </c>
      <c r="O40" s="25" cm="1">
        <f t="array" ref="O40">G40*$J40</f>
        <v>-0.0313619977654413</v>
      </c>
      <c r="P40" s="2"/>
      <c r="Q40" s="25">
        <v>0.0373000000000001</v>
      </c>
      <c r="R40" s="25">
        <v>0.010209657</v>
      </c>
      <c r="S40" s="25" cm="1">
        <f t="array" ref="S40">L40/$R40</f>
        <v>7.54912437771088</v>
      </c>
      <c r="T40" s="25" cm="1">
        <f t="array" ref="T40">M40/$R40</f>
        <v>5.97018923354815</v>
      </c>
      <c r="U40" s="25" cm="1">
        <f t="array" ref="U40">N40/$R40</f>
        <v>2.81180877360955</v>
      </c>
      <c r="V40" s="25" cm="1">
        <f t="array" ref="V40">O40/$R40</f>
        <v>-3.07179739392237</v>
      </c>
      <c r="W40" s="2"/>
      <c r="X40" s="25" cm="1">
        <f t="array" ref="X40">AVERAGE(S39:S41)</f>
        <v>12.1590563259053</v>
      </c>
      <c r="Y40" s="25" cm="1">
        <f t="array" ref="Y40">AVERAGE(T39:T41)</f>
        <v>6.41857364369909</v>
      </c>
      <c r="Z40" s="25" cm="1">
        <f t="array" ref="Z40">AVERAGE(U39:U41)</f>
        <v>4.03313316678501</v>
      </c>
      <c r="AA40" s="25" cm="1">
        <f t="array" ref="AA40">AVERAGE(V39:V41)</f>
        <v>-3.271396459382</v>
      </c>
      <c r="AB40" s="2"/>
      <c r="AC40" s="26"/>
      <c r="AD40" s="26"/>
      <c r="AE40" s="26"/>
      <c r="AF40" s="26"/>
    </row>
    <row r="41" ht="17" customHeight="1">
      <c r="A41" s="2"/>
      <c r="B41" t="s" s="36">
        <v>90</v>
      </c>
      <c r="C41" t="s" s="20">
        <v>91</v>
      </c>
      <c r="D41" s="25">
        <v>10.3195113188211</v>
      </c>
      <c r="E41" s="25">
        <v>12.6602915670112</v>
      </c>
      <c r="F41" s="25">
        <v>10.4727615373644</v>
      </c>
      <c r="G41" s="25">
        <v>-7.15231562205732</v>
      </c>
      <c r="H41" s="2"/>
      <c r="I41" s="25">
        <v>4.7</v>
      </c>
      <c r="J41" s="25" cm="1">
        <f t="array" ref="J41">I41/1000</f>
        <v>0.0047</v>
      </c>
      <c r="K41" s="2"/>
      <c r="L41" s="25" cm="1">
        <f t="array" ref="L41">D41*$J41</f>
        <v>0.0485017031984592</v>
      </c>
      <c r="M41" s="25" cm="1">
        <f t="array" ref="M41">E41*$J41</f>
        <v>0.0595033703649526</v>
      </c>
      <c r="N41" s="25" cm="1">
        <f t="array" ref="N41">F41*$J41</f>
        <v>0.0492219792256127</v>
      </c>
      <c r="O41" s="25" cm="1">
        <f t="array" ref="O41">G41*$J41</f>
        <v>-0.0336158834236694</v>
      </c>
      <c r="P41" s="2"/>
      <c r="Q41" s="25">
        <v>0.0175000000000001</v>
      </c>
      <c r="R41" s="25">
        <v>0.010209657</v>
      </c>
      <c r="S41" s="25" cm="1">
        <f t="array" ref="S41">L41/$R41</f>
        <v>4.75057126781626</v>
      </c>
      <c r="T41" s="25" cm="1">
        <f t="array" ref="T41">M41/$R41</f>
        <v>5.82814587845141</v>
      </c>
      <c r="U41" s="25" cm="1">
        <f t="array" ref="U41">N41/$R41</f>
        <v>4.82111977176243</v>
      </c>
      <c r="V41" s="25" cm="1">
        <f t="array" ref="V41">O41/$R41</f>
        <v>-3.29255756816016</v>
      </c>
      <c r="W41" s="2"/>
      <c r="X41" s="2"/>
      <c r="Y41" s="2"/>
      <c r="Z41" s="2"/>
      <c r="AA41" s="2"/>
      <c r="AB41" s="2"/>
      <c r="AC41" s="26"/>
      <c r="AD41" s="26"/>
      <c r="AE41" s="26"/>
      <c r="AF41" s="26"/>
    </row>
    <row r="42" ht="17" customHeight="1">
      <c r="A42" s="2"/>
      <c r="B42" t="s" s="19">
        <v>92</v>
      </c>
      <c r="C42" t="s" s="20">
        <v>93</v>
      </c>
      <c r="D42" s="25">
        <v>9.66119717326257</v>
      </c>
      <c r="E42" s="25">
        <v>11.9122780411153</v>
      </c>
      <c r="F42" s="25">
        <v>13.7497862637152</v>
      </c>
      <c r="G42" s="25">
        <v>-6.40007543544479</v>
      </c>
      <c r="H42" s="2"/>
      <c r="I42" s="25">
        <v>4.7</v>
      </c>
      <c r="J42" s="25" cm="1">
        <f t="array" ref="J42">I42/1000</f>
        <v>0.0047</v>
      </c>
      <c r="K42" s="2"/>
      <c r="L42" s="25" cm="1">
        <f t="array" ref="L42">D42*$J42</f>
        <v>0.0454076267143341</v>
      </c>
      <c r="M42" s="25" cm="1">
        <f t="array" ref="M42">E42*$J42</f>
        <v>0.0559877067932419</v>
      </c>
      <c r="N42" s="25" cm="1">
        <f t="array" ref="N42">F42*$J42</f>
        <v>0.0646239954394614</v>
      </c>
      <c r="O42" s="25" cm="1">
        <f t="array" ref="O42">G42*$J42</f>
        <v>-0.0300803545465905</v>
      </c>
      <c r="P42" s="2"/>
      <c r="Q42" s="25">
        <v>0.0190000000000001</v>
      </c>
      <c r="R42" s="25">
        <v>0.010209657</v>
      </c>
      <c r="S42" s="25" cm="1">
        <f t="array" ref="S42">L42/$R42</f>
        <v>4.44751735678624</v>
      </c>
      <c r="T42" s="25" cm="1">
        <f t="array" ref="T42">M42/$R42</f>
        <v>5.48379899474017</v>
      </c>
      <c r="U42" s="25" cm="1">
        <f t="array" ref="U42">N42/$R42</f>
        <v>6.32969309737452</v>
      </c>
      <c r="V42" s="25" cm="1">
        <f t="array" ref="V42">O42/$R42</f>
        <v>-2.94626494764618</v>
      </c>
      <c r="W42" s="2"/>
      <c r="X42" s="25" cm="1">
        <f t="array" ref="X42">S42-X$3-X$49</f>
        <v>-47.1360122176145</v>
      </c>
      <c r="Y42" s="25" cm="1">
        <f t="array" ref="Y42">T42-Y$3-Y$49</f>
        <v>-17.3475309188954</v>
      </c>
      <c r="Z42" s="25" cm="1">
        <f t="array" ref="Z42">U42-Z$3-Z$49</f>
        <v>-0.16266948338356</v>
      </c>
      <c r="AA42" s="25" cm="1">
        <f t="array" ref="AA42">V42-AA$3-AA$49</f>
        <v>-0.05862717880858</v>
      </c>
      <c r="AB42" s="2"/>
      <c r="AC42" s="32" cm="1">
        <f t="array" ref="AC42">X42</f>
        <v>-47.1360122176145</v>
      </c>
      <c r="AD42" s="32" cm="1">
        <f t="array" ref="AD42">Y42</f>
        <v>-17.3475309188954</v>
      </c>
      <c r="AE42" s="32" cm="1">
        <f t="array" ref="AE42">Z42</f>
        <v>-0.16266948338356</v>
      </c>
      <c r="AF42" s="32" cm="1">
        <f t="array" ref="AF42">AA42</f>
        <v>-0.05862717880858</v>
      </c>
    </row>
    <row r="43" ht="17" customHeight="1">
      <c r="A43" s="2"/>
      <c r="B43" t="s" s="24">
        <v>94</v>
      </c>
      <c r="C43" t="s" s="20">
        <v>95</v>
      </c>
      <c r="D43" s="25">
        <v>14.7384613454624</v>
      </c>
      <c r="E43" s="25">
        <v>21.6342130376317</v>
      </c>
      <c r="F43" s="25">
        <v>19.3230808569503</v>
      </c>
      <c r="G43" s="25">
        <v>-7.85342849664557</v>
      </c>
      <c r="H43" s="2"/>
      <c r="I43" s="25">
        <v>4.7</v>
      </c>
      <c r="J43" s="25" cm="1">
        <f t="array" ref="J43">I43/1000</f>
        <v>0.0047</v>
      </c>
      <c r="K43" s="2"/>
      <c r="L43" s="25" cm="1">
        <f t="array" ref="L43">D43*$J43</f>
        <v>0.06927076832367331</v>
      </c>
      <c r="M43" s="25" cm="1">
        <f t="array" ref="M43">E43*$J43</f>
        <v>0.101680801276869</v>
      </c>
      <c r="N43" s="25" cm="1">
        <f t="array" ref="N43">F43*$J43</f>
        <v>0.0908184800276664</v>
      </c>
      <c r="O43" s="25" cm="1">
        <f t="array" ref="O43">G43*$J43</f>
        <v>-0.0369111139342342</v>
      </c>
      <c r="P43" s="2"/>
      <c r="Q43" s="25">
        <v>0.0193999999999992</v>
      </c>
      <c r="R43" s="25">
        <v>0.010209657</v>
      </c>
      <c r="S43" s="25" cm="1">
        <f t="array" ref="S43">L43/$R43</f>
        <v>6.78482816060063</v>
      </c>
      <c r="T43" s="25" cm="1">
        <f t="array" ref="T43">M43/$R43</f>
        <v>9.95927691565632</v>
      </c>
      <c r="U43" s="25" cm="1">
        <f t="array" ref="U43">N43/$R43</f>
        <v>8.89535074759773</v>
      </c>
      <c r="V43" s="25" cm="1">
        <f t="array" ref="V43">O43/$R43</f>
        <v>-3.61531380870427</v>
      </c>
      <c r="W43" s="2"/>
      <c r="X43" s="25" cm="1">
        <f t="array" ref="X43">S43-X$3-X$49</f>
        <v>-44.7987014138001</v>
      </c>
      <c r="Y43" s="25" cm="1">
        <f t="array" ref="Y43">T43-Y$3-Y$49</f>
        <v>-12.8720529979793</v>
      </c>
      <c r="Z43" s="25" cm="1">
        <f t="array" ref="Z43">U43-Z$3-Z$49</f>
        <v>2.40298816683965</v>
      </c>
      <c r="AA43" s="25" cm="1">
        <f t="array" ref="AA43">V43-AA$3-AA$49</f>
        <v>-0.72767603986667</v>
      </c>
      <c r="AB43" s="2"/>
      <c r="AC43" s="32" cm="1">
        <f t="array" ref="AC43">X43</f>
        <v>-44.7987014138001</v>
      </c>
      <c r="AD43" s="32" cm="1">
        <f t="array" ref="AD43">Y43</f>
        <v>-12.8720529979793</v>
      </c>
      <c r="AE43" s="32" cm="1">
        <f t="array" ref="AE43">Z43</f>
        <v>2.40298816683965</v>
      </c>
      <c r="AF43" s="32" cm="1">
        <f t="array" ref="AF43">AA43</f>
        <v>-0.72767603986667</v>
      </c>
    </row>
    <row r="44" ht="17" customHeight="1">
      <c r="A44" s="2"/>
      <c r="B44" t="s" s="24">
        <v>96</v>
      </c>
      <c r="C44" t="s" s="20">
        <v>97</v>
      </c>
      <c r="D44" s="25">
        <v>10.6043997819237</v>
      </c>
      <c r="E44" s="25">
        <v>13.7935054532931</v>
      </c>
      <c r="F44" s="25">
        <v>16.9339382369437</v>
      </c>
      <c r="G44" s="25">
        <v>-5.98614962134125</v>
      </c>
      <c r="H44" s="2"/>
      <c r="I44" s="25">
        <v>4.7</v>
      </c>
      <c r="J44" s="25" cm="1">
        <f t="array" ref="J44">I44/1000</f>
        <v>0.0047</v>
      </c>
      <c r="K44" s="2"/>
      <c r="L44" s="25" cm="1">
        <f t="array" ref="L44">D44*$J44</f>
        <v>0.0498406789750414</v>
      </c>
      <c r="M44" s="25" cm="1">
        <f t="array" ref="M44">E44*$J44</f>
        <v>0.0648294756304776</v>
      </c>
      <c r="N44" s="25" cm="1">
        <f t="array" ref="N44">F44*$J44</f>
        <v>0.0795895097136354</v>
      </c>
      <c r="O44" s="25" cm="1">
        <f t="array" ref="O44">G44*$J44</f>
        <v>-0.0281349032203039</v>
      </c>
      <c r="P44" s="2"/>
      <c r="Q44" s="25">
        <v>0.019499999999999</v>
      </c>
      <c r="R44" s="25">
        <v>0.010209657</v>
      </c>
      <c r="S44" s="25" cm="1">
        <f t="array" ref="S44">L44/$R44</f>
        <v>4.8817192365073</v>
      </c>
      <c r="T44" s="25" cm="1">
        <f t="array" ref="T44">M44/$R44</f>
        <v>6.34981915949552</v>
      </c>
      <c r="U44" s="25" cm="1">
        <f t="array" ref="U44">N44/$R44</f>
        <v>7.79551259299263</v>
      </c>
      <c r="V44" s="25" cm="1">
        <f t="array" ref="V44">O44/$R44</f>
        <v>-2.75571483158581</v>
      </c>
      <c r="W44" s="2"/>
      <c r="X44" s="25" cm="1">
        <f t="array" ref="X44">S44-X$3-X$49</f>
        <v>-46.7018103378934</v>
      </c>
      <c r="Y44" s="25" cm="1">
        <f t="array" ref="Y44">T44-Y$3-Y$49</f>
        <v>-16.4815107541401</v>
      </c>
      <c r="Z44" s="25" cm="1">
        <f t="array" ref="Z44">U44-Z$3-Z$49</f>
        <v>1.30315001223455</v>
      </c>
      <c r="AA44" s="25" cm="1">
        <f t="array" ref="AA44">V44-AA$3-AA$49</f>
        <v>0.13192293725179</v>
      </c>
      <c r="AB44" s="2"/>
      <c r="AC44" s="32" cm="1">
        <f t="array" ref="AC44">X44</f>
        <v>-46.7018103378934</v>
      </c>
      <c r="AD44" s="32" cm="1">
        <f t="array" ref="AD44">Y44</f>
        <v>-16.4815107541401</v>
      </c>
      <c r="AE44" s="32" cm="1">
        <f t="array" ref="AE44">Z44</f>
        <v>1.30315001223455</v>
      </c>
      <c r="AF44" s="32" cm="1">
        <f t="array" ref="AF44">AA44</f>
        <v>0.13192293725179</v>
      </c>
    </row>
    <row r="45" ht="17" customHeight="1">
      <c r="A45" s="2"/>
      <c r="B45" t="s" s="24">
        <v>98</v>
      </c>
      <c r="C45" t="s" s="20">
        <v>99</v>
      </c>
      <c r="D45" s="25">
        <v>15.9341497583873</v>
      </c>
      <c r="E45" s="25">
        <v>91.4138112648356</v>
      </c>
      <c r="F45" s="25">
        <v>9.192288309699119</v>
      </c>
      <c r="G45" s="25">
        <v>-5.51282305423841</v>
      </c>
      <c r="H45" s="2"/>
      <c r="I45" s="25">
        <v>4.7</v>
      </c>
      <c r="J45" s="25" cm="1">
        <f t="array" ref="J45">I45/1000</f>
        <v>0.0047</v>
      </c>
      <c r="K45" s="2"/>
      <c r="L45" s="25" cm="1">
        <f t="array" ref="L45">D45*$J45</f>
        <v>0.0748905038644203</v>
      </c>
      <c r="M45" s="25" cm="1">
        <f t="array" ref="M45">E45*$J45</f>
        <v>0.429644912944727</v>
      </c>
      <c r="N45" s="25" cm="1">
        <f t="array" ref="N45">F45*$J45</f>
        <v>0.0432037550555859</v>
      </c>
      <c r="O45" s="25" cm="1">
        <f t="array" ref="O45">G45*$J45</f>
        <v>-0.0259102683549205</v>
      </c>
      <c r="P45" s="2"/>
      <c r="Q45" s="25">
        <v>0.0213000000000001</v>
      </c>
      <c r="R45" s="25">
        <v>0.010209657</v>
      </c>
      <c r="S45" s="25" cm="1">
        <f t="array" ref="S45">L45/$R45</f>
        <v>7.33526149452624</v>
      </c>
      <c r="T45" s="25" cm="1">
        <f t="array" ref="T45">M45/$R45</f>
        <v>42.0822083390977</v>
      </c>
      <c r="U45" s="25" cm="1">
        <f t="array" ref="U45">N45/$R45</f>
        <v>4.23165587791891</v>
      </c>
      <c r="V45" s="25" cm="1">
        <f t="array" ref="V45">O45/$R45</f>
        <v>-2.53781966964419</v>
      </c>
      <c r="W45" s="2"/>
      <c r="X45" s="25" cm="1">
        <f t="array" ref="X45">S45-X$3-X$49</f>
        <v>-44.2482680798745</v>
      </c>
      <c r="Y45" s="25" cm="1">
        <f t="array" ref="Y45">T45-Y$3-Y$49</f>
        <v>19.2508784254621</v>
      </c>
      <c r="Z45" s="25" cm="1">
        <f t="array" ref="Z45">U45-Z$3-Z$49</f>
        <v>-2.26070670283917</v>
      </c>
      <c r="AA45" s="25" cm="1">
        <f t="array" ref="AA45">V45-AA$3-AA$49</f>
        <v>0.34981809919341</v>
      </c>
      <c r="AB45" s="2"/>
      <c r="AC45" s="32" cm="1">
        <f t="array" ref="AC45">X45</f>
        <v>-44.2482680798745</v>
      </c>
      <c r="AD45" s="32" cm="1">
        <f t="array" ref="AD45">Y45</f>
        <v>19.2508784254621</v>
      </c>
      <c r="AE45" s="32" cm="1">
        <f t="array" ref="AE45">Z45</f>
        <v>-2.26070670283917</v>
      </c>
      <c r="AF45" s="32" cm="1">
        <f t="array" ref="AF45">AA45</f>
        <v>0.34981809919341</v>
      </c>
    </row>
    <row r="46" ht="17" customHeight="1">
      <c r="A46" s="2"/>
      <c r="B46" t="s" s="24">
        <v>100</v>
      </c>
      <c r="C46" t="s" s="20">
        <v>101</v>
      </c>
      <c r="D46" s="25">
        <v>16.8254006010122</v>
      </c>
      <c r="E46" s="25">
        <v>64.52389946931829</v>
      </c>
      <c r="F46" s="25">
        <v>9.331105116858391</v>
      </c>
      <c r="G46" s="25">
        <v>-5.21583388620971</v>
      </c>
      <c r="H46" s="2"/>
      <c r="I46" s="25">
        <v>4.7</v>
      </c>
      <c r="J46" s="25" cm="1">
        <f t="array" ref="J46">I46/1000</f>
        <v>0.0047</v>
      </c>
      <c r="K46" s="2"/>
      <c r="L46" s="25" cm="1">
        <f t="array" ref="L46">D46*$J46</f>
        <v>0.07907938282475729</v>
      </c>
      <c r="M46" s="25" cm="1">
        <f t="array" ref="M46">E46*$J46</f>
        <v>0.303262327505796</v>
      </c>
      <c r="N46" s="25" cm="1">
        <f t="array" ref="N46">F46*$J46</f>
        <v>0.0438561940492344</v>
      </c>
      <c r="O46" s="25" cm="1">
        <f t="array" ref="O46">G46*$J46</f>
        <v>-0.0245144192651856</v>
      </c>
      <c r="P46" s="2"/>
      <c r="Q46" s="25">
        <v>0.0185999999999993</v>
      </c>
      <c r="R46" s="25">
        <v>0.010209657</v>
      </c>
      <c r="S46" s="25" cm="1">
        <f t="array" ref="S46">L46/$R46</f>
        <v>7.74554745813276</v>
      </c>
      <c r="T46" s="25" cm="1">
        <f t="array" ref="T46">M46/$R46</f>
        <v>29.7034785307475</v>
      </c>
      <c r="U46" s="25" cm="1">
        <f t="array" ref="U46">N46/$R46</f>
        <v>4.29555998298811</v>
      </c>
      <c r="V46" s="25" cm="1">
        <f t="array" ref="V46">O46/$R46</f>
        <v>-2.40110115992982</v>
      </c>
      <c r="W46" s="2"/>
      <c r="X46" s="25" cm="1">
        <f t="array" ref="X46">S46-X$3-X$49</f>
        <v>-43.8379821162679</v>
      </c>
      <c r="Y46" s="25" cm="1">
        <f t="array" ref="Y46">T46-Y$3-Y$49</f>
        <v>6.8721486171119</v>
      </c>
      <c r="Z46" s="25" cm="1">
        <f t="array" ref="Z46">U46-Z$3-Z$49</f>
        <v>-2.19680259776997</v>
      </c>
      <c r="AA46" s="25" cm="1">
        <f t="array" ref="AA46">V46-AA$3-AA$49</f>
        <v>0.48653660890778</v>
      </c>
      <c r="AB46" s="2"/>
      <c r="AC46" s="32" cm="1">
        <f t="array" ref="AC46">X46</f>
        <v>-43.8379821162679</v>
      </c>
      <c r="AD46" s="32" cm="1">
        <f t="array" ref="AD46">Y46</f>
        <v>6.8721486171119</v>
      </c>
      <c r="AE46" s="32" cm="1">
        <f t="array" ref="AE46">Z46</f>
        <v>-2.19680259776997</v>
      </c>
      <c r="AF46" s="32" cm="1">
        <f t="array" ref="AF46">AA46</f>
        <v>0.48653660890778</v>
      </c>
    </row>
    <row r="47" ht="17" customHeight="1">
      <c r="A47" s="2"/>
      <c r="B47" t="s" s="24">
        <v>102</v>
      </c>
      <c r="C47" t="s" s="20">
        <v>103</v>
      </c>
      <c r="D47" s="25">
        <v>17.058846315922</v>
      </c>
      <c r="E47" s="25">
        <v>68.4631974482095</v>
      </c>
      <c r="F47" s="25">
        <v>12.4916545213807</v>
      </c>
      <c r="G47" s="25">
        <v>-2.69471860627593</v>
      </c>
      <c r="H47" s="2"/>
      <c r="I47" s="25">
        <v>4.7</v>
      </c>
      <c r="J47" s="25" cm="1">
        <f t="array" ref="J47">I47/1000</f>
        <v>0.0047</v>
      </c>
      <c r="K47" s="2"/>
      <c r="L47" s="25" cm="1">
        <f t="array" ref="L47">D47*$J47</f>
        <v>0.0801765776848334</v>
      </c>
      <c r="M47" s="25" cm="1">
        <f t="array" ref="M47">E47*$J47</f>
        <v>0.321777028006585</v>
      </c>
      <c r="N47" s="25" cm="1">
        <f t="array" ref="N47">F47*$J47</f>
        <v>0.0587107762504893</v>
      </c>
      <c r="O47" s="25" cm="1">
        <f t="array" ref="O47">G47*$J47</f>
        <v>-0.0126651774494969</v>
      </c>
      <c r="P47" s="2"/>
      <c r="Q47" s="25">
        <v>0.0198</v>
      </c>
      <c r="R47" s="25">
        <v>0.010209657</v>
      </c>
      <c r="S47" s="25" cm="1">
        <f t="array" ref="S47">L47/$R47</f>
        <v>7.85301383629571</v>
      </c>
      <c r="T47" s="25" cm="1">
        <f t="array" ref="T47">M47/$R47</f>
        <v>31.5169283362394</v>
      </c>
      <c r="U47" s="25" cm="1">
        <f t="array" ref="U47">N47/$R47</f>
        <v>5.75051407216612</v>
      </c>
      <c r="V47" s="25" cm="1">
        <f t="array" ref="V47">O47/$R47</f>
        <v>-1.24050959297623</v>
      </c>
      <c r="W47" s="2"/>
      <c r="X47" s="25" cm="1">
        <f t="array" ref="X47">S47-X$3-X$49</f>
        <v>-43.730515738105</v>
      </c>
      <c r="Y47" s="25" cm="1">
        <f t="array" ref="Y47">T47-Y$3-Y$49</f>
        <v>8.6855984226038</v>
      </c>
      <c r="Z47" s="25" cm="1">
        <f t="array" ref="Z47">U47-Z$3-Z$49</f>
        <v>-0.7418485085919601</v>
      </c>
      <c r="AA47" s="25" cm="1">
        <f t="array" ref="AA47">V47-AA$3-AA$49</f>
        <v>1.64712817586137</v>
      </c>
      <c r="AB47" s="2"/>
      <c r="AC47" s="32" cm="1">
        <f t="array" ref="AC47">X47</f>
        <v>-43.730515738105</v>
      </c>
      <c r="AD47" s="32" cm="1">
        <f t="array" ref="AD47">Y47</f>
        <v>8.6855984226038</v>
      </c>
      <c r="AE47" s="32" cm="1">
        <f t="array" ref="AE47">Z47</f>
        <v>-0.7418485085919601</v>
      </c>
      <c r="AF47" s="32" cm="1">
        <f t="array" ref="AF47">AA47</f>
        <v>1.64712817586137</v>
      </c>
    </row>
    <row r="48" ht="17" customHeight="1">
      <c r="A48" s="2"/>
      <c r="B48" t="s" s="24">
        <v>104</v>
      </c>
      <c r="C48" t="s" s="20">
        <v>105</v>
      </c>
      <c r="D48" s="25">
        <v>38.7465211063752</v>
      </c>
      <c r="E48" s="25">
        <v>50.7132592476372</v>
      </c>
      <c r="F48" s="25">
        <v>15.0988190310348</v>
      </c>
      <c r="G48" s="25">
        <v>-6.3910360101528</v>
      </c>
      <c r="H48" s="2"/>
      <c r="I48" s="25">
        <v>4.7</v>
      </c>
      <c r="J48" s="25" cm="1">
        <f t="array" ref="J48">I48/1000</f>
        <v>0.0047</v>
      </c>
      <c r="K48" s="2"/>
      <c r="L48" s="25" cm="1">
        <f t="array" ref="L48">D48*$J48</f>
        <v>0.182108649199963</v>
      </c>
      <c r="M48" s="25" cm="1">
        <f t="array" ref="M48">E48*$J48</f>
        <v>0.238352318463895</v>
      </c>
      <c r="N48" s="25" cm="1">
        <f t="array" ref="N48">F48*$J48</f>
        <v>0.07096444944586359</v>
      </c>
      <c r="O48" s="25" cm="1">
        <f t="array" ref="O48">G48*$J48</f>
        <v>-0.0300378692477182</v>
      </c>
      <c r="P48" s="2"/>
      <c r="Q48" s="25">
        <v>0.019400000000001</v>
      </c>
      <c r="R48" s="25">
        <v>0.010209657</v>
      </c>
      <c r="S48" s="25" cm="1">
        <f t="array" ref="S48">L48/$R48</f>
        <v>17.8369017881759</v>
      </c>
      <c r="T48" s="25" cm="1">
        <f t="array" ref="T48">M48/$R48</f>
        <v>23.3457714068058</v>
      </c>
      <c r="U48" s="25" cm="1">
        <f t="array" ref="U48">N48/$R48</f>
        <v>6.95071827054166</v>
      </c>
      <c r="V48" s="25" cm="1">
        <f t="array" ref="V48">O48/$R48</f>
        <v>-2.9421036620249</v>
      </c>
      <c r="W48" s="2"/>
      <c r="X48" s="2"/>
      <c r="Y48" s="2"/>
      <c r="Z48" s="2"/>
      <c r="AA48" s="2"/>
      <c r="AB48" s="2"/>
      <c r="AC48" s="26"/>
      <c r="AD48" s="26"/>
      <c r="AE48" s="26"/>
      <c r="AF48" s="26"/>
    </row>
    <row r="49" ht="17" customHeight="1">
      <c r="A49" s="2"/>
      <c r="B49" t="s" s="24">
        <v>106</v>
      </c>
      <c r="C49" t="s" s="20">
        <v>107</v>
      </c>
      <c r="D49" s="25">
        <v>281.846672178822</v>
      </c>
      <c r="E49" s="25">
        <v>52.9328055571988</v>
      </c>
      <c r="F49" s="25">
        <v>16.9811850194935</v>
      </c>
      <c r="G49" s="25">
        <v>-6.16187526227493</v>
      </c>
      <c r="H49" s="2"/>
      <c r="I49" s="25">
        <v>4.7</v>
      </c>
      <c r="J49" s="25" cm="1">
        <f t="array" ref="J49">I49/1000</f>
        <v>0.0047</v>
      </c>
      <c r="K49" s="2"/>
      <c r="L49" s="25" cm="1">
        <f t="array" ref="L49">D49*$J49</f>
        <v>1.32467935924046</v>
      </c>
      <c r="M49" s="25" cm="1">
        <f t="array" ref="M49">E49*$J49</f>
        <v>0.248784186118834</v>
      </c>
      <c r="N49" s="25" cm="1">
        <f t="array" ref="N49">F49*$J49</f>
        <v>0.0798115695916195</v>
      </c>
      <c r="O49" s="25" cm="1">
        <f t="array" ref="O49">G49*$J49</f>
        <v>-0.0289608137326922</v>
      </c>
      <c r="P49" s="2"/>
      <c r="Q49" s="25">
        <v>0.0190000000000001</v>
      </c>
      <c r="R49" s="25">
        <v>0.010209657</v>
      </c>
      <c r="S49" s="25" cm="1">
        <f t="array" ref="S49">L49/$R49</f>
        <v>129.747684887010</v>
      </c>
      <c r="T49" s="25" cm="1">
        <f t="array" ref="T49">M49/$R49</f>
        <v>24.3675361590339</v>
      </c>
      <c r="U49" s="25" cm="1">
        <f t="array" ref="U49">N49/$R49</f>
        <v>7.81726257714823</v>
      </c>
      <c r="V49" s="25" cm="1">
        <f t="array" ref="V49">O49/$R49</f>
        <v>-2.83660986188784</v>
      </c>
      <c r="W49" s="2"/>
      <c r="X49" s="25" cm="1">
        <f t="array" ref="X49">AVERAGE(S48:S50)</f>
        <v>51.5835295744007</v>
      </c>
      <c r="Y49" s="25" cm="1">
        <f t="array" ref="Y49">AVERAGE(T48:T50)</f>
        <v>22.8313299136356</v>
      </c>
      <c r="Z49" s="25" cm="1">
        <f t="array" ref="Z49">AVERAGE(U48:U50)</f>
        <v>6.49236258075808</v>
      </c>
      <c r="AA49" s="25" cm="1">
        <f t="array" ref="AA49">AVERAGE(V48:V50)</f>
        <v>-2.8876377688376</v>
      </c>
      <c r="AB49" s="2"/>
      <c r="AC49" s="26"/>
      <c r="AD49" s="26"/>
      <c r="AE49" s="26"/>
      <c r="AF49" s="26"/>
    </row>
    <row r="50" ht="17" customHeight="1">
      <c r="A50" s="2"/>
      <c r="B50" t="s" s="24">
        <v>108</v>
      </c>
      <c r="C50" t="s" s="38">
        <v>109</v>
      </c>
      <c r="D50" s="25">
        <v>15.5664729726685</v>
      </c>
      <c r="E50" s="25">
        <v>45.1411994113721</v>
      </c>
      <c r="F50" s="25">
        <v>10.2294396106471</v>
      </c>
      <c r="G50" s="25">
        <v>-6.2652532978343</v>
      </c>
      <c r="H50" s="2"/>
      <c r="I50" s="25">
        <v>4.7</v>
      </c>
      <c r="J50" s="25" cm="1">
        <f t="array" ref="J50">I50/1000</f>
        <v>0.0047</v>
      </c>
      <c r="K50" s="2"/>
      <c r="L50" s="25" cm="1">
        <f t="array" ref="L50">D50*$J50</f>
        <v>0.073162422971542</v>
      </c>
      <c r="M50" s="25" cm="1">
        <f t="array" ref="M50">E50*$J50</f>
        <v>0.212163637233449</v>
      </c>
      <c r="N50" s="25" cm="1">
        <f t="array" ref="N50">F50*$J50</f>
        <v>0.0480783661700414</v>
      </c>
      <c r="O50" s="25" cm="1">
        <f t="array" ref="O50">G50*$J50</f>
        <v>-0.0294466904998212</v>
      </c>
      <c r="P50" s="2"/>
      <c r="Q50" s="25">
        <v>0.0184999999999995</v>
      </c>
      <c r="R50" s="25">
        <v>0.010209657</v>
      </c>
      <c r="S50" s="25" cm="1">
        <f t="array" ref="S50">L50/$R50</f>
        <v>7.16600204801611</v>
      </c>
      <c r="T50" s="25" cm="1">
        <f t="array" ref="T50">M50/$R50</f>
        <v>20.7806821750671</v>
      </c>
      <c r="U50" s="25" cm="1">
        <f t="array" ref="U50">N50/$R50</f>
        <v>4.70910689458435</v>
      </c>
      <c r="V50" s="25" cm="1">
        <f t="array" ref="V50">O50/$R50</f>
        <v>-2.88419978260006</v>
      </c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17" customHeight="1">
      <c r="A51" s="2"/>
      <c r="B51" t="s" s="24">
        <v>20</v>
      </c>
      <c r="C51" t="s" s="39">
        <v>110</v>
      </c>
      <c r="D51" s="25">
        <v>38.3253990248313</v>
      </c>
      <c r="E51" s="25">
        <v>212.773039722088</v>
      </c>
      <c r="F51" s="25">
        <v>264.595985235274</v>
      </c>
      <c r="G51" s="25">
        <v>-5.65542096266678</v>
      </c>
      <c r="H51" s="2"/>
      <c r="I51" s="25">
        <v>4.7093</v>
      </c>
      <c r="J51" s="25" cm="1">
        <f t="array" ref="J51">I51/1000</f>
        <v>0.0047093</v>
      </c>
      <c r="K51" s="2"/>
      <c r="L51" s="25" cm="1">
        <f t="array" ref="L51">D51*$J51</f>
        <v>0.180485801627638</v>
      </c>
      <c r="M51" s="25" cm="1">
        <f t="array" ref="M51">E51*$J51</f>
        <v>1.00201207596323</v>
      </c>
      <c r="N51" s="25" cm="1">
        <f t="array" ref="N51">F51*$J51</f>
        <v>1.24606187326848</v>
      </c>
      <c r="O51" s="25" cm="1">
        <f t="array" ref="O51">G51*$J51</f>
        <v>-0.0266330739394867</v>
      </c>
      <c r="P51" s="2"/>
      <c r="Q51" s="25">
        <v>0.0182000000000002</v>
      </c>
      <c r="R51" s="25">
        <v>0.010209657</v>
      </c>
      <c r="S51" s="25" cm="1">
        <f t="array" ref="S51">L51/$R51</f>
        <v>17.6779495753518</v>
      </c>
      <c r="T51" s="25" cm="1">
        <f t="array" ref="T51">M51/$R51</f>
        <v>98.1435591776717</v>
      </c>
      <c r="U51" s="25" cm="1">
        <f t="array" ref="U51">N51/$R51</f>
        <v>122.047378601307</v>
      </c>
      <c r="V51" s="25" cm="1">
        <f t="array" ref="V51">O51/$R51</f>
        <v>-2.60861593484352</v>
      </c>
      <c r="W51" s="2"/>
      <c r="X51" s="25" cm="1">
        <f t="array" ref="X51">S51-X$3-X$58</f>
        <v>-16.9883583361741</v>
      </c>
      <c r="Y51" s="25" cm="1">
        <f t="array" ref="Y51">T51-Y$3-Y$58</f>
        <v>89.66576517685679</v>
      </c>
      <c r="Z51" s="25" cm="1">
        <f t="array" ref="Z51">U51-Z$3-Z$49</f>
        <v>115.555016020549</v>
      </c>
      <c r="AA51" s="25" cm="1">
        <f t="array" ref="AA51">V51-AA$3-AA$49</f>
        <v>0.27902183399408</v>
      </c>
      <c r="AB51" s="2"/>
      <c r="AC51" s="32" cm="1">
        <f t="array" ref="AC51">X51</f>
        <v>-16.9883583361741</v>
      </c>
      <c r="AD51" s="32" cm="1">
        <f t="array" ref="AD51">Y51</f>
        <v>89.66576517685679</v>
      </c>
      <c r="AE51" s="32" cm="1">
        <f t="array" ref="AE51">Z51</f>
        <v>115.555016020549</v>
      </c>
      <c r="AF51" s="32" cm="1">
        <f t="array" ref="AF51">AA51</f>
        <v>0.27902183399408</v>
      </c>
    </row>
    <row r="52" ht="17" customHeight="1">
      <c r="A52" s="2"/>
      <c r="B52" t="s" s="24">
        <v>22</v>
      </c>
      <c r="C52" t="s" s="39">
        <v>111</v>
      </c>
      <c r="D52" s="25">
        <v>36.4599471023017</v>
      </c>
      <c r="E52" s="25">
        <v>210.136556034287</v>
      </c>
      <c r="F52" s="25">
        <v>272.248865472176</v>
      </c>
      <c r="G52" s="25">
        <v>-5.82466017631408</v>
      </c>
      <c r="H52" s="2"/>
      <c r="I52" s="25">
        <v>4.6945</v>
      </c>
      <c r="J52" s="25" cm="1">
        <f t="array" ref="J52">I52/1000</f>
        <v>0.0046945</v>
      </c>
      <c r="K52" s="2"/>
      <c r="L52" s="25" cm="1">
        <f t="array" ref="L52">D52*$J52</f>
        <v>0.171161221671755</v>
      </c>
      <c r="M52" s="25" cm="1">
        <f t="array" ref="M52">E52*$J52</f>
        <v>0.98648606230296</v>
      </c>
      <c r="N52" s="25" cm="1">
        <f t="array" ref="N52">F52*$J52</f>
        <v>1.27807229895913</v>
      </c>
      <c r="O52" s="25" cm="1">
        <f t="array" ref="O52">G52*$J52</f>
        <v>-0.0273438671977064</v>
      </c>
      <c r="P52" s="2"/>
      <c r="Q52" s="25">
        <v>0.0177999999999994</v>
      </c>
      <c r="R52" s="25">
        <v>0.010209657</v>
      </c>
      <c r="S52" s="25" cm="1">
        <f t="array" ref="S52">L52/$R52</f>
        <v>16.7646397593724</v>
      </c>
      <c r="T52" s="25" cm="1">
        <f t="array" ref="T52">M52/$R52</f>
        <v>96.62284073823049</v>
      </c>
      <c r="U52" s="25" cm="1">
        <f t="array" ref="U52">N52/$R52</f>
        <v>125.182687230250</v>
      </c>
      <c r="V52" s="25" cm="1">
        <f t="array" ref="V52">O52/$R52</f>
        <v>-2.67823563491961</v>
      </c>
      <c r="W52" s="2"/>
      <c r="X52" s="25" cm="1">
        <f t="array" ref="X52">S52-X$3-X$58</f>
        <v>-17.9016681521535</v>
      </c>
      <c r="Y52" s="25" cm="1">
        <f t="array" ref="Y52">T52-Y$3-Y$58</f>
        <v>88.1450467374156</v>
      </c>
      <c r="Z52" s="25" cm="1">
        <f t="array" ref="Z52">U52-Z$3-Z$49</f>
        <v>118.690324649492</v>
      </c>
      <c r="AA52" s="25" cm="1">
        <f t="array" ref="AA52">V52-AA$3-AA$49</f>
        <v>0.20940213391799</v>
      </c>
      <c r="AB52" s="2"/>
      <c r="AC52" s="32" cm="1">
        <f t="array" ref="AC52">X52</f>
        <v>-17.9016681521535</v>
      </c>
      <c r="AD52" s="32" cm="1">
        <f t="array" ref="AD52">Y52</f>
        <v>88.1450467374156</v>
      </c>
      <c r="AE52" s="32" cm="1">
        <f t="array" ref="AE52">Z52</f>
        <v>118.690324649492</v>
      </c>
      <c r="AF52" s="32" cm="1">
        <f t="array" ref="AF52">AA52</f>
        <v>0.20940213391799</v>
      </c>
    </row>
    <row r="53" ht="17" customHeight="1">
      <c r="A53" s="2"/>
      <c r="B53" t="s" s="24">
        <v>24</v>
      </c>
      <c r="C53" t="s" s="39">
        <v>112</v>
      </c>
      <c r="D53" s="25">
        <v>79.92146772277241</v>
      </c>
      <c r="E53" s="25">
        <v>233.732217270675</v>
      </c>
      <c r="F53" s="25">
        <v>336.554641370523</v>
      </c>
      <c r="G53" s="25">
        <v>-5.24531280299193</v>
      </c>
      <c r="H53" s="2"/>
      <c r="I53" s="25">
        <v>4.7005</v>
      </c>
      <c r="J53" s="25" cm="1">
        <f t="array" ref="J53">I53/1000</f>
        <v>0.0047005</v>
      </c>
      <c r="K53" s="2"/>
      <c r="L53" s="25" cm="1">
        <f t="array" ref="L53">D53*$J53</f>
        <v>0.375670859030892</v>
      </c>
      <c r="M53" s="25" cm="1">
        <f t="array" ref="M53">E53*$J53</f>
        <v>1.09865828728081</v>
      </c>
      <c r="N53" s="25" cm="1">
        <f t="array" ref="N53">F53*$J53</f>
        <v>1.58197509176214</v>
      </c>
      <c r="O53" s="25" cm="1">
        <f t="array" ref="O53">G53*$J53</f>
        <v>-0.0246555928304636</v>
      </c>
      <c r="P53" s="2"/>
      <c r="Q53" s="25">
        <v>0.0183999999999997</v>
      </c>
      <c r="R53" s="25">
        <v>0.010209657</v>
      </c>
      <c r="S53" s="25" cm="1">
        <f t="array" ref="S53">L53/$R53</f>
        <v>36.7956395627093</v>
      </c>
      <c r="T53" s="25" cm="1">
        <f t="array" ref="T53">M53/$R53</f>
        <v>107.609715711391</v>
      </c>
      <c r="U53" s="25" cm="1">
        <f t="array" ref="U53">N53/$R53</f>
        <v>154.948897084607</v>
      </c>
      <c r="V53" s="25" cm="1">
        <f t="array" ref="V53">O53/$R53</f>
        <v>-2.41492861419963</v>
      </c>
      <c r="W53" s="2"/>
      <c r="X53" s="25" cm="1">
        <f t="array" ref="X53">S53-X$3-X$58</f>
        <v>2.1293316511834</v>
      </c>
      <c r="Y53" s="25" cm="1">
        <f t="array" ref="Y53">T53-Y$3-Y$58</f>
        <v>99.13192171057609</v>
      </c>
      <c r="Z53" s="25" cm="1">
        <f t="array" ref="Z53">U53-Z$3-Z$49</f>
        <v>148.456534503849</v>
      </c>
      <c r="AA53" s="25" cm="1">
        <f t="array" ref="AA53">V53-AA$3-AA$49</f>
        <v>0.47270915463797</v>
      </c>
      <c r="AB53" s="2"/>
      <c r="AC53" s="32" cm="1">
        <f t="array" ref="AC53">X53</f>
        <v>2.1293316511834</v>
      </c>
      <c r="AD53" s="32" cm="1">
        <f t="array" ref="AD53">Y53</f>
        <v>99.13192171057609</v>
      </c>
      <c r="AE53" s="32" cm="1">
        <f t="array" ref="AE53">Z53</f>
        <v>148.456534503849</v>
      </c>
      <c r="AF53" s="32" cm="1">
        <f t="array" ref="AF53">AA53</f>
        <v>0.47270915463797</v>
      </c>
    </row>
    <row r="54" ht="17" customHeight="1">
      <c r="A54" s="2"/>
      <c r="B54" t="s" s="24">
        <v>26</v>
      </c>
      <c r="C54" t="s" s="39">
        <v>113</v>
      </c>
      <c r="D54" s="25">
        <v>154.605245012620</v>
      </c>
      <c r="E54" s="25">
        <v>20.2513415892197</v>
      </c>
      <c r="F54" s="25">
        <v>11.7974329617576</v>
      </c>
      <c r="G54" s="25">
        <v>72.7779804362232</v>
      </c>
      <c r="H54" s="2"/>
      <c r="I54" s="25">
        <v>4.623</v>
      </c>
      <c r="J54" s="25" cm="1">
        <f t="array" ref="J54">I54/1000</f>
        <v>0.004623</v>
      </c>
      <c r="K54" s="2"/>
      <c r="L54" s="25" cm="1">
        <f t="array" ref="L54">D54*$J54</f>
        <v>0.714740047693342</v>
      </c>
      <c r="M54" s="25" cm="1">
        <f t="array" ref="M54">E54*$J54</f>
        <v>0.0936219521669627</v>
      </c>
      <c r="N54" s="25" cm="1">
        <f t="array" ref="N54">F54*$J54</f>
        <v>0.0545395325822054</v>
      </c>
      <c r="O54" s="25" cm="1">
        <f t="array" ref="O54">G54*$J54</f>
        <v>0.33645260355666</v>
      </c>
      <c r="P54" s="2"/>
      <c r="Q54" s="25">
        <v>0.0179000000000009</v>
      </c>
      <c r="R54" s="25">
        <v>0.010209657</v>
      </c>
      <c r="S54" s="25" cm="1">
        <f t="array" ref="S54">L54/$R54</f>
        <v>70.00627422579841</v>
      </c>
      <c r="T54" s="25" cm="1">
        <f t="array" ref="T54">M54/$R54</f>
        <v>9.169940984987321</v>
      </c>
      <c r="U54" s="25" cm="1">
        <f t="array" ref="U54">N54/$R54</f>
        <v>5.34195542340016</v>
      </c>
      <c r="V54" s="25" cm="1">
        <f t="array" ref="V54">O54/$R54</f>
        <v>32.9543493534269</v>
      </c>
      <c r="W54" s="2"/>
      <c r="X54" s="25" cm="1">
        <f t="array" ref="X54">S54-X$3-X$58</f>
        <v>35.3399663142725</v>
      </c>
      <c r="Y54" s="25" cm="1">
        <f t="array" ref="Y54">T54-Y$3-Y$58</f>
        <v>0.6921469841724101</v>
      </c>
      <c r="Z54" s="25" cm="1">
        <f t="array" ref="Z54">U54-Z$3-Z$49</f>
        <v>-1.15040715735792</v>
      </c>
      <c r="AA54" s="25" cm="1">
        <f t="array" ref="AA54">V54-AA$3-AA$49</f>
        <v>35.8419871222645</v>
      </c>
      <c r="AB54" s="2"/>
      <c r="AC54" s="32" cm="1">
        <f t="array" ref="AC54">X54</f>
        <v>35.3399663142725</v>
      </c>
      <c r="AD54" s="32" cm="1">
        <f t="array" ref="AD54">Y54</f>
        <v>0.6921469841724101</v>
      </c>
      <c r="AE54" s="32" cm="1">
        <f t="array" ref="AE54">Z54</f>
        <v>-1.15040715735792</v>
      </c>
      <c r="AF54" s="32" cm="1">
        <f t="array" ref="AF54">AA54</f>
        <v>35.8419871222645</v>
      </c>
    </row>
    <row r="55" ht="17" customHeight="1">
      <c r="A55" s="2"/>
      <c r="B55" t="s" s="24">
        <v>28</v>
      </c>
      <c r="C55" t="s" s="39">
        <v>114</v>
      </c>
      <c r="D55" s="25">
        <v>84.9043021368922</v>
      </c>
      <c r="E55" s="25">
        <v>12.4334890266111</v>
      </c>
      <c r="F55" s="25">
        <v>14.791978861778</v>
      </c>
      <c r="G55" s="25">
        <v>67.34633361976771</v>
      </c>
      <c r="H55" s="2"/>
      <c r="I55" s="25">
        <v>4.6957</v>
      </c>
      <c r="J55" s="25" cm="1">
        <f t="array" ref="J55">I55/1000</f>
        <v>0.0046957</v>
      </c>
      <c r="K55" s="2"/>
      <c r="L55" s="25" cm="1">
        <f t="array" ref="L55">D55*$J55</f>
        <v>0.398685131544205</v>
      </c>
      <c r="M55" s="25" cm="1">
        <f t="array" ref="M55">E55*$J55</f>
        <v>0.0583839344222577</v>
      </c>
      <c r="N55" s="25" cm="1">
        <f t="array" ref="N55">F55*$J55</f>
        <v>0.069458695141251</v>
      </c>
      <c r="O55" s="25" cm="1">
        <f t="array" ref="O55">G55*$J55</f>
        <v>0.316238178778343</v>
      </c>
      <c r="P55" s="2"/>
      <c r="Q55" s="25">
        <v>0.0181000000000004</v>
      </c>
      <c r="R55" s="25">
        <v>0.010209657</v>
      </c>
      <c r="S55" s="25" cm="1">
        <f t="array" ref="S55">L55/$R55</f>
        <v>39.0498066236902</v>
      </c>
      <c r="T55" s="25" cm="1">
        <f t="array" ref="T55">M55/$R55</f>
        <v>5.71850106445865</v>
      </c>
      <c r="U55" s="25" cm="1">
        <f t="array" ref="U55">N55/$R55</f>
        <v>6.8032349315213</v>
      </c>
      <c r="V55" s="25" cm="1">
        <f t="array" ref="V55">O55/$R55</f>
        <v>30.9744175321799</v>
      </c>
      <c r="W55" s="2"/>
      <c r="X55" s="25" cm="1">
        <f t="array" ref="X55">S55-X$3-X$58</f>
        <v>4.3834987121643</v>
      </c>
      <c r="Y55" s="25" cm="1">
        <f t="array" ref="Y55">T55-Y$3-Y$58</f>
        <v>-2.75929293635626</v>
      </c>
      <c r="Z55" s="25" cm="1">
        <f t="array" ref="Z55">U55-Z$3-Z$49</f>
        <v>0.31087235076322</v>
      </c>
      <c r="AA55" s="25" cm="1">
        <f t="array" ref="AA55">V55-AA$3-AA$49</f>
        <v>33.8620553010175</v>
      </c>
      <c r="AB55" s="2"/>
      <c r="AC55" s="32" cm="1">
        <f t="array" ref="AC55">X55</f>
        <v>4.3834987121643</v>
      </c>
      <c r="AD55" s="32" cm="1">
        <f t="array" ref="AD55">Y55</f>
        <v>-2.75929293635626</v>
      </c>
      <c r="AE55" s="32" cm="1">
        <f t="array" ref="AE55">Z55</f>
        <v>0.31087235076322</v>
      </c>
      <c r="AF55" s="32" cm="1">
        <f t="array" ref="AF55">AA55</f>
        <v>33.8620553010175</v>
      </c>
    </row>
    <row r="56" ht="17" customHeight="1">
      <c r="A56" s="2"/>
      <c r="B56" t="s" s="24">
        <v>30</v>
      </c>
      <c r="C56" t="s" s="39">
        <v>115</v>
      </c>
      <c r="D56" s="25">
        <v>29.5999927755775</v>
      </c>
      <c r="E56" s="25">
        <v>11.4813076885263</v>
      </c>
      <c r="F56" s="25">
        <v>6.79069344150092</v>
      </c>
      <c r="G56" s="25">
        <v>-6.9345847201698</v>
      </c>
      <c r="H56" s="2"/>
      <c r="I56" s="25">
        <v>4.6982</v>
      </c>
      <c r="J56" s="25" cm="1">
        <f t="array" ref="J56">I56/1000</f>
        <v>0.0046982</v>
      </c>
      <c r="K56" s="2"/>
      <c r="L56" s="25" cm="1">
        <f t="array" ref="L56">D56*$J56</f>
        <v>0.139066686058218</v>
      </c>
      <c r="M56" s="25" cm="1">
        <f t="array" ref="M56">E56*$J56</f>
        <v>0.0539414797822343</v>
      </c>
      <c r="N56" s="25" cm="1">
        <f t="array" ref="N56">F56*$J56</f>
        <v>0.0319040359268596</v>
      </c>
      <c r="O56" s="25" cm="1">
        <f t="array" ref="O56">G56*$J56</f>
        <v>-0.0325800659323018</v>
      </c>
      <c r="P56" s="2"/>
      <c r="Q56" s="25">
        <v>0.0187999999999988</v>
      </c>
      <c r="R56" s="25">
        <v>0.010209657</v>
      </c>
      <c r="S56" s="25" cm="1">
        <f t="array" ref="S56">L56/$R56</f>
        <v>13.6210928592624</v>
      </c>
      <c r="T56" s="25" cm="1">
        <f t="array" ref="T56">M56/$R56</f>
        <v>5.28337825474786</v>
      </c>
      <c r="U56" s="25" cm="1">
        <f t="array" ref="U56">N56/$R56</f>
        <v>3.12488812570879</v>
      </c>
      <c r="V56" s="25" cm="1">
        <f t="array" ref="V56">O56/$R56</f>
        <v>-3.19110288742333</v>
      </c>
      <c r="W56" s="2"/>
      <c r="X56" s="25" cm="1">
        <f t="array" ref="X56">S56-X$3-X$58</f>
        <v>-21.0452150522635</v>
      </c>
      <c r="Y56" s="25" cm="1">
        <f t="array" ref="Y56">T56-Y$3-Y$58</f>
        <v>-3.19441574606705</v>
      </c>
      <c r="Z56" s="25" cm="1">
        <f t="array" ref="Z56">U56-Z$3-Z$49</f>
        <v>-3.36747445504929</v>
      </c>
      <c r="AA56" s="25" cm="1">
        <f t="array" ref="AA56">V56-AA$3-AA$49</f>
        <v>-0.30346511858573</v>
      </c>
      <c r="AB56" s="2"/>
      <c r="AC56" s="32" cm="1">
        <f t="array" ref="AC56">X56</f>
        <v>-21.0452150522635</v>
      </c>
      <c r="AD56" s="32" cm="1">
        <f t="array" ref="AD56">Y56</f>
        <v>-3.19441574606705</v>
      </c>
      <c r="AE56" s="32" cm="1">
        <f t="array" ref="AE56">Z56</f>
        <v>-3.36747445504929</v>
      </c>
      <c r="AF56" s="32" cm="1">
        <f t="array" ref="AF56">AA56</f>
        <v>-0.30346511858573</v>
      </c>
    </row>
    <row r="57" ht="17" customHeight="1">
      <c r="A57" s="2"/>
      <c r="B57" t="s" s="24">
        <v>32</v>
      </c>
      <c r="C57" t="s" s="39">
        <v>116</v>
      </c>
      <c r="D57" s="25">
        <v>13.4738366378627</v>
      </c>
      <c r="E57" s="25">
        <v>22.1474125781487</v>
      </c>
      <c r="F57" s="25">
        <v>20.5863587991581</v>
      </c>
      <c r="G57" s="25">
        <v>-7.01278143537268</v>
      </c>
      <c r="H57" s="2"/>
      <c r="I57" s="25">
        <v>4.6903</v>
      </c>
      <c r="J57" s="25" cm="1">
        <f t="array" ref="J57">I57/1000</f>
        <v>0.0046903</v>
      </c>
      <c r="K57" s="2"/>
      <c r="L57" s="25" cm="1">
        <f t="array" ref="L57">D57*$J57</f>
        <v>0.06319633598256739</v>
      </c>
      <c r="M57" s="25" cm="1">
        <f t="array" ref="M57">E57*$J57</f>
        <v>0.103878009215291</v>
      </c>
      <c r="N57" s="25" cm="1">
        <f t="array" ref="N57">F57*$J57</f>
        <v>0.09655619867569119</v>
      </c>
      <c r="O57" s="25" cm="1">
        <f t="array" ref="O57">G57*$J57</f>
        <v>-0.0328920487663285</v>
      </c>
      <c r="P57" s="2"/>
      <c r="Q57" s="25">
        <v>0.0183999999999997</v>
      </c>
      <c r="R57" s="25">
        <v>0.010209657</v>
      </c>
      <c r="S57" s="25" cm="1">
        <f t="array" ref="S57">L57/$R57</f>
        <v>6.18985887406084</v>
      </c>
      <c r="T57" s="25" cm="1">
        <f t="array" ref="T57">M57/$R57</f>
        <v>10.1744857065513</v>
      </c>
      <c r="U57" s="25" cm="1">
        <f t="array" ref="U57">N57/$R57</f>
        <v>9.45734011198331</v>
      </c>
      <c r="V57" s="25" cm="1">
        <f t="array" ref="V57">O57/$R57</f>
        <v>-3.22166050890138</v>
      </c>
      <c r="W57" s="2"/>
      <c r="X57" s="2"/>
      <c r="Y57" s="2"/>
      <c r="Z57" s="2"/>
      <c r="AA57" s="2"/>
      <c r="AB57" s="2"/>
      <c r="AC57" s="26"/>
      <c r="AD57" s="26"/>
      <c r="AE57" s="26"/>
      <c r="AF57" s="26"/>
    </row>
    <row r="58" ht="17" customHeight="1">
      <c r="A58" s="2"/>
      <c r="B58" t="s" s="24">
        <v>34</v>
      </c>
      <c r="C58" t="s" s="39">
        <v>117</v>
      </c>
      <c r="D58" s="25">
        <v>16.0398668664087</v>
      </c>
      <c r="E58" s="25">
        <v>12.3274359090942</v>
      </c>
      <c r="F58" s="25">
        <v>18.0977950209813</v>
      </c>
      <c r="G58" s="25">
        <v>-7.49571783698918</v>
      </c>
      <c r="H58" s="2"/>
      <c r="I58" s="25">
        <v>4.7205</v>
      </c>
      <c r="J58" s="25" cm="1">
        <f t="array" ref="J58">I58/1000</f>
        <v>0.0047205</v>
      </c>
      <c r="K58" s="2"/>
      <c r="L58" s="25" cm="1">
        <f t="array" ref="L58">D58*$J58</f>
        <v>0.0757161915428823</v>
      </c>
      <c r="M58" s="25" cm="1">
        <f t="array" ref="M58">E58*$J58</f>
        <v>0.0581916612088792</v>
      </c>
      <c r="N58" s="25" cm="1">
        <f t="array" ref="N58">F58*$J58</f>
        <v>0.0854306413965422</v>
      </c>
      <c r="O58" s="25" cm="1">
        <f t="array" ref="O58">G58*$J58</f>
        <v>-0.0353835360495074</v>
      </c>
      <c r="P58" s="2"/>
      <c r="Q58" s="25">
        <v>0.0181000000000004</v>
      </c>
      <c r="R58" s="25">
        <v>0.010209657</v>
      </c>
      <c r="S58" s="25" cm="1">
        <f t="array" ref="S58">L58/$R58</f>
        <v>7.4161346990288</v>
      </c>
      <c r="T58" s="25" cm="1">
        <f t="array" ref="T58">M58/$R58</f>
        <v>5.69966857935376</v>
      </c>
      <c r="U58" s="25" cm="1">
        <f t="array" ref="U58">N58/$R58</f>
        <v>8.36763090048394</v>
      </c>
      <c r="V58" s="25" cm="1">
        <f t="array" ref="V58">O58/$R58</f>
        <v>-3.46569292675625</v>
      </c>
      <c r="W58" s="2"/>
      <c r="X58" s="25" cm="1">
        <f t="array" ref="X58">AVERAGE(S57:S59)</f>
        <v>34.6663079115259</v>
      </c>
      <c r="Y58" s="25" cm="1">
        <f t="array" ref="Y58">AVERAGE(T57:T59)</f>
        <v>8.47779400081491</v>
      </c>
      <c r="Z58" s="25" cm="1">
        <f t="array" ref="Z58">AVERAGE(U57:U59)</f>
        <v>9.275963581797351</v>
      </c>
      <c r="AA58" s="25" cm="1">
        <f t="array" ref="AA58">AVERAGE(V57:V59)</f>
        <v>9.92070919736212</v>
      </c>
      <c r="AB58" s="2"/>
      <c r="AC58" s="26"/>
      <c r="AD58" s="26"/>
      <c r="AE58" s="26"/>
      <c r="AF58" s="26"/>
    </row>
    <row r="59" ht="17" customHeight="1">
      <c r="A59" s="2"/>
      <c r="B59" t="s" s="24">
        <v>36</v>
      </c>
      <c r="C59" t="s" s="39">
        <v>118</v>
      </c>
      <c r="D59" s="25">
        <v>195.936564441041</v>
      </c>
      <c r="E59" s="25">
        <v>20.7206717842006</v>
      </c>
      <c r="F59" s="25">
        <v>21.6824227663307</v>
      </c>
      <c r="G59" s="25">
        <v>79.0082374304737</v>
      </c>
      <c r="H59" s="2"/>
      <c r="I59" s="25">
        <v>4.7101</v>
      </c>
      <c r="J59" s="25" cm="1">
        <f t="array" ref="J59">I59/1000</f>
        <v>0.0047101</v>
      </c>
      <c r="K59" s="2"/>
      <c r="L59" s="25" cm="1">
        <f t="array" ref="L59">D59*$J59</f>
        <v>0.922880812173747</v>
      </c>
      <c r="M59" s="25" cm="1">
        <f t="array" ref="M59">E59*$J59</f>
        <v>0.0975964361707632</v>
      </c>
      <c r="N59" s="25" cm="1">
        <f t="array" ref="N59">F59*$J59</f>
        <v>0.102126379471694</v>
      </c>
      <c r="O59" s="25" cm="1">
        <f t="array" ref="O59">G59*$J59</f>
        <v>0.372136699121274</v>
      </c>
      <c r="P59" s="2"/>
      <c r="Q59" s="25">
        <v>0.0176999999999996</v>
      </c>
      <c r="R59" s="25">
        <v>0.010209657</v>
      </c>
      <c r="S59" s="25" cm="1">
        <f t="array" ref="S59">L59/$R59</f>
        <v>90.392930161488</v>
      </c>
      <c r="T59" s="25" cm="1">
        <f t="array" ref="T59">M59/$R59</f>
        <v>9.55922771653966</v>
      </c>
      <c r="U59" s="25" cm="1">
        <f t="array" ref="U59">N59/$R59</f>
        <v>10.0029197329248</v>
      </c>
      <c r="V59" s="25" cm="1">
        <f t="array" ref="V59">O59/$R59</f>
        <v>36.449481027744</v>
      </c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17" customHeight="1">
      <c r="A60" s="2"/>
      <c r="B60" t="s" s="24">
        <v>38</v>
      </c>
      <c r="C60" t="s" s="39">
        <v>119</v>
      </c>
      <c r="D60" s="25">
        <v>60.8647632316415</v>
      </c>
      <c r="E60" s="25">
        <v>90.51786864226079</v>
      </c>
      <c r="F60" s="25">
        <v>81.1918318807957</v>
      </c>
      <c r="G60" s="25">
        <v>-6.61425518236792</v>
      </c>
      <c r="H60" s="2"/>
      <c r="I60" s="25">
        <v>4.7095</v>
      </c>
      <c r="J60" s="25" cm="1">
        <f t="array" ref="J60">I60/1000</f>
        <v>0.0047095</v>
      </c>
      <c r="K60" s="2"/>
      <c r="L60" s="25" cm="1">
        <f t="array" ref="L60">D60*$J60</f>
        <v>0.286642602439416</v>
      </c>
      <c r="M60" s="25" cm="1">
        <f t="array" ref="M60">E60*$J60</f>
        <v>0.426293902370727</v>
      </c>
      <c r="N60" s="25" cm="1">
        <f t="array" ref="N60">F60*$J60</f>
        <v>0.382372932242607</v>
      </c>
      <c r="O60" s="25" cm="1">
        <f t="array" ref="O60">G60*$J60</f>
        <v>-0.0311498347813617</v>
      </c>
      <c r="P60" s="2"/>
      <c r="Q60" s="25">
        <v>0.0183</v>
      </c>
      <c r="R60" s="25">
        <v>0.010209657</v>
      </c>
      <c r="S60" s="25" cm="1">
        <f t="array" ref="S60">L60/$R60</f>
        <v>28.0756349052095</v>
      </c>
      <c r="T60" s="25" cm="1">
        <f t="array" ref="T60">M60/$R60</f>
        <v>41.7539886374956</v>
      </c>
      <c r="U60" s="25" cm="1">
        <f t="array" ref="U60">N60/$R60</f>
        <v>37.4520840653713</v>
      </c>
      <c r="V60" s="25" cm="1">
        <f t="array" ref="V60">O60/$R60</f>
        <v>-3.05101677572143</v>
      </c>
      <c r="W60" s="2"/>
      <c r="X60" s="25" cm="1">
        <f t="array" ref="X60">S60-X$3-X$67</f>
        <v>14.8512195049366</v>
      </c>
      <c r="Y60" s="25" cm="1">
        <f t="array" ref="Y60">T60-Y$3-Y$67</f>
        <v>35.1122990029588</v>
      </c>
      <c r="Z60" s="25" cm="1">
        <f t="array" ref="Z60">U60-Z$3-Z$49</f>
        <v>30.9597214846132</v>
      </c>
      <c r="AA60" s="25" cm="1">
        <f t="array" ref="AA60">V60-AA$3-AA$49</f>
        <v>-0.16337900688383</v>
      </c>
      <c r="AB60" s="2"/>
      <c r="AC60" s="32" cm="1">
        <f t="array" ref="AC60">X60</f>
        <v>14.8512195049366</v>
      </c>
      <c r="AD60" s="32" cm="1">
        <f t="array" ref="AD60">Y60</f>
        <v>35.1122990029588</v>
      </c>
      <c r="AE60" s="32" cm="1">
        <f t="array" ref="AE60">Z60</f>
        <v>30.9597214846132</v>
      </c>
      <c r="AF60" s="32" cm="1">
        <f t="array" ref="AF60">AA60</f>
        <v>-0.16337900688383</v>
      </c>
    </row>
    <row r="61" ht="17" customHeight="1">
      <c r="A61" s="2"/>
      <c r="B61" t="s" s="24">
        <v>40</v>
      </c>
      <c r="C61" t="s" s="39">
        <v>120</v>
      </c>
      <c r="D61" s="25">
        <v>30.5029909858293</v>
      </c>
      <c r="E61" s="25">
        <v>42.2378642334372</v>
      </c>
      <c r="F61" s="25">
        <v>55.3897599400201</v>
      </c>
      <c r="G61" s="25">
        <v>-7.02377112906226</v>
      </c>
      <c r="H61" s="2"/>
      <c r="I61" s="25">
        <v>4.7003</v>
      </c>
      <c r="J61" s="25" cm="1">
        <f t="array" ref="J61">I61/1000</f>
        <v>0.0047003</v>
      </c>
      <c r="K61" s="2"/>
      <c r="L61" s="25" cm="1">
        <f t="array" ref="L61">D61*$J61</f>
        <v>0.143373208530693</v>
      </c>
      <c r="M61" s="25" cm="1">
        <f t="array" ref="M61">E61*$J61</f>
        <v>0.198530633256425</v>
      </c>
      <c r="N61" s="25" cm="1">
        <f t="array" ref="N61">F61*$J61</f>
        <v>0.260348488646076</v>
      </c>
      <c r="O61" s="25" cm="1">
        <f t="array" ref="O61">G61*$J61</f>
        <v>-0.0330138314379313</v>
      </c>
      <c r="P61" s="2"/>
      <c r="Q61" s="25">
        <v>0.0174000000000003</v>
      </c>
      <c r="R61" s="25">
        <v>0.010209657</v>
      </c>
      <c r="S61" s="25" cm="1">
        <f t="array" ref="S61">L61/$R61</f>
        <v>14.0429015911791</v>
      </c>
      <c r="T61" s="25" cm="1">
        <f t="array" ref="T61">M61/$R61</f>
        <v>19.445377377166</v>
      </c>
      <c r="U61" s="25" cm="1">
        <f t="array" ref="U61">N61/$R61</f>
        <v>25.5002189246981</v>
      </c>
      <c r="V61" s="25" cm="1">
        <f t="array" ref="V61">O61/$R61</f>
        <v>-3.23358869332548</v>
      </c>
      <c r="W61" s="2"/>
      <c r="X61" s="25" cm="1">
        <f t="array" ref="X61">S61-X$3-X$67</f>
        <v>0.8184861909062</v>
      </c>
      <c r="Y61" s="25" cm="1">
        <f t="array" ref="Y61">T61-Y$3-Y$67</f>
        <v>12.8036877426292</v>
      </c>
      <c r="Z61" s="25" cm="1">
        <f t="array" ref="Z61">U61-Z$3-Z$49</f>
        <v>19.007856343940</v>
      </c>
      <c r="AA61" s="25" cm="1">
        <f t="array" ref="AA61">V61-AA$3-AA$49</f>
        <v>-0.34595092448788</v>
      </c>
      <c r="AB61" s="2"/>
      <c r="AC61" s="32" cm="1">
        <f t="array" ref="AC61">X61</f>
        <v>0.8184861909062</v>
      </c>
      <c r="AD61" s="32" cm="1">
        <f t="array" ref="AD61">Y61</f>
        <v>12.8036877426292</v>
      </c>
      <c r="AE61" s="32" cm="1">
        <f t="array" ref="AE61">Z61</f>
        <v>19.007856343940</v>
      </c>
      <c r="AF61" s="32" cm="1">
        <f t="array" ref="AF61">AA61</f>
        <v>-0.34595092448788</v>
      </c>
    </row>
    <row r="62" ht="17" customHeight="1">
      <c r="A62" s="2"/>
      <c r="B62" t="s" s="24">
        <v>42</v>
      </c>
      <c r="C62" t="s" s="39">
        <v>121</v>
      </c>
      <c r="D62" s="25">
        <v>39.1828039101706</v>
      </c>
      <c r="E62" s="25">
        <v>129.242199375281</v>
      </c>
      <c r="F62" s="25">
        <v>87.5394433853569</v>
      </c>
      <c r="G62" s="25">
        <v>-6.434649208036</v>
      </c>
      <c r="H62" s="2"/>
      <c r="I62" s="25">
        <v>4.6977</v>
      </c>
      <c r="J62" s="25" cm="1">
        <f t="array" ref="J62">I62/1000</f>
        <v>0.0046977</v>
      </c>
      <c r="K62" s="2"/>
      <c r="L62" s="25" cm="1">
        <f t="array" ref="L62">D62*$J62</f>
        <v>0.184069057928808</v>
      </c>
      <c r="M62" s="25" cm="1">
        <f t="array" ref="M62">E62*$J62</f>
        <v>0.607141080005258</v>
      </c>
      <c r="N62" s="25" cm="1">
        <f t="array" ref="N62">F62*$J62</f>
        <v>0.411234043191391</v>
      </c>
      <c r="O62" s="25" cm="1">
        <f t="array" ref="O62">G62*$J62</f>
        <v>-0.0302280515845907</v>
      </c>
      <c r="P62" s="2"/>
      <c r="Q62" s="25">
        <v>0.0177999999999994</v>
      </c>
      <c r="R62" s="25">
        <v>0.010209657</v>
      </c>
      <c r="S62" s="25" cm="1">
        <f t="array" ref="S62">L62/$R62</f>
        <v>18.0289169292179</v>
      </c>
      <c r="T62" s="25" cm="1">
        <f t="array" ref="T62">M62/$R62</f>
        <v>59.4673337219123</v>
      </c>
      <c r="U62" s="25" cm="1">
        <f t="array" ref="U62">N62/$R62</f>
        <v>40.2789283901889</v>
      </c>
      <c r="V62" s="25" cm="1">
        <f t="array" ref="V62">O62/$R62</f>
        <v>-2.96073135312878</v>
      </c>
      <c r="W62" s="2"/>
      <c r="X62" s="25" cm="1">
        <f t="array" ref="X62">S62-X$3-X$67</f>
        <v>4.804501528945</v>
      </c>
      <c r="Y62" s="25" cm="1">
        <f t="array" ref="Y62">T62-Y$3-Y$67</f>
        <v>52.8256440873755</v>
      </c>
      <c r="Z62" s="25" cm="1">
        <f t="array" ref="Z62">U62-Z$3-Z$49</f>
        <v>33.7865658094308</v>
      </c>
      <c r="AA62" s="25" cm="1">
        <f t="array" ref="AA62">V62-AA$3-AA$49</f>
        <v>-0.07309358429118</v>
      </c>
      <c r="AB62" s="2"/>
      <c r="AC62" s="32" cm="1">
        <f t="array" ref="AC62">X62</f>
        <v>4.804501528945</v>
      </c>
      <c r="AD62" s="32" cm="1">
        <f t="array" ref="AD62">Y62</f>
        <v>52.8256440873755</v>
      </c>
      <c r="AE62" s="32" cm="1">
        <f t="array" ref="AE62">Z62</f>
        <v>33.7865658094308</v>
      </c>
      <c r="AF62" s="32" cm="1">
        <f t="array" ref="AF62">AA62</f>
        <v>-0.07309358429118</v>
      </c>
    </row>
    <row r="63" ht="17" customHeight="1">
      <c r="A63" s="2"/>
      <c r="B63" t="s" s="24">
        <v>44</v>
      </c>
      <c r="C63" t="s" s="39">
        <v>122</v>
      </c>
      <c r="D63" s="25">
        <v>65.9249558323329</v>
      </c>
      <c r="E63" s="25">
        <v>13.9772099640806</v>
      </c>
      <c r="F63" s="25">
        <v>16.2504013963791</v>
      </c>
      <c r="G63" s="25">
        <v>22.7574983519163</v>
      </c>
      <c r="H63" s="2"/>
      <c r="I63" s="25">
        <v>4.7201</v>
      </c>
      <c r="J63" s="25" cm="1">
        <f t="array" ref="J63">I63/1000</f>
        <v>0.0047201</v>
      </c>
      <c r="K63" s="2"/>
      <c r="L63" s="25" cm="1">
        <f t="array" ref="L63">D63*$J63</f>
        <v>0.311172384024195</v>
      </c>
      <c r="M63" s="25" cm="1">
        <f t="array" ref="M63">E63*$J63</f>
        <v>0.0659738287514568</v>
      </c>
      <c r="N63" s="25" cm="1">
        <f t="array" ref="N63">F63*$J63</f>
        <v>0.076703519631049</v>
      </c>
      <c r="O63" s="25" cm="1">
        <f t="array" ref="O63">G63*$J63</f>
        <v>0.10741766797088</v>
      </c>
      <c r="P63" s="2"/>
      <c r="Q63" s="25">
        <v>0.0178999999999991</v>
      </c>
      <c r="R63" s="25">
        <v>0.010209657</v>
      </c>
      <c r="S63" s="25" cm="1">
        <f t="array" ref="S63">L63/$R63</f>
        <v>30.4782407503205</v>
      </c>
      <c r="T63" s="25" cm="1">
        <f t="array" ref="T63">M63/$R63</f>
        <v>6.4619045234778</v>
      </c>
      <c r="U63" s="25" cm="1">
        <f t="array" ref="U63">N63/$R63</f>
        <v>7.51284001323933</v>
      </c>
      <c r="V63" s="25" cm="1">
        <f t="array" ref="V63">O63/$R63</f>
        <v>10.5211828341422</v>
      </c>
      <c r="W63" s="2"/>
      <c r="X63" s="25" cm="1">
        <f t="array" ref="X63">S63-X$3-X$67</f>
        <v>17.2538253500476</v>
      </c>
      <c r="Y63" s="25" cm="1">
        <f t="array" ref="Y63">T63-Y$3-Y$67</f>
        <v>-0.17978511105897</v>
      </c>
      <c r="Z63" s="25" cm="1">
        <f t="array" ref="Z63">U63-Z$3-Z$49</f>
        <v>1.02047743248125</v>
      </c>
      <c r="AA63" s="25" cm="1">
        <f t="array" ref="AA63">V63-AA$3-AA$49</f>
        <v>13.4088206029798</v>
      </c>
      <c r="AB63" s="2"/>
      <c r="AC63" s="32" cm="1">
        <f t="array" ref="AC63">X63</f>
        <v>17.2538253500476</v>
      </c>
      <c r="AD63" s="32" cm="1">
        <f t="array" ref="AD63">Y63</f>
        <v>-0.17978511105897</v>
      </c>
      <c r="AE63" s="32" cm="1">
        <f t="array" ref="AE63">Z63</f>
        <v>1.02047743248125</v>
      </c>
      <c r="AF63" s="32" cm="1">
        <f t="array" ref="AF63">AA63</f>
        <v>13.4088206029798</v>
      </c>
    </row>
    <row r="64" ht="17" customHeight="1">
      <c r="A64" s="2"/>
      <c r="B64" t="s" s="24">
        <v>46</v>
      </c>
      <c r="C64" t="s" s="39">
        <v>123</v>
      </c>
      <c r="D64" s="25">
        <v>25.7387910326664</v>
      </c>
      <c r="E64" s="25">
        <v>38.6893027075189</v>
      </c>
      <c r="F64" s="25">
        <v>11.2028120002287</v>
      </c>
      <c r="G64" s="25">
        <v>82.074631839792</v>
      </c>
      <c r="H64" s="2"/>
      <c r="I64" s="25">
        <v>4.7206</v>
      </c>
      <c r="J64" s="25" cm="1">
        <f t="array" ref="J64">I64/1000</f>
        <v>0.0047206</v>
      </c>
      <c r="K64" s="2"/>
      <c r="L64" s="25" cm="1">
        <f t="array" ref="L64">D64*$J64</f>
        <v>0.121502536948805</v>
      </c>
      <c r="M64" s="25" cm="1">
        <f t="array" ref="M64">E64*$J64</f>
        <v>0.182636722361114</v>
      </c>
      <c r="N64" s="25" cm="1">
        <f t="array" ref="N64">F64*$J64</f>
        <v>0.0528839943282796</v>
      </c>
      <c r="O64" s="25" cm="1">
        <f t="array" ref="O64">G64*$J64</f>
        <v>0.387441507062922</v>
      </c>
      <c r="P64" s="2"/>
      <c r="Q64" s="25">
        <v>0.0178999999999991</v>
      </c>
      <c r="R64" s="25">
        <v>0.010209657</v>
      </c>
      <c r="S64" s="25" cm="1">
        <f t="array" ref="S64">L64/$R64</f>
        <v>11.9007462198588</v>
      </c>
      <c r="T64" s="25" cm="1">
        <f t="array" ref="T64">M64/$R64</f>
        <v>17.8886246972953</v>
      </c>
      <c r="U64" s="25" cm="1">
        <f t="array" ref="U64">N64/$R64</f>
        <v>5.1798012732729</v>
      </c>
      <c r="V64" s="25" cm="1">
        <f t="array" ref="V64">O64/$R64</f>
        <v>37.9485331449354</v>
      </c>
      <c r="W64" s="2"/>
      <c r="X64" s="25" cm="1">
        <f t="array" ref="X64">S64-X$3-X$67</f>
        <v>-1.3236691804141</v>
      </c>
      <c r="Y64" s="25" cm="1">
        <f t="array" ref="Y64">T64-Y$3-Y$67</f>
        <v>11.2469350627585</v>
      </c>
      <c r="Z64" s="25" cm="1">
        <f t="array" ref="Z64">U64-Z$3-Z$49</f>
        <v>-1.31256130748518</v>
      </c>
      <c r="AA64" s="25" cm="1">
        <f t="array" ref="AA64">V64-AA$3-AA$49</f>
        <v>40.836170913773</v>
      </c>
      <c r="AB64" s="2"/>
      <c r="AC64" s="32" cm="1">
        <f t="array" ref="AC64">X64</f>
        <v>-1.3236691804141</v>
      </c>
      <c r="AD64" s="32" cm="1">
        <f t="array" ref="AD64">Y64</f>
        <v>11.2469350627585</v>
      </c>
      <c r="AE64" s="32" cm="1">
        <f t="array" ref="AE64">Z64</f>
        <v>-1.31256130748518</v>
      </c>
      <c r="AF64" s="32" cm="1">
        <f t="array" ref="AF64">AA64</f>
        <v>40.836170913773</v>
      </c>
    </row>
    <row r="65" ht="17" customHeight="1">
      <c r="A65" s="2"/>
      <c r="B65" t="s" s="24">
        <v>48</v>
      </c>
      <c r="C65" t="s" s="39">
        <v>124</v>
      </c>
      <c r="D65" s="25">
        <v>27.8804902014807</v>
      </c>
      <c r="E65" s="25">
        <v>8.963795930316341</v>
      </c>
      <c r="F65" s="25">
        <v>11.4394303837695</v>
      </c>
      <c r="G65" s="25">
        <v>12.4234091369783</v>
      </c>
      <c r="H65" s="2"/>
      <c r="I65" s="25">
        <v>4.7005</v>
      </c>
      <c r="J65" s="25" cm="1">
        <f t="array" ref="J65">I65/1000</f>
        <v>0.0047005</v>
      </c>
      <c r="K65" s="2"/>
      <c r="L65" s="25" cm="1">
        <f t="array" ref="L65">D65*$J65</f>
        <v>0.13105224419206</v>
      </c>
      <c r="M65" s="25" cm="1">
        <f t="array" ref="M65">E65*$J65</f>
        <v>0.042134322770452</v>
      </c>
      <c r="N65" s="25" cm="1">
        <f t="array" ref="N65">F65*$J65</f>
        <v>0.0537710425189085</v>
      </c>
      <c r="O65" s="25" cm="1">
        <f t="array" ref="O65">G65*$J65</f>
        <v>0.0583962346483665</v>
      </c>
      <c r="P65" s="2"/>
      <c r="Q65" s="25">
        <v>0.0175999999999998</v>
      </c>
      <c r="R65" s="25">
        <v>0.010209657</v>
      </c>
      <c r="S65" s="25" cm="1">
        <f t="array" ref="S65">L65/$R65</f>
        <v>12.8361064619566</v>
      </c>
      <c r="T65" s="25" cm="1">
        <f t="array" ref="T65">M65/$R65</f>
        <v>4.12690874634202</v>
      </c>
      <c r="U65" s="25" cm="1">
        <f t="array" ref="U65">N65/$R65</f>
        <v>5.26668452416261</v>
      </c>
      <c r="V65" s="25" cm="1">
        <f t="array" ref="V65">O65/$R65</f>
        <v>5.71970582835119</v>
      </c>
      <c r="W65" s="2"/>
      <c r="X65" s="25" cm="1">
        <f t="array" ref="X65">S65-X$3-X$67</f>
        <v>-0.3883089383163</v>
      </c>
      <c r="Y65" s="25" cm="1">
        <f t="array" ref="Y65">T65-Y$3-Y$67</f>
        <v>-2.51478088819475</v>
      </c>
      <c r="Z65" s="25" cm="1">
        <f t="array" ref="Z65">U65-Z$3-Z$49</f>
        <v>-1.22567805659547</v>
      </c>
      <c r="AA65" s="25" cm="1">
        <f t="array" ref="AA65">V65-AA$3-AA$49</f>
        <v>8.607343597188789</v>
      </c>
      <c r="AB65" s="2"/>
      <c r="AC65" s="32" cm="1">
        <f t="array" ref="AC65">X65</f>
        <v>-0.3883089383163</v>
      </c>
      <c r="AD65" s="32" cm="1">
        <f t="array" ref="AD65">Y65</f>
        <v>-2.51478088819475</v>
      </c>
      <c r="AE65" s="32" cm="1">
        <f t="array" ref="AE65">Z65</f>
        <v>-1.22567805659547</v>
      </c>
      <c r="AF65" s="32" cm="1">
        <f t="array" ref="AF65">AA65</f>
        <v>8.607343597188789</v>
      </c>
    </row>
    <row r="66" ht="17" customHeight="1">
      <c r="A66" s="2"/>
      <c r="B66" t="s" s="24">
        <v>50</v>
      </c>
      <c r="C66" t="s" s="39">
        <v>125</v>
      </c>
      <c r="D66" s="25">
        <v>30.5758979188472</v>
      </c>
      <c r="E66" s="25">
        <v>19.2379242731276</v>
      </c>
      <c r="F66" s="25">
        <v>46.5500624252682</v>
      </c>
      <c r="G66" s="25">
        <v>-6.90487394730322</v>
      </c>
      <c r="H66" s="2"/>
      <c r="I66" s="25">
        <v>4.7162</v>
      </c>
      <c r="J66" s="25" cm="1">
        <f t="array" ref="J66">I66/1000</f>
        <v>0.0047162</v>
      </c>
      <c r="K66" s="2"/>
      <c r="L66" s="25" cm="1">
        <f t="array" ref="L66">D66*$J66</f>
        <v>0.144202049764867</v>
      </c>
      <c r="M66" s="25" cm="1">
        <f t="array" ref="M66">E66*$J66</f>
        <v>0.0907298984569244</v>
      </c>
      <c r="N66" s="25" cm="1">
        <f t="array" ref="N66">F66*$J66</f>
        <v>0.21953940441005</v>
      </c>
      <c r="O66" s="25" cm="1">
        <f t="array" ref="O66">G66*$J66</f>
        <v>-0.0325647665102714</v>
      </c>
      <c r="P66" s="2"/>
      <c r="Q66" s="25">
        <v>0.0180000000000007</v>
      </c>
      <c r="R66" s="25">
        <v>0.010209657</v>
      </c>
      <c r="S66" s="25" cm="1">
        <f t="array" ref="S66">L66/$R66</f>
        <v>14.1240836753739</v>
      </c>
      <c r="T66" s="25" cm="1">
        <f t="array" ref="T66">M66/$R66</f>
        <v>8.88667449424838</v>
      </c>
      <c r="U66" s="25" cm="1">
        <f t="array" ref="U66">N66/$R66</f>
        <v>21.5031126324861</v>
      </c>
      <c r="V66" s="25" cm="1">
        <f t="array" ref="V66">O66/$R66</f>
        <v>-3.1896043628372</v>
      </c>
      <c r="W66" s="2"/>
      <c r="X66" s="2"/>
      <c r="Y66" s="2"/>
      <c r="Z66" s="2"/>
      <c r="AA66" s="2"/>
      <c r="AB66" s="2"/>
      <c r="AC66" s="26"/>
      <c r="AD66" s="26"/>
      <c r="AE66" s="26"/>
      <c r="AF66" s="26"/>
    </row>
    <row r="67" ht="17" customHeight="1">
      <c r="A67" s="2"/>
      <c r="B67" t="s" s="24">
        <v>52</v>
      </c>
      <c r="C67" t="s" s="39">
        <v>126</v>
      </c>
      <c r="D67" s="25">
        <v>15.3847013134825</v>
      </c>
      <c r="E67" s="25">
        <v>11.2091822559581</v>
      </c>
      <c r="F67" s="25">
        <v>7.62105776953383</v>
      </c>
      <c r="G67" s="25">
        <v>-7.13131885742527</v>
      </c>
      <c r="H67" s="2"/>
      <c r="I67" s="25">
        <v>4.8088</v>
      </c>
      <c r="J67" s="25" cm="1">
        <f t="array" ref="J67">I67/1000</f>
        <v>0.0048088</v>
      </c>
      <c r="K67" s="2"/>
      <c r="L67" s="25" cm="1">
        <f t="array" ref="L67">D67*$J67</f>
        <v>0.0739819516762746</v>
      </c>
      <c r="M67" s="25" cm="1">
        <f t="array" ref="M67">E67*$J67</f>
        <v>0.0539027156324513</v>
      </c>
      <c r="N67" s="25" cm="1">
        <f t="array" ref="N67">F67*$J67</f>
        <v>0.0366481426021343</v>
      </c>
      <c r="O67" s="25" cm="1">
        <f t="array" ref="O67">G67*$J67</f>
        <v>-0.0342930861215866</v>
      </c>
      <c r="P67" s="2"/>
      <c r="Q67" s="25">
        <v>0.0183</v>
      </c>
      <c r="R67" s="25">
        <v>0.010209657</v>
      </c>
      <c r="S67" s="25" cm="1">
        <f t="array" ref="S67">L67/$R67</f>
        <v>7.24627200270044</v>
      </c>
      <c r="T67" s="25" cm="1">
        <f t="array" ref="T67">M67/$R67</f>
        <v>5.27958144259413</v>
      </c>
      <c r="U67" s="25" cm="1">
        <f t="array" ref="U67">N67/$R67</f>
        <v>3.58955669148673</v>
      </c>
      <c r="V67" s="25" cm="1">
        <f t="array" ref="V67">O67/$R67</f>
        <v>-3.35888719097876</v>
      </c>
      <c r="W67" s="2"/>
      <c r="X67" s="25" cm="1">
        <f t="array" ref="X67">AVERAGE(S66:S68)</f>
        <v>13.2244154002729</v>
      </c>
      <c r="Y67" s="25" cm="1">
        <f t="array" ref="Y67">AVERAGE(T66:T68)</f>
        <v>6.64168963453677</v>
      </c>
      <c r="Z67" s="25" cm="1">
        <f t="array" ref="Z67">AVERAGE(U66:U68)</f>
        <v>10.2468532060007</v>
      </c>
      <c r="AA67" s="25" cm="1">
        <f t="array" ref="AA67">AVERAGE(V66:V68)</f>
        <v>-3.35154980133205</v>
      </c>
      <c r="AB67" s="2"/>
      <c r="AC67" s="26"/>
      <c r="AD67" s="26"/>
      <c r="AE67" s="26"/>
      <c r="AF67" s="26"/>
    </row>
    <row r="68" ht="17" customHeight="1">
      <c r="A68" s="2"/>
      <c r="B68" t="s" s="24">
        <v>54</v>
      </c>
      <c r="C68" t="s" s="39">
        <v>127</v>
      </c>
      <c r="D68" s="25">
        <v>39.5651565415562</v>
      </c>
      <c r="E68" s="25">
        <v>12.4487624640804</v>
      </c>
      <c r="F68" s="25">
        <v>12.2089821460234</v>
      </c>
      <c r="G68" s="25">
        <v>-7.57922274787149</v>
      </c>
      <c r="H68" s="2"/>
      <c r="I68" s="25">
        <v>4.723</v>
      </c>
      <c r="J68" s="25" cm="1">
        <f t="array" ref="J68">I68/1000</f>
        <v>0.004723</v>
      </c>
      <c r="K68" s="2"/>
      <c r="L68" s="25" cm="1">
        <f t="array" ref="L68">D68*$J68</f>
        <v>0.18686623434577</v>
      </c>
      <c r="M68" s="25" cm="1">
        <f t="array" ref="M68">E68*$J68</f>
        <v>0.0587955051178517</v>
      </c>
      <c r="N68" s="25" cm="1">
        <f t="array" ref="N68">F68*$J68</f>
        <v>0.0576630226756685</v>
      </c>
      <c r="O68" s="25" cm="1">
        <f t="array" ref="O68">G68*$J68</f>
        <v>-0.035796669038197</v>
      </c>
      <c r="P68" s="2"/>
      <c r="Q68" s="25">
        <v>0.0183999999999997</v>
      </c>
      <c r="R68" s="25">
        <v>0.010209657</v>
      </c>
      <c r="S68" s="25" cm="1">
        <f t="array" ref="S68">L68/$R68</f>
        <v>18.3028905227443</v>
      </c>
      <c r="T68" s="25" cm="1">
        <f t="array" ref="T68">M68/$R68</f>
        <v>5.75881296676781</v>
      </c>
      <c r="U68" s="25" cm="1">
        <f t="array" ref="U68">N68/$R68</f>
        <v>5.64789029402932</v>
      </c>
      <c r="V68" s="25" cm="1">
        <f t="array" ref="V68">O68/$R68</f>
        <v>-3.50615785018018</v>
      </c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17" customHeight="1">
      <c r="A69" s="2"/>
      <c r="B69" t="s" s="24">
        <v>56</v>
      </c>
      <c r="C69" t="s" s="39">
        <v>128</v>
      </c>
      <c r="D69" s="25">
        <v>951.676836093376</v>
      </c>
      <c r="E69" s="25">
        <v>593.821391562920</v>
      </c>
      <c r="F69" s="25">
        <v>1065.1719248268</v>
      </c>
      <c r="G69" s="25">
        <v>-6.83122897473137</v>
      </c>
      <c r="H69" s="2"/>
      <c r="I69" s="25">
        <v>4.6507</v>
      </c>
      <c r="J69" s="25" cm="1">
        <f t="array" ref="J69">I69/1000</f>
        <v>0.0046507</v>
      </c>
      <c r="K69" s="2"/>
      <c r="L69" s="25" cm="1">
        <f t="array" ref="L69">D69*$J69</f>
        <v>4.42596346161946</v>
      </c>
      <c r="M69" s="25" cm="1">
        <f t="array" ref="M69">E69*$J69</f>
        <v>2.76168514574167</v>
      </c>
      <c r="N69" s="25" cm="1">
        <f t="array" ref="N69">F69*$J69</f>
        <v>4.953795070792</v>
      </c>
      <c r="O69" s="25" cm="1">
        <f t="array" ref="O69">G69*$J69</f>
        <v>-0.0317699965927832</v>
      </c>
      <c r="P69" s="2"/>
      <c r="Q69" s="25">
        <v>0.0182000000000002</v>
      </c>
      <c r="R69" s="25">
        <v>0.010209657</v>
      </c>
      <c r="S69" s="25" cm="1">
        <f t="array" ref="S69">L69/$R69</f>
        <v>433.507556778789</v>
      </c>
      <c r="T69" s="25" cm="1">
        <f t="array" ref="T69">M69/$R69</f>
        <v>270.497348318525</v>
      </c>
      <c r="U69" s="25" cm="1">
        <f t="array" ref="U69">N69/$R69</f>
        <v>485.206806731313</v>
      </c>
      <c r="V69" s="25" cm="1">
        <f t="array" ref="V69">O69/$R69</f>
        <v>-3.11175944429702</v>
      </c>
      <c r="W69" s="2"/>
      <c r="X69" s="25" cm="1">
        <f t="array" ref="X69">S69-X$3-X$76</f>
        <v>422.075536958164</v>
      </c>
      <c r="Y69" s="25" cm="1">
        <f t="array" ref="Y69">T69-Y$3-Y$76</f>
        <v>269.263962243023</v>
      </c>
      <c r="Z69" s="25" cm="1">
        <f t="array" ref="Z69">U69-Z$3-Z$49</f>
        <v>478.714444150555</v>
      </c>
      <c r="AA69" s="25" cm="1">
        <f t="array" ref="AA69">V69-AA$3-AA$49</f>
        <v>-0.22412167545942</v>
      </c>
      <c r="AB69" s="2"/>
      <c r="AC69" s="32" cm="1">
        <f t="array" ref="AC69">X69</f>
        <v>422.075536958164</v>
      </c>
      <c r="AD69" s="32" cm="1">
        <f t="array" ref="AD69">Y69</f>
        <v>269.263962243023</v>
      </c>
      <c r="AE69" s="32" cm="1">
        <f t="array" ref="AE69">Z69</f>
        <v>478.714444150555</v>
      </c>
      <c r="AF69" s="32" cm="1">
        <f t="array" ref="AF69">AA69</f>
        <v>-0.22412167545942</v>
      </c>
    </row>
    <row r="70" ht="17" customHeight="1">
      <c r="A70" s="2"/>
      <c r="B70" t="s" s="24">
        <v>58</v>
      </c>
      <c r="C70" t="s" s="39">
        <v>129</v>
      </c>
      <c r="D70" s="25">
        <v>799.161429944456</v>
      </c>
      <c r="E70" s="25">
        <v>433.372309826740</v>
      </c>
      <c r="F70" s="25">
        <v>1148.212813664370</v>
      </c>
      <c r="G70" s="25">
        <v>-6.47539076499171</v>
      </c>
      <c r="H70" s="2"/>
      <c r="I70" s="25">
        <v>4.7281</v>
      </c>
      <c r="J70" s="25" cm="1">
        <f t="array" ref="J70">I70/1000</f>
        <v>0.0047281</v>
      </c>
      <c r="K70" s="2"/>
      <c r="L70" s="25" cm="1">
        <f t="array" ref="L70">D70*$J70</f>
        <v>3.77851515692038</v>
      </c>
      <c r="M70" s="25" cm="1">
        <f t="array" ref="M70">E70*$J70</f>
        <v>2.04902761809181</v>
      </c>
      <c r="N70" s="25" cm="1">
        <f t="array" ref="N70">F70*$J70</f>
        <v>5.42886500428651</v>
      </c>
      <c r="O70" s="25" cm="1">
        <f t="array" ref="O70">G70*$J70</f>
        <v>-0.0306162950759573</v>
      </c>
      <c r="P70" s="2"/>
      <c r="Q70" s="25">
        <v>0.0186999999999991</v>
      </c>
      <c r="R70" s="25">
        <v>0.010209657</v>
      </c>
      <c r="S70" s="25" cm="1">
        <f t="array" ref="S70">L70/$R70</f>
        <v>370.092272141991</v>
      </c>
      <c r="T70" s="25" cm="1">
        <f t="array" ref="T70">M70/$R70</f>
        <v>200.695049607622</v>
      </c>
      <c r="U70" s="25" cm="1">
        <f t="array" ref="U70">N70/$R70</f>
        <v>531.738236092213</v>
      </c>
      <c r="V70" s="25" cm="1">
        <f t="array" ref="V70">O70/$R70</f>
        <v>-2.99875843781601</v>
      </c>
      <c r="W70" s="2"/>
      <c r="X70" s="25" cm="1">
        <f t="array" ref="X70">S70-X$3-X$76</f>
        <v>358.660252321366</v>
      </c>
      <c r="Y70" s="25" cm="1">
        <f t="array" ref="Y70">T70-Y$3-Y$76</f>
        <v>199.461663532120</v>
      </c>
      <c r="Z70" s="25" cm="1">
        <f t="array" ref="Z70">U70-Z$3-Z$49</f>
        <v>525.245873511455</v>
      </c>
      <c r="AA70" s="25" cm="1">
        <f t="array" ref="AA70">V70-AA$3-AA$49</f>
        <v>-0.11112066897841</v>
      </c>
      <c r="AB70" s="2"/>
      <c r="AC70" s="32" cm="1">
        <f t="array" ref="AC70">X70</f>
        <v>358.660252321366</v>
      </c>
      <c r="AD70" s="32" cm="1">
        <f t="array" ref="AD70">Y70</f>
        <v>199.461663532120</v>
      </c>
      <c r="AE70" s="32" cm="1">
        <f t="array" ref="AE70">Z70</f>
        <v>525.245873511455</v>
      </c>
      <c r="AF70" s="32" cm="1">
        <f t="array" ref="AF70">AA70</f>
        <v>-0.11112066897841</v>
      </c>
    </row>
    <row r="71" ht="17" customHeight="1">
      <c r="A71" s="2"/>
      <c r="B71" t="s" s="24">
        <v>60</v>
      </c>
      <c r="C71" t="s" s="39">
        <v>130</v>
      </c>
      <c r="D71" s="25">
        <v>908.9524432565109</v>
      </c>
      <c r="E71" s="25">
        <v>793.037243234668</v>
      </c>
      <c r="F71" s="25">
        <v>864.3495062472811</v>
      </c>
      <c r="G71" s="25">
        <v>-5.72673587276845</v>
      </c>
      <c r="H71" s="2"/>
      <c r="I71" s="25">
        <v>4.7144</v>
      </c>
      <c r="J71" s="25" cm="1">
        <f t="array" ref="J71">I71/1000</f>
        <v>0.0047144</v>
      </c>
      <c r="K71" s="2"/>
      <c r="L71" s="25" cm="1">
        <f t="array" ref="L71">D71*$J71</f>
        <v>4.2851653984885</v>
      </c>
      <c r="M71" s="25" cm="1">
        <f t="array" ref="M71">E71*$J71</f>
        <v>3.73869477950552</v>
      </c>
      <c r="N71" s="25" cm="1">
        <f t="array" ref="N71">F71*$J71</f>
        <v>4.07488931225218</v>
      </c>
      <c r="O71" s="25" cm="1">
        <f t="array" ref="O71">G71*$J71</f>
        <v>-0.0269981235985796</v>
      </c>
      <c r="P71" s="2"/>
      <c r="Q71" s="25">
        <v>0.0178999999999991</v>
      </c>
      <c r="R71" s="25">
        <v>0.010209657</v>
      </c>
      <c r="S71" s="25" cm="1">
        <f t="array" ref="S71">L71/$R71</f>
        <v>419.716881623790</v>
      </c>
      <c r="T71" s="25" cm="1">
        <f t="array" ref="T71">M71/$R71</f>
        <v>366.192006206038</v>
      </c>
      <c r="U71" s="25" cm="1">
        <f t="array" ref="U71">N71/$R71</f>
        <v>399.121078431154</v>
      </c>
      <c r="V71" s="25" cm="1">
        <f t="array" ref="V71">O71/$R71</f>
        <v>-2.64437126522268</v>
      </c>
      <c r="W71" s="2"/>
      <c r="X71" s="25" cm="1">
        <f t="array" ref="X71">S71-X$3-X$76</f>
        <v>408.284861803165</v>
      </c>
      <c r="Y71" s="25" cm="1">
        <f t="array" ref="Y71">T71-Y$3-Y$76</f>
        <v>364.958620130536</v>
      </c>
      <c r="Z71" s="25" cm="1">
        <f t="array" ref="Z71">U71-Z$3-Z$49</f>
        <v>392.628715850396</v>
      </c>
      <c r="AA71" s="25" cm="1">
        <f t="array" ref="AA71">V71-AA$3-AA$49</f>
        <v>0.24326650361492</v>
      </c>
      <c r="AB71" s="2"/>
      <c r="AC71" s="32" cm="1">
        <f t="array" ref="AC71">X71</f>
        <v>408.284861803165</v>
      </c>
      <c r="AD71" s="32" cm="1">
        <f t="array" ref="AD71">Y71</f>
        <v>364.958620130536</v>
      </c>
      <c r="AE71" s="32" cm="1">
        <f t="array" ref="AE71">Z71</f>
        <v>392.628715850396</v>
      </c>
      <c r="AF71" s="32" cm="1">
        <f t="array" ref="AF71">AA71</f>
        <v>0.24326650361492</v>
      </c>
    </row>
    <row r="72" ht="17" customHeight="1">
      <c r="A72" s="2"/>
      <c r="B72" t="s" s="24">
        <v>62</v>
      </c>
      <c r="C72" t="s" s="39">
        <v>131</v>
      </c>
      <c r="D72" s="25">
        <v>114.681526392145</v>
      </c>
      <c r="E72" s="25">
        <v>8.207083011982871</v>
      </c>
      <c r="F72" s="25">
        <v>8.43166644842997</v>
      </c>
      <c r="G72" s="25">
        <v>85.7300961913337</v>
      </c>
      <c r="H72" s="2"/>
      <c r="I72" s="25">
        <v>4.7697</v>
      </c>
      <c r="J72" s="25" cm="1">
        <f t="array" ref="J72">I72/1000</f>
        <v>0.0047697</v>
      </c>
      <c r="K72" s="2"/>
      <c r="L72" s="25" cm="1">
        <f t="array" ref="L72">D72*$J72</f>
        <v>0.546996476432614</v>
      </c>
      <c r="M72" s="25" cm="1">
        <f t="array" ref="M72">E72*$J72</f>
        <v>0.0391453238422547</v>
      </c>
      <c r="N72" s="25" cm="1">
        <f t="array" ref="N72">F72*$J72</f>
        <v>0.0402165194590764</v>
      </c>
      <c r="O72" s="25" cm="1">
        <f t="array" ref="O72">G72*$J72</f>
        <v>0.408906839803804</v>
      </c>
      <c r="P72" s="2"/>
      <c r="Q72" s="25">
        <v>0.0177999999999994</v>
      </c>
      <c r="R72" s="25">
        <v>0.010209657</v>
      </c>
      <c r="S72" s="25" cm="1">
        <f t="array" ref="S72">L72/$R72</f>
        <v>53.5763813057201</v>
      </c>
      <c r="T72" s="25" cm="1">
        <f t="array" ref="T72">M72/$R72</f>
        <v>3.83414681240072</v>
      </c>
      <c r="U72" s="25" cm="1">
        <f t="array" ref="U72">N72/$R72</f>
        <v>3.93906665611552</v>
      </c>
      <c r="V72" s="25" cm="1">
        <f t="array" ref="V72">O72/$R72</f>
        <v>40.0509870021886</v>
      </c>
      <c r="W72" s="2"/>
      <c r="X72" s="25" cm="1">
        <f t="array" ref="X72">S72-X$3-X$76</f>
        <v>42.1443614850951</v>
      </c>
      <c r="Y72" s="25" cm="1">
        <f t="array" ref="Y72">T72-Y$3-Y$76</f>
        <v>2.60076073689867</v>
      </c>
      <c r="Z72" s="25" cm="1">
        <f t="array" ref="Z72">U72-Z$3-Z$49</f>
        <v>-2.55329592464256</v>
      </c>
      <c r="AA72" s="25" cm="1">
        <f t="array" ref="AA72">V72-AA$3-AA$49</f>
        <v>42.9386247710262</v>
      </c>
      <c r="AB72" s="2"/>
      <c r="AC72" s="32" cm="1">
        <f t="array" ref="AC72">X72</f>
        <v>42.1443614850951</v>
      </c>
      <c r="AD72" s="32" cm="1">
        <f t="array" ref="AD72">Y72</f>
        <v>2.60076073689867</v>
      </c>
      <c r="AE72" s="32" cm="1">
        <f t="array" ref="AE72">Z72</f>
        <v>-2.55329592464256</v>
      </c>
      <c r="AF72" s="32" cm="1">
        <f t="array" ref="AF72">AA72</f>
        <v>42.9386247710262</v>
      </c>
    </row>
    <row r="73" ht="17" customHeight="1">
      <c r="A73" s="2"/>
      <c r="B73" t="s" s="24">
        <v>64</v>
      </c>
      <c r="C73" t="s" s="39">
        <v>132</v>
      </c>
      <c r="D73" s="25">
        <v>165.597369201847</v>
      </c>
      <c r="E73" s="25">
        <v>7.49547245558504</v>
      </c>
      <c r="F73" s="25">
        <v>14.1010802785475</v>
      </c>
      <c r="G73" s="25">
        <v>278.599517575508</v>
      </c>
      <c r="H73" s="2"/>
      <c r="I73" s="25">
        <v>4.5657</v>
      </c>
      <c r="J73" s="25" cm="1">
        <f t="array" ref="J73">I73/1000</f>
        <v>0.0045657</v>
      </c>
      <c r="K73" s="2"/>
      <c r="L73" s="25" cm="1">
        <f t="array" ref="L73">D73*$J73</f>
        <v>0.756067908564873</v>
      </c>
      <c r="M73" s="25" cm="1">
        <f t="array" ref="M73">E73*$J73</f>
        <v>0.0342220785904646</v>
      </c>
      <c r="N73" s="25" cm="1">
        <f t="array" ref="N73">F73*$J73</f>
        <v>0.06438130222776429</v>
      </c>
      <c r="O73" s="25" cm="1">
        <f t="array" ref="O73">G73*$J73</f>
        <v>1.2720018173945</v>
      </c>
      <c r="P73" s="2"/>
      <c r="Q73" s="25">
        <v>0.0172999999999988</v>
      </c>
      <c r="R73" s="25">
        <v>0.010209657</v>
      </c>
      <c r="S73" s="25" cm="1">
        <f t="array" ref="S73">L73/$R73</f>
        <v>74.0541928651347</v>
      </c>
      <c r="T73" s="25" cm="1">
        <f t="array" ref="T73">M73/$R73</f>
        <v>3.35193225300954</v>
      </c>
      <c r="U73" s="25" cm="1">
        <f t="array" ref="U73">N73/$R73</f>
        <v>6.30592215074065</v>
      </c>
      <c r="V73" s="25" cm="1">
        <f t="array" ref="V73">O73/$R73</f>
        <v>124.588104908373</v>
      </c>
      <c r="W73" s="2"/>
      <c r="X73" s="25" cm="1">
        <f t="array" ref="X73">S73-X$3-X$76</f>
        <v>62.6221730445097</v>
      </c>
      <c r="Y73" s="25" cm="1">
        <f t="array" ref="Y73">T73-Y$3-Y$76</f>
        <v>2.11854617750749</v>
      </c>
      <c r="Z73" s="25" cm="1">
        <f t="array" ref="Z73">U73-Z$3-Z$49</f>
        <v>-0.18644043001743</v>
      </c>
      <c r="AA73" s="25" cm="1">
        <f t="array" ref="AA73">V73-AA$3-AA$49</f>
        <v>127.475742677211</v>
      </c>
      <c r="AB73" s="2"/>
      <c r="AC73" s="32" cm="1">
        <f t="array" ref="AC73">X73</f>
        <v>62.6221730445097</v>
      </c>
      <c r="AD73" s="32" cm="1">
        <f t="array" ref="AD73">Y73</f>
        <v>2.11854617750749</v>
      </c>
      <c r="AE73" s="32" cm="1">
        <f t="array" ref="AE73">Z73</f>
        <v>-0.18644043001743</v>
      </c>
      <c r="AF73" s="32" cm="1">
        <f t="array" ref="AF73">AA73</f>
        <v>127.475742677211</v>
      </c>
    </row>
    <row r="74" ht="17" customHeight="1">
      <c r="A74" s="2"/>
      <c r="B74" t="s" s="24">
        <v>66</v>
      </c>
      <c r="C74" t="s" s="39">
        <v>133</v>
      </c>
      <c r="D74" s="25">
        <v>64.108722992270</v>
      </c>
      <c r="E74" s="25">
        <v>4.87199255045965</v>
      </c>
      <c r="F74" s="25">
        <v>7.34537129389037</v>
      </c>
      <c r="G74" s="25">
        <v>167.634187043050</v>
      </c>
      <c r="H74" s="2"/>
      <c r="I74" s="25">
        <v>4.8765</v>
      </c>
      <c r="J74" s="25" cm="1">
        <f t="array" ref="J74">I74/1000</f>
        <v>0.0048765</v>
      </c>
      <c r="K74" s="2"/>
      <c r="L74" s="25" cm="1">
        <f t="array" ref="L74">D74*$J74</f>
        <v>0.312626187671805</v>
      </c>
      <c r="M74" s="25" cm="1">
        <f t="array" ref="M74">E74*$J74</f>
        <v>0.0237582716723165</v>
      </c>
      <c r="N74" s="25" cm="1">
        <f t="array" ref="N74">F74*$J74</f>
        <v>0.0358197031146564</v>
      </c>
      <c r="O74" s="25" cm="1">
        <f t="array" ref="O74">G74*$J74</f>
        <v>0.817468113115433</v>
      </c>
      <c r="P74" s="2"/>
      <c r="Q74" s="25">
        <v>0.0173000000000005</v>
      </c>
      <c r="R74" s="25">
        <v>0.010209657</v>
      </c>
      <c r="S74" s="25" cm="1">
        <f t="array" ref="S74">L74/$R74</f>
        <v>30.6206357051765</v>
      </c>
      <c r="T74" s="25" cm="1">
        <f t="array" ref="T74">M74/$R74</f>
        <v>2.3270391622673</v>
      </c>
      <c r="U74" s="25" cm="1">
        <f t="array" ref="U74">N74/$R74</f>
        <v>3.50841395696804</v>
      </c>
      <c r="V74" s="25" cm="1">
        <f t="array" ref="V74">O74/$R74</f>
        <v>80.06812698168341</v>
      </c>
      <c r="W74" s="2"/>
      <c r="X74" s="25" cm="1">
        <f t="array" ref="X74">S74-X$3-X$76</f>
        <v>19.1886158845515</v>
      </c>
      <c r="Y74" s="25" cm="1">
        <f t="array" ref="Y74">T74-Y$3-Y$76</f>
        <v>1.09365308676525</v>
      </c>
      <c r="Z74" s="25" cm="1">
        <f t="array" ref="Z74">U74-Z$3-Z$49</f>
        <v>-2.98394862379004</v>
      </c>
      <c r="AA74" s="25" cm="1">
        <f t="array" ref="AA74">V74-AA$3-AA$49</f>
        <v>82.955764750521</v>
      </c>
      <c r="AB74" s="2"/>
      <c r="AC74" s="32" cm="1">
        <f t="array" ref="AC74">X74</f>
        <v>19.1886158845515</v>
      </c>
      <c r="AD74" s="32" cm="1">
        <f t="array" ref="AD74">Y74</f>
        <v>1.09365308676525</v>
      </c>
      <c r="AE74" s="32" cm="1">
        <f t="array" ref="AE74">Z74</f>
        <v>-2.98394862379004</v>
      </c>
      <c r="AF74" s="32" cm="1">
        <f t="array" ref="AF74">AA74</f>
        <v>82.955764750521</v>
      </c>
    </row>
    <row r="75" ht="17" customHeight="1">
      <c r="A75" s="2"/>
      <c r="B75" t="s" s="24">
        <v>68</v>
      </c>
      <c r="C75" t="s" s="39">
        <v>134</v>
      </c>
      <c r="D75" s="25">
        <v>14.1499092756669</v>
      </c>
      <c r="E75" s="25">
        <v>4.17826959528917</v>
      </c>
      <c r="F75" s="25">
        <v>6.34193874998479</v>
      </c>
      <c r="G75" s="25">
        <v>-7.45989600081979</v>
      </c>
      <c r="H75" s="2"/>
      <c r="I75" s="25">
        <v>4.7</v>
      </c>
      <c r="J75" s="25" cm="1">
        <f t="array" ref="J75">I75/1000</f>
        <v>0.0047</v>
      </c>
      <c r="K75" s="2"/>
      <c r="L75" s="25" cm="1">
        <f t="array" ref="L75">D75*$J75</f>
        <v>0.0665045735956344</v>
      </c>
      <c r="M75" s="25" cm="1">
        <f t="array" ref="M75">E75*$J75</f>
        <v>0.0196378670978591</v>
      </c>
      <c r="N75" s="25" cm="1">
        <f t="array" ref="N75">F75*$J75</f>
        <v>0.0298071121249285</v>
      </c>
      <c r="O75" s="25" cm="1">
        <f t="array" ref="O75">G75*$J75</f>
        <v>-0.035061511203853</v>
      </c>
      <c r="P75" s="2"/>
      <c r="Q75" s="25">
        <v>0.0174000000000003</v>
      </c>
      <c r="R75" s="25">
        <v>0.010209657</v>
      </c>
      <c r="S75" s="25" cm="1">
        <f t="array" ref="S75">L75/$R75</f>
        <v>6.51388911455443</v>
      </c>
      <c r="T75" s="25" cm="1">
        <f t="array" ref="T75">M75/$R75</f>
        <v>1.92346002396154</v>
      </c>
      <c r="U75" s="25" cm="1">
        <f t="array" ref="U75">N75/$R75</f>
        <v>2.91950181332522</v>
      </c>
      <c r="V75" s="25" cm="1">
        <f t="array" ref="V75">O75/$R75</f>
        <v>-3.43415172555288</v>
      </c>
      <c r="W75" s="2"/>
      <c r="X75" s="2"/>
      <c r="Y75" s="2"/>
      <c r="Z75" s="2"/>
      <c r="AA75" s="2"/>
      <c r="AB75" s="2"/>
      <c r="AC75" s="26"/>
      <c r="AD75" s="26"/>
      <c r="AE75" s="26"/>
      <c r="AF75" s="26"/>
    </row>
    <row r="76" ht="17" customHeight="1">
      <c r="A76" s="2"/>
      <c r="B76" t="s" s="24">
        <v>70</v>
      </c>
      <c r="C76" t="s" s="39">
        <v>135</v>
      </c>
      <c r="D76" s="25">
        <v>17.6948214328558</v>
      </c>
      <c r="E76" s="25">
        <v>0.0118922868913612</v>
      </c>
      <c r="F76" s="25">
        <v>4.25273776664476</v>
      </c>
      <c r="G76" s="25">
        <v>-4.4353480593198</v>
      </c>
      <c r="H76" s="2"/>
      <c r="I76" s="25">
        <v>4.7</v>
      </c>
      <c r="J76" s="25" cm="1">
        <f t="array" ref="J76">I76/1000</f>
        <v>0.0047</v>
      </c>
      <c r="K76" s="2"/>
      <c r="L76" s="25" cm="1">
        <f t="array" ref="L76">D76*$J76</f>
        <v>0.0831656607344223</v>
      </c>
      <c r="M76" s="25" cm="1">
        <f t="array" ref="M76">E76*$J76</f>
        <v>5.58937483893976e-05</v>
      </c>
      <c r="N76" s="25" cm="1">
        <f t="array" ref="N76">F76*$J76</f>
        <v>0.0199878675032304</v>
      </c>
      <c r="O76" s="25" cm="1">
        <f t="array" ref="O76">G76*$J76</f>
        <v>-0.0208461358788031</v>
      </c>
      <c r="P76" s="2"/>
      <c r="Q76" s="25">
        <v>0.0181999999999984</v>
      </c>
      <c r="R76" s="25">
        <v>0.010209657</v>
      </c>
      <c r="S76" s="25" cm="1">
        <f t="array" ref="S76">L76/$R76</f>
        <v>8.1457840096315</v>
      </c>
      <c r="T76" s="25" cm="1">
        <f t="array" ref="T76">M76/$R76</f>
        <v>0.00547459609949655</v>
      </c>
      <c r="U76" s="25" cm="1">
        <f t="array" ref="U76">N76/$R76</f>
        <v>1.95774133286068</v>
      </c>
      <c r="V76" s="25" cm="1">
        <f t="array" ref="V76">O76/$R76</f>
        <v>-2.04180570207237</v>
      </c>
      <c r="W76" s="2"/>
      <c r="X76" s="25" cm="1">
        <f t="array" ref="X76">AVERAGE(S75:S77)</f>
        <v>11.432019820625</v>
      </c>
      <c r="Y76" s="25" cm="1">
        <f t="array" ref="Y76">AVERAGE(T75:T77)</f>
        <v>1.23338607550205</v>
      </c>
      <c r="Z76" s="25" cm="1">
        <f t="array" ref="Z76">AVERAGE(U75:U77)</f>
        <v>2.94873588550045</v>
      </c>
      <c r="AA76" s="25" cm="1">
        <f t="array" ref="AA76">AVERAGE(V75:V77)</f>
        <v>-2.71334091940433</v>
      </c>
      <c r="AB76" s="2"/>
      <c r="AC76" s="26"/>
      <c r="AD76" s="26"/>
      <c r="AE76" s="26"/>
      <c r="AF76" s="26"/>
    </row>
    <row r="77" ht="17" customHeight="1">
      <c r="A77" s="2"/>
      <c r="B77" t="s" s="36">
        <v>72</v>
      </c>
      <c r="C77" t="s" s="39">
        <v>136</v>
      </c>
      <c r="D77" s="25">
        <v>42.6554828143176</v>
      </c>
      <c r="E77" s="25">
        <v>3.84757138129946</v>
      </c>
      <c r="F77" s="25">
        <v>8.621652403296521</v>
      </c>
      <c r="G77" s="25">
        <v>-5.78706239380688</v>
      </c>
      <c r="H77" s="2"/>
      <c r="I77" s="25">
        <v>4.7</v>
      </c>
      <c r="J77" s="25" cm="1">
        <f t="array" ref="J77">I77/1000</f>
        <v>0.0047</v>
      </c>
      <c r="K77" s="2"/>
      <c r="L77" s="25" cm="1">
        <f t="array" ref="L77">D77*$J77</f>
        <v>0.200480769227293</v>
      </c>
      <c r="M77" s="25" cm="1">
        <f t="array" ref="M77">E77*$J77</f>
        <v>0.0180835854921075</v>
      </c>
      <c r="N77" s="25" cm="1">
        <f t="array" ref="N77">F77*$J77</f>
        <v>0.0405217662954936</v>
      </c>
      <c r="O77" s="25" cm="1">
        <f t="array" ref="O77">G77*$J77</f>
        <v>-0.0271991932508923</v>
      </c>
      <c r="P77" s="2"/>
      <c r="Q77" s="25">
        <v>0.0190999999999999</v>
      </c>
      <c r="R77" s="25">
        <v>0.010209657</v>
      </c>
      <c r="S77" s="25" cm="1">
        <f t="array" ref="S77">L77/$R77</f>
        <v>19.6363863376892</v>
      </c>
      <c r="T77" s="25" cm="1">
        <f t="array" ref="T77">M77/$R77</f>
        <v>1.7712236064451</v>
      </c>
      <c r="U77" s="25" cm="1">
        <f t="array" ref="U77">N77/$R77</f>
        <v>3.96896451031544</v>
      </c>
      <c r="V77" s="25" cm="1">
        <f t="array" ref="V77">O77/$R77</f>
        <v>-2.66406533058773</v>
      </c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17" customHeight="1">
      <c r="A78" s="2"/>
      <c r="B78" t="s" s="19">
        <v>74</v>
      </c>
      <c r="C78" t="s" s="39">
        <v>137</v>
      </c>
      <c r="D78" s="25">
        <v>26.7694462099258</v>
      </c>
      <c r="E78" s="25">
        <v>31.3906274269078</v>
      </c>
      <c r="F78" s="25">
        <v>64.4850632858011</v>
      </c>
      <c r="G78" s="25">
        <v>-5.97986595918415</v>
      </c>
      <c r="H78" s="2"/>
      <c r="I78" s="25">
        <v>4.7</v>
      </c>
      <c r="J78" s="25" cm="1">
        <f t="array" ref="J78">I78/1000</f>
        <v>0.0047</v>
      </c>
      <c r="K78" s="2"/>
      <c r="L78" s="25" cm="1">
        <f t="array" ref="L78">D78*$J78</f>
        <v>0.125816397186651</v>
      </c>
      <c r="M78" s="25" cm="1">
        <f t="array" ref="M78">E78*$J78</f>
        <v>0.147535948906467</v>
      </c>
      <c r="N78" s="25" cm="1">
        <f t="array" ref="N78">F78*$J78</f>
        <v>0.303079797443265</v>
      </c>
      <c r="O78" s="25" cm="1">
        <f t="array" ref="O78">G78*$J78</f>
        <v>-0.0281053700081655</v>
      </c>
      <c r="P78" s="2"/>
      <c r="Q78" s="25">
        <v>0.0193999999999992</v>
      </c>
      <c r="R78" s="25">
        <v>0.010209657</v>
      </c>
      <c r="S78" s="25" cm="1">
        <f t="array" ref="S78">L78/$R78</f>
        <v>12.3232736600898</v>
      </c>
      <c r="T78" s="25" cm="1">
        <f t="array" ref="T78">M78/$R78</f>
        <v>14.4506273723463</v>
      </c>
      <c r="U78" s="25" cm="1">
        <f t="array" ref="U78">N78/$R78</f>
        <v>29.6856003530055</v>
      </c>
      <c r="V78" s="25" cm="1">
        <f t="array" ref="V78">O78/$R78</f>
        <v>-2.75282215731297</v>
      </c>
      <c r="W78" s="2"/>
      <c r="X78" s="25" cm="1">
        <f t="array" ref="X78">S78-X$3-X$85</f>
        <v>0.5422953873785999</v>
      </c>
      <c r="Y78" s="25" cm="1">
        <f t="array" ref="Y78">T78-Y$3-Y$85</f>
        <v>12.3073284229745</v>
      </c>
      <c r="Z78" s="25" cm="1">
        <f t="array" ref="Z78">U78-Z$3-Z$85</f>
        <v>23.7803062702909</v>
      </c>
      <c r="AA78" s="25" cm="1">
        <f t="array" ref="AA78">V78-AA$3-AA$85</f>
        <v>0.72105385029597</v>
      </c>
      <c r="AB78" s="2"/>
      <c r="AC78" s="32" cm="1">
        <f t="array" ref="AC78">X78</f>
        <v>0.5422953873785999</v>
      </c>
      <c r="AD78" s="32" cm="1">
        <f t="array" ref="AD78">Y78</f>
        <v>12.3073284229745</v>
      </c>
      <c r="AE78" s="32" cm="1">
        <f t="array" ref="AE78">Z78</f>
        <v>23.7803062702909</v>
      </c>
      <c r="AF78" s="32" cm="1">
        <f t="array" ref="AF78">AA78</f>
        <v>0.72105385029597</v>
      </c>
    </row>
    <row r="79" ht="17" customHeight="1">
      <c r="A79" s="2"/>
      <c r="B79" t="s" s="24">
        <v>76</v>
      </c>
      <c r="C79" t="s" s="39">
        <v>138</v>
      </c>
      <c r="D79" s="25">
        <v>22.7101763913273</v>
      </c>
      <c r="E79" s="25">
        <v>38.1395888060115</v>
      </c>
      <c r="F79" s="25">
        <v>61.8060569528692</v>
      </c>
      <c r="G79" s="25">
        <v>-7.34488903105803</v>
      </c>
      <c r="H79" s="2"/>
      <c r="I79" s="25">
        <v>4.7</v>
      </c>
      <c r="J79" s="25" cm="1">
        <f t="array" ref="J79">I79/1000</f>
        <v>0.0047</v>
      </c>
      <c r="K79" s="2"/>
      <c r="L79" s="25" cm="1">
        <f t="array" ref="L79">D79*$J79</f>
        <v>0.106737829039238</v>
      </c>
      <c r="M79" s="25" cm="1">
        <f t="array" ref="M79">E79*$J79</f>
        <v>0.179256067388254</v>
      </c>
      <c r="N79" s="25" cm="1">
        <f t="array" ref="N79">F79*$J79</f>
        <v>0.290488467678485</v>
      </c>
      <c r="O79" s="25" cm="1">
        <f t="array" ref="O79">G79*$J79</f>
        <v>-0.0345209784459727</v>
      </c>
      <c r="P79" s="2"/>
      <c r="Q79" s="25">
        <v>0.019499999999999</v>
      </c>
      <c r="R79" s="25">
        <v>0.010209657</v>
      </c>
      <c r="S79" s="25" cm="1">
        <f t="array" ref="S79">L79/$R79</f>
        <v>10.4545950015008</v>
      </c>
      <c r="T79" s="25" cm="1">
        <f t="array" ref="T79">M79/$R79</f>
        <v>17.557501431072</v>
      </c>
      <c r="U79" s="25" cm="1">
        <f t="array" ref="U79">N79/$R79</f>
        <v>28.4523238810555</v>
      </c>
      <c r="V79" s="25" cm="1">
        <f t="array" ref="V79">O79/$R79</f>
        <v>-3.38120844274912</v>
      </c>
      <c r="W79" s="2"/>
      <c r="X79" s="25" cm="1">
        <f t="array" ref="X79">S79-X$3-X$85</f>
        <v>-1.3263832712104</v>
      </c>
      <c r="Y79" s="25" cm="1">
        <f t="array" ref="Y79">T79-Y$3-Y$85</f>
        <v>15.4142024817002</v>
      </c>
      <c r="Z79" s="25" cm="1">
        <f t="array" ref="Z79">U79-Z$3-Z$85</f>
        <v>22.5470297983409</v>
      </c>
      <c r="AA79" s="25" cm="1">
        <f t="array" ref="AA79">V79-AA$3-AA$85</f>
        <v>0.09266756485982</v>
      </c>
      <c r="AB79" s="2"/>
      <c r="AC79" s="32" cm="1">
        <f t="array" ref="AC79">X79</f>
        <v>-1.3263832712104</v>
      </c>
      <c r="AD79" s="32" cm="1">
        <f t="array" ref="AD79">Y79</f>
        <v>15.4142024817002</v>
      </c>
      <c r="AE79" s="32" cm="1">
        <f t="array" ref="AE79">Z79</f>
        <v>22.5470297983409</v>
      </c>
      <c r="AF79" s="32" cm="1">
        <f t="array" ref="AF79">AA79</f>
        <v>0.09266756485982</v>
      </c>
    </row>
    <row r="80" ht="17" customHeight="1">
      <c r="A80" s="2"/>
      <c r="B80" t="s" s="24">
        <v>78</v>
      </c>
      <c r="C80" t="s" s="39">
        <v>139</v>
      </c>
      <c r="D80" s="25">
        <v>16.8231727923564</v>
      </c>
      <c r="E80" s="25">
        <v>21.1445564665319</v>
      </c>
      <c r="F80" s="25">
        <v>54.9110207118482</v>
      </c>
      <c r="G80" s="25">
        <v>-7.44298221020348</v>
      </c>
      <c r="H80" s="2"/>
      <c r="I80" s="25">
        <v>4.7</v>
      </c>
      <c r="J80" s="25" cm="1">
        <f t="array" ref="J80">I80/1000</f>
        <v>0.0047</v>
      </c>
      <c r="K80" s="2"/>
      <c r="L80" s="25" cm="1">
        <f t="array" ref="L80">D80*$J80</f>
        <v>0.0790689121240751</v>
      </c>
      <c r="M80" s="25" cm="1">
        <f t="array" ref="M80">E80*$J80</f>
        <v>0.0993794153926999</v>
      </c>
      <c r="N80" s="25" cm="1">
        <f t="array" ref="N80">F80*$J80</f>
        <v>0.258081797345687</v>
      </c>
      <c r="O80" s="25" cm="1">
        <f t="array" ref="O80">G80*$J80</f>
        <v>-0.0349820163879564</v>
      </c>
      <c r="P80" s="2"/>
      <c r="Q80" s="25">
        <v>0.0193999999999992</v>
      </c>
      <c r="R80" s="25">
        <v>0.010209657</v>
      </c>
      <c r="S80" s="25" cm="1">
        <f t="array" ref="S80">L80/$R80</f>
        <v>7.74452188982207</v>
      </c>
      <c r="T80" s="25" cm="1">
        <f t="array" ref="T80">M80/$R80</f>
        <v>9.7338642613263</v>
      </c>
      <c r="U80" s="25" cm="1">
        <f t="array" ref="U80">N80/$R80</f>
        <v>25.2782044828428</v>
      </c>
      <c r="V80" s="25" cm="1">
        <f t="array" ref="V80">O80/$R80</f>
        <v>-3.42636548788626</v>
      </c>
      <c r="W80" s="2"/>
      <c r="X80" s="25" cm="1">
        <f t="array" ref="X80">S80-X$3-X$85</f>
        <v>-4.03645638288913</v>
      </c>
      <c r="Y80" s="25" cm="1">
        <f t="array" ref="Y80">T80-Y$3-Y$85</f>
        <v>7.59056531195452</v>
      </c>
      <c r="Z80" s="25" cm="1">
        <f t="array" ref="Z80">U80-Z$3-Z$85</f>
        <v>19.3729104001282</v>
      </c>
      <c r="AA80" s="25" cm="1">
        <f t="array" ref="AA80">V80-AA$3-AA$85</f>
        <v>0.04751051972268</v>
      </c>
      <c r="AB80" s="2"/>
      <c r="AC80" s="32" cm="1">
        <f t="array" ref="AC80">X80</f>
        <v>-4.03645638288913</v>
      </c>
      <c r="AD80" s="32" cm="1">
        <f t="array" ref="AD80">Y80</f>
        <v>7.59056531195452</v>
      </c>
      <c r="AE80" s="32" cm="1">
        <f t="array" ref="AE80">Z80</f>
        <v>19.3729104001282</v>
      </c>
      <c r="AF80" s="32" cm="1">
        <f t="array" ref="AF80">AA80</f>
        <v>0.04751051972268</v>
      </c>
    </row>
    <row r="81" ht="17" customHeight="1">
      <c r="A81" s="2"/>
      <c r="B81" t="s" s="24">
        <v>80</v>
      </c>
      <c r="C81" t="s" s="39">
        <v>140</v>
      </c>
      <c r="D81" s="25">
        <v>25.1822628245174</v>
      </c>
      <c r="E81" s="25">
        <v>3.36109698774163</v>
      </c>
      <c r="F81" s="25">
        <v>12.9365065937297</v>
      </c>
      <c r="G81" s="25">
        <v>35.2780951102374</v>
      </c>
      <c r="H81" s="2"/>
      <c r="I81" s="25">
        <v>4.7</v>
      </c>
      <c r="J81" s="25" cm="1">
        <f t="array" ref="J81">I81/1000</f>
        <v>0.0047</v>
      </c>
      <c r="K81" s="2"/>
      <c r="L81" s="25" cm="1">
        <f t="array" ref="L81">D81*$J81</f>
        <v>0.118356635275232</v>
      </c>
      <c r="M81" s="25" cm="1">
        <f t="array" ref="M81">E81*$J81</f>
        <v>0.0157971558423857</v>
      </c>
      <c r="N81" s="25" cm="1">
        <f t="array" ref="N81">F81*$J81</f>
        <v>0.0608015809905296</v>
      </c>
      <c r="O81" s="25" cm="1">
        <f t="array" ref="O81">G81*$J81</f>
        <v>0.165807047018116</v>
      </c>
      <c r="P81" s="2"/>
      <c r="Q81" s="25">
        <v>0.0196000000000005</v>
      </c>
      <c r="R81" s="25">
        <v>0.010209657</v>
      </c>
      <c r="S81" s="25" cm="1">
        <f t="array" ref="S81">L81/$R81</f>
        <v>11.5926162137702</v>
      </c>
      <c r="T81" s="25" cm="1">
        <f t="array" ref="T81">M81/$R81</f>
        <v>1.54727586268429</v>
      </c>
      <c r="U81" s="25" cm="1">
        <f t="array" ref="U81">N81/$R81</f>
        <v>5.9553010439557</v>
      </c>
      <c r="V81" s="25" cm="1">
        <f t="array" ref="V81">O81/$R81</f>
        <v>16.240217180471</v>
      </c>
      <c r="W81" s="2"/>
      <c r="X81" s="25" cm="1">
        <f t="array" ref="X81">S81-X$3-X$85</f>
        <v>-0.188362058941</v>
      </c>
      <c r="Y81" s="25" cm="1">
        <f t="array" ref="Y81">T81-Y$3-Y$85</f>
        <v>-0.59602308668749</v>
      </c>
      <c r="Z81" s="25" cm="1">
        <f t="array" ref="Z81">U81-Z$3-Z$85</f>
        <v>0.05000696124114</v>
      </c>
      <c r="AA81" s="25" cm="1">
        <f t="array" ref="AA81">V81-AA$3-AA$85</f>
        <v>19.7140931880799</v>
      </c>
      <c r="AB81" s="2"/>
      <c r="AC81" s="32" cm="1">
        <f t="array" ref="AC81">X81</f>
        <v>-0.188362058941</v>
      </c>
      <c r="AD81" s="32" cm="1">
        <f t="array" ref="AD81">Y81</f>
        <v>-0.59602308668749</v>
      </c>
      <c r="AE81" s="32" cm="1">
        <f t="array" ref="AE81">Z81</f>
        <v>0.05000696124114</v>
      </c>
      <c r="AF81" s="32" cm="1">
        <f t="array" ref="AF81">AA81</f>
        <v>19.7140931880799</v>
      </c>
    </row>
    <row r="82" ht="17" customHeight="1">
      <c r="A82" s="2"/>
      <c r="B82" t="s" s="24">
        <v>82</v>
      </c>
      <c r="C82" t="s" s="39">
        <v>141</v>
      </c>
      <c r="D82" s="25">
        <v>16.728086949073</v>
      </c>
      <c r="E82" s="25">
        <v>2.29193835780164</v>
      </c>
      <c r="F82" s="25">
        <v>16.8488416802197</v>
      </c>
      <c r="G82" s="25">
        <v>31.8604632987086</v>
      </c>
      <c r="H82" s="2"/>
      <c r="I82" s="25">
        <v>4.7</v>
      </c>
      <c r="J82" s="25" cm="1">
        <f t="array" ref="J82">I82/1000</f>
        <v>0.0047</v>
      </c>
      <c r="K82" s="2"/>
      <c r="L82" s="25" cm="1">
        <f t="array" ref="L82">D82*$J82</f>
        <v>0.0786220086606431</v>
      </c>
      <c r="M82" s="25" cm="1">
        <f t="array" ref="M82">E82*$J82</f>
        <v>0.0107721102816677</v>
      </c>
      <c r="N82" s="25" cm="1">
        <f t="array" ref="N82">F82*$J82</f>
        <v>0.0791895558970326</v>
      </c>
      <c r="O82" s="25" cm="1">
        <f t="array" ref="O82">G82*$J82</f>
        <v>0.14974417750393</v>
      </c>
      <c r="P82" s="2"/>
      <c r="Q82" s="25">
        <v>0.0193000000000012</v>
      </c>
      <c r="R82" s="25">
        <v>0.010209657</v>
      </c>
      <c r="S82" s="25" cm="1">
        <f t="array" ref="S82">L82/$R82</f>
        <v>7.70074926715394</v>
      </c>
      <c r="T82" s="25" cm="1">
        <f t="array" ref="T82">M82/$R82</f>
        <v>1.05509032102329</v>
      </c>
      <c r="U82" s="25" cm="1">
        <f t="array" ref="U82">N82/$R82</f>
        <v>7.7563385231289</v>
      </c>
      <c r="V82" s="25" cm="1">
        <f t="array" ref="V82">O82/$R82</f>
        <v>14.6669155980392</v>
      </c>
      <c r="W82" s="2"/>
      <c r="X82" s="25" cm="1">
        <f t="array" ref="X82">S82-X$3-X$85</f>
        <v>-4.08022900555726</v>
      </c>
      <c r="Y82" s="25" cm="1">
        <f t="array" ref="Y82">T82-Y$3-Y$85</f>
        <v>-1.08820862834849</v>
      </c>
      <c r="Z82" s="25" cm="1">
        <f t="array" ref="Z82">U82-Z$3-Z$85</f>
        <v>1.85104444041434</v>
      </c>
      <c r="AA82" s="25" cm="1">
        <f t="array" ref="AA82">V82-AA$3-AA$85</f>
        <v>18.1407916056481</v>
      </c>
      <c r="AB82" s="2"/>
      <c r="AC82" s="32" cm="1">
        <f t="array" ref="AC82">X82</f>
        <v>-4.08022900555726</v>
      </c>
      <c r="AD82" s="32" cm="1">
        <f t="array" ref="AD82">Y82</f>
        <v>-1.08820862834849</v>
      </c>
      <c r="AE82" s="32" cm="1">
        <f t="array" ref="AE82">Z82</f>
        <v>1.85104444041434</v>
      </c>
      <c r="AF82" s="32" cm="1">
        <f t="array" ref="AF82">AA82</f>
        <v>18.1407916056481</v>
      </c>
    </row>
    <row r="83" ht="17" customHeight="1">
      <c r="A83" s="2"/>
      <c r="B83" t="s" s="24">
        <v>84</v>
      </c>
      <c r="C83" t="s" s="39">
        <v>142</v>
      </c>
      <c r="D83" s="25">
        <v>63.2599674053437</v>
      </c>
      <c r="E83" s="25">
        <v>2.51137789530949</v>
      </c>
      <c r="F83" s="25">
        <v>12.2286789805895</v>
      </c>
      <c r="G83" s="25">
        <v>37.2251511695673</v>
      </c>
      <c r="H83" s="2"/>
      <c r="I83" s="25">
        <v>4.7</v>
      </c>
      <c r="J83" s="25" cm="1">
        <f t="array" ref="J83">I83/1000</f>
        <v>0.0047</v>
      </c>
      <c r="K83" s="2"/>
      <c r="L83" s="25" cm="1">
        <f t="array" ref="L83">D83*$J83</f>
        <v>0.297321846805115</v>
      </c>
      <c r="M83" s="25" cm="1">
        <f t="array" ref="M83">E83*$J83</f>
        <v>0.0118034761079546</v>
      </c>
      <c r="N83" s="25" cm="1">
        <f t="array" ref="N83">F83*$J83</f>
        <v>0.0574747912087707</v>
      </c>
      <c r="O83" s="25" cm="1">
        <f t="array" ref="O83">G83*$J83</f>
        <v>0.174958210496966</v>
      </c>
      <c r="P83" s="2"/>
      <c r="Q83" s="25">
        <v>0.0197000000000003</v>
      </c>
      <c r="R83" s="25">
        <v>0.010209657</v>
      </c>
      <c r="S83" s="25" cm="1">
        <f t="array" ref="S83">L83/$R83</f>
        <v>29.1216293363347</v>
      </c>
      <c r="T83" s="25" cm="1">
        <f t="array" ref="T83">M83/$R83</f>
        <v>1.15610897682014</v>
      </c>
      <c r="U83" s="25" cm="1">
        <f t="array" ref="U83">N83/$R83</f>
        <v>5.62945368377906</v>
      </c>
      <c r="V83" s="25" cm="1">
        <f t="array" ref="V83">O83/$R83</f>
        <v>17.1365414623592</v>
      </c>
      <c r="W83" s="2"/>
      <c r="X83" s="25" cm="1">
        <f t="array" ref="X83">S83-X$3-X$85</f>
        <v>17.3406510636235</v>
      </c>
      <c r="Y83" s="25" cm="1">
        <f t="array" ref="Y83">T83-Y$3-Y$85</f>
        <v>-0.98718997255164</v>
      </c>
      <c r="Z83" s="25" cm="1">
        <f t="array" ref="Z83">U83-Z$3-Z$85</f>
        <v>-0.2758403989355</v>
      </c>
      <c r="AA83" s="25" cm="1">
        <f t="array" ref="AA83">V83-AA$3-AA$85</f>
        <v>20.6104174699681</v>
      </c>
      <c r="AB83" s="2"/>
      <c r="AC83" s="32" cm="1">
        <f t="array" ref="AC83">X83</f>
        <v>17.3406510636235</v>
      </c>
      <c r="AD83" s="32" cm="1">
        <f t="array" ref="AD83">Y83</f>
        <v>-0.98718997255164</v>
      </c>
      <c r="AE83" s="32" cm="1">
        <f t="array" ref="AE83">Z83</f>
        <v>-0.2758403989355</v>
      </c>
      <c r="AF83" s="32" cm="1">
        <f t="array" ref="AF83">AA83</f>
        <v>20.6104174699681</v>
      </c>
    </row>
    <row r="84" ht="17" customHeight="1">
      <c r="A84" s="2"/>
      <c r="B84" t="s" s="24">
        <v>86</v>
      </c>
      <c r="C84" t="s" s="39">
        <v>143</v>
      </c>
      <c r="D84" s="25">
        <v>49.6202446231435</v>
      </c>
      <c r="E84" s="25">
        <v>2.05924997722498</v>
      </c>
      <c r="F84" s="25">
        <v>13.7568944259943</v>
      </c>
      <c r="G84" s="25">
        <v>-7.54443741717351</v>
      </c>
      <c r="H84" s="2"/>
      <c r="I84" s="25">
        <v>4.7</v>
      </c>
      <c r="J84" s="25" cm="1">
        <f t="array" ref="J84">I84/1000</f>
        <v>0.0047</v>
      </c>
      <c r="K84" s="2"/>
      <c r="L84" s="25" cm="1">
        <f t="array" ref="L84">D84*$J84</f>
        <v>0.233215149728774</v>
      </c>
      <c r="M84" s="25" cm="1">
        <f t="array" ref="M84">E84*$J84</f>
        <v>0.009678474892957411</v>
      </c>
      <c r="N84" s="25" cm="1">
        <f t="array" ref="N84">F84*$J84</f>
        <v>0.06465740380217321</v>
      </c>
      <c r="O84" s="25" cm="1">
        <f t="array" ref="O84">G84*$J84</f>
        <v>-0.0354588558607155</v>
      </c>
      <c r="P84" s="2"/>
      <c r="Q84" s="25">
        <v>0.0192999999999994</v>
      </c>
      <c r="R84" s="25">
        <v>0.010209657</v>
      </c>
      <c r="S84" s="25" cm="1">
        <f t="array" ref="S84">L84/$R84</f>
        <v>22.842603794503</v>
      </c>
      <c r="T84" s="25" cm="1">
        <f t="array" ref="T84">M84/$R84</f>
        <v>0.947972580563422</v>
      </c>
      <c r="U84" s="25" cm="1">
        <f t="array" ref="U84">N84/$R84</f>
        <v>6.33296532901871</v>
      </c>
      <c r="V84" s="25" cm="1">
        <f t="array" ref="V84">O84/$R84</f>
        <v>-3.47307023739539</v>
      </c>
      <c r="W84" s="2"/>
      <c r="X84" s="2"/>
      <c r="Y84" s="2"/>
      <c r="Z84" s="2"/>
      <c r="AA84" s="2"/>
      <c r="AB84" s="2"/>
      <c r="AC84" s="26"/>
      <c r="AD84" s="26"/>
      <c r="AE84" s="26"/>
      <c r="AF84" s="26"/>
    </row>
    <row r="85" ht="17" customHeight="1">
      <c r="A85" s="2"/>
      <c r="B85" t="s" s="24">
        <v>88</v>
      </c>
      <c r="C85" t="s" s="39">
        <v>144</v>
      </c>
      <c r="D85" s="25">
        <v>12.4956439954071</v>
      </c>
      <c r="E85" s="25">
        <v>9.02676763628593</v>
      </c>
      <c r="F85" s="25">
        <v>13.5914804039963</v>
      </c>
      <c r="G85" s="25">
        <v>-7.60631937973548</v>
      </c>
      <c r="H85" s="2"/>
      <c r="I85" s="25">
        <v>4.7</v>
      </c>
      <c r="J85" s="25" cm="1">
        <f t="array" ref="J85">I85/1000</f>
        <v>0.0047</v>
      </c>
      <c r="K85" s="2"/>
      <c r="L85" s="25" cm="1">
        <f t="array" ref="L85">D85*$J85</f>
        <v>0.0587295267784134</v>
      </c>
      <c r="M85" s="25" cm="1">
        <f t="array" ref="M85">E85*$J85</f>
        <v>0.0424258078905439</v>
      </c>
      <c r="N85" s="25" cm="1">
        <f t="array" ref="N85">F85*$J85</f>
        <v>0.0638799578987826</v>
      </c>
      <c r="O85" s="25" cm="1">
        <f t="array" ref="O85">G85*$J85</f>
        <v>-0.0357497010847568</v>
      </c>
      <c r="P85" s="2"/>
      <c r="Q85" s="25">
        <v>0.0193999999999992</v>
      </c>
      <c r="R85" s="25">
        <v>0.010209657</v>
      </c>
      <c r="S85" s="25" cm="1">
        <f t="array" ref="S85">L85/$R85</f>
        <v>5.75235062043841</v>
      </c>
      <c r="T85" s="25" cm="1">
        <f t="array" ref="T85">M85/$R85</f>
        <v>4.15545868882215</v>
      </c>
      <c r="U85" s="25" cm="1">
        <f t="array" ref="U85">N85/$R85</f>
        <v>6.25681723673798</v>
      </c>
      <c r="V85" s="25" cm="1">
        <f t="array" ref="V85">O85/$R85</f>
        <v>-3.50155750430762</v>
      </c>
      <c r="W85" s="2"/>
      <c r="X85" s="25" cm="1">
        <f t="array" ref="X85">AVERAGE(S84:S86)</f>
        <v>11.7809782727112</v>
      </c>
      <c r="Y85" s="25" cm="1">
        <f t="array" ref="Y85">AVERAGE(T84:T86)</f>
        <v>2.14329894937178</v>
      </c>
      <c r="Z85" s="25" cm="1">
        <f t="array" ref="Z85">AVERAGE(U84:U86)</f>
        <v>5.90529408271456</v>
      </c>
      <c r="AA85" s="25" cm="1">
        <f t="array" ref="AA85">AVERAGE(V84:V86)</f>
        <v>-3.47387600760894</v>
      </c>
      <c r="AB85" s="2"/>
      <c r="AC85" s="26"/>
      <c r="AD85" s="26"/>
      <c r="AE85" s="26"/>
      <c r="AF85" s="26"/>
    </row>
    <row r="86" ht="17" customHeight="1">
      <c r="A86" s="2"/>
      <c r="B86" t="s" s="36">
        <v>90</v>
      </c>
      <c r="C86" t="s" s="39">
        <v>145</v>
      </c>
      <c r="D86" s="25">
        <v>14.658418161556</v>
      </c>
      <c r="E86" s="25">
        <v>2.8814379959867</v>
      </c>
      <c r="F86" s="25">
        <v>11.1352594691447</v>
      </c>
      <c r="G86" s="25">
        <v>-7.48780649982502</v>
      </c>
      <c r="H86" s="2"/>
      <c r="I86" s="25">
        <v>4.7</v>
      </c>
      <c r="J86" s="25" cm="1">
        <f t="array" ref="J86">I86/1000</f>
        <v>0.0047</v>
      </c>
      <c r="K86" s="2"/>
      <c r="L86" s="25" cm="1">
        <f t="array" ref="L86">D86*$J86</f>
        <v>0.0688945653593132</v>
      </c>
      <c r="M86" s="25" cm="1">
        <f t="array" ref="M86">E86*$J86</f>
        <v>0.0135427585811375</v>
      </c>
      <c r="N86" s="25" cm="1">
        <f t="array" ref="N86">F86*$J86</f>
        <v>0.0523357195049801</v>
      </c>
      <c r="O86" s="25" cm="1">
        <f t="array" ref="O86">G86*$J86</f>
        <v>-0.0351926905491776</v>
      </c>
      <c r="P86" s="2"/>
      <c r="Q86" s="25">
        <v>0.0193999999999992</v>
      </c>
      <c r="R86" s="25">
        <v>0.010209657</v>
      </c>
      <c r="S86" s="25" cm="1">
        <f t="array" ref="S86">L86/$R86</f>
        <v>6.74798040319212</v>
      </c>
      <c r="T86" s="25" cm="1">
        <f t="array" ref="T86">M86/$R86</f>
        <v>1.32646557872978</v>
      </c>
      <c r="U86" s="25" cm="1">
        <f t="array" ref="U86">N86/$R86</f>
        <v>5.12609968238699</v>
      </c>
      <c r="V86" s="25" cm="1">
        <f t="array" ref="V86">O86/$R86</f>
        <v>-3.4470002811238</v>
      </c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17" customHeight="1">
      <c r="A87" s="2"/>
      <c r="B87" t="s" s="19">
        <v>92</v>
      </c>
      <c r="C87" t="s" s="39">
        <v>146</v>
      </c>
      <c r="D87" s="25">
        <v>23.8086026188899</v>
      </c>
      <c r="E87" s="25">
        <v>43.454807167982</v>
      </c>
      <c r="F87" s="25">
        <v>705.834405305503</v>
      </c>
      <c r="G87" s="25">
        <v>-4.96010135571924</v>
      </c>
      <c r="H87" s="2"/>
      <c r="I87" s="25">
        <v>4.7</v>
      </c>
      <c r="J87" s="25" cm="1">
        <f t="array" ref="J87">I87/1000</f>
        <v>0.0047</v>
      </c>
      <c r="K87" s="2"/>
      <c r="L87" s="25" cm="1">
        <f t="array" ref="L87">D87*$J87</f>
        <v>0.111900432308783</v>
      </c>
      <c r="M87" s="25" cm="1">
        <f t="array" ref="M87">E87*$J87</f>
        <v>0.204237593689515</v>
      </c>
      <c r="N87" s="25" cm="1">
        <f t="array" ref="N87">F87*$J87</f>
        <v>3.31742170493586</v>
      </c>
      <c r="O87" s="25" cm="1">
        <f t="array" ref="O87">G87*$J87</f>
        <v>-0.0233124763718804</v>
      </c>
      <c r="P87" s="2"/>
      <c r="Q87" s="25">
        <v>0.0185999999999993</v>
      </c>
      <c r="R87" s="25">
        <v>0.010209657</v>
      </c>
      <c r="S87" s="25" cm="1">
        <f t="array" ref="S87">L87/$R87</f>
        <v>10.9602538370077</v>
      </c>
      <c r="T87" s="25" cm="1">
        <f t="array" ref="T87">M87/$R87</f>
        <v>20.0043540825627</v>
      </c>
      <c r="U87" s="25" cm="1">
        <f t="array" ref="U87">N87/$R87</f>
        <v>324.929789995478</v>
      </c>
      <c r="V87" s="25" cm="1">
        <f t="array" ref="V87">O87/$R87</f>
        <v>-2.28337508026767</v>
      </c>
      <c r="W87" s="2"/>
      <c r="X87" s="25" cm="1">
        <f t="array" ref="X87">S87-X$3-X$94</f>
        <v>1.79977868332943</v>
      </c>
      <c r="Y87" s="25" cm="1">
        <f t="array" ref="Y87">T87-Y$3-Y$94</f>
        <v>17.0425748601012</v>
      </c>
      <c r="Z87" s="25" cm="1">
        <f t="array" ref="Z87">U87-Z$3-Z$94</f>
        <v>319.532289089040</v>
      </c>
      <c r="AA87" s="25" cm="1">
        <f t="array" ref="AA87">V87-AA$3-AA$94</f>
        <v>1.09691674586272</v>
      </c>
      <c r="AB87" s="2"/>
      <c r="AC87" s="32" cm="1">
        <f t="array" ref="AC87">X87</f>
        <v>1.79977868332943</v>
      </c>
      <c r="AD87" s="32" cm="1">
        <f t="array" ref="AD87">Y87</f>
        <v>17.0425748601012</v>
      </c>
      <c r="AE87" s="32" cm="1">
        <f t="array" ref="AE87">Z87</f>
        <v>319.532289089040</v>
      </c>
      <c r="AF87" s="32" cm="1">
        <f t="array" ref="AF87">AA87</f>
        <v>1.09691674586272</v>
      </c>
    </row>
    <row r="88" ht="17" customHeight="1">
      <c r="A88" s="2"/>
      <c r="B88" t="s" s="24">
        <v>94</v>
      </c>
      <c r="C88" t="s" s="39">
        <v>147</v>
      </c>
      <c r="D88" s="25">
        <v>15.5931360897345</v>
      </c>
      <c r="E88" s="25">
        <v>36.0502094554744</v>
      </c>
      <c r="F88" s="25">
        <v>647.570360054651</v>
      </c>
      <c r="G88" s="25">
        <v>-6.08632972438737</v>
      </c>
      <c r="H88" s="2"/>
      <c r="I88" s="25">
        <v>4.7</v>
      </c>
      <c r="J88" s="25" cm="1">
        <f t="array" ref="J88">I88/1000</f>
        <v>0.0047</v>
      </c>
      <c r="K88" s="2"/>
      <c r="L88" s="25" cm="1">
        <f t="array" ref="L88">D88*$J88</f>
        <v>0.0732877396217522</v>
      </c>
      <c r="M88" s="25" cm="1">
        <f t="array" ref="M88">E88*$J88</f>
        <v>0.16943598444073</v>
      </c>
      <c r="N88" s="25" cm="1">
        <f t="array" ref="N88">F88*$J88</f>
        <v>3.04358069225686</v>
      </c>
      <c r="O88" s="25" cm="1">
        <f t="array" ref="O88">G88*$J88</f>
        <v>-0.0286057497046206</v>
      </c>
      <c r="P88" s="2"/>
      <c r="Q88" s="25">
        <v>0.0193000000000012</v>
      </c>
      <c r="R88" s="25">
        <v>0.010209657</v>
      </c>
      <c r="S88" s="25" cm="1">
        <f t="array" ref="S88">L88/$R88</f>
        <v>7.17827637321726</v>
      </c>
      <c r="T88" s="25" cm="1">
        <f t="array" ref="T88">M88/$R88</f>
        <v>16.5956588395408</v>
      </c>
      <c r="U88" s="25" cm="1">
        <f t="array" ref="U88">N88/$R88</f>
        <v>298.108025789393</v>
      </c>
      <c r="V88" s="25" cm="1">
        <f t="array" ref="V88">O88/$R88</f>
        <v>-2.80183258895187</v>
      </c>
      <c r="W88" s="2"/>
      <c r="X88" s="25" cm="1">
        <f t="array" ref="X88">S88-X$3-X$94</f>
        <v>-1.98219878046101</v>
      </c>
      <c r="Y88" s="25" cm="1">
        <f t="array" ref="Y88">T88-Y$3-Y$94</f>
        <v>13.6338796170793</v>
      </c>
      <c r="Z88" s="25" cm="1">
        <f t="array" ref="Z88">U88-Z$3-Z$94</f>
        <v>292.710524882955</v>
      </c>
      <c r="AA88" s="25" cm="1">
        <f t="array" ref="AA88">V88-AA$3-AA$94</f>
        <v>0.57845923717852</v>
      </c>
      <c r="AB88" s="2"/>
      <c r="AC88" s="32" cm="1">
        <f t="array" ref="AC88">X88</f>
        <v>-1.98219878046101</v>
      </c>
      <c r="AD88" s="32" cm="1">
        <f t="array" ref="AD88">Y88</f>
        <v>13.6338796170793</v>
      </c>
      <c r="AE88" s="32" cm="1">
        <f t="array" ref="AE88">Z88</f>
        <v>292.710524882955</v>
      </c>
      <c r="AF88" s="32" cm="1">
        <f t="array" ref="AF88">AA88</f>
        <v>0.57845923717852</v>
      </c>
    </row>
    <row r="89" ht="17" customHeight="1">
      <c r="A89" s="2"/>
      <c r="B89" t="s" s="24">
        <v>96</v>
      </c>
      <c r="C89" t="s" s="39">
        <v>148</v>
      </c>
      <c r="D89" s="25">
        <v>105.090872127954</v>
      </c>
      <c r="E89" s="25">
        <v>34.9519518789279</v>
      </c>
      <c r="F89" s="25">
        <v>691.972194209911</v>
      </c>
      <c r="G89" s="25">
        <v>-5.3227151365388</v>
      </c>
      <c r="H89" s="2"/>
      <c r="I89" s="25">
        <v>4.7</v>
      </c>
      <c r="J89" s="25" cm="1">
        <f t="array" ref="J89">I89/1000</f>
        <v>0.0047</v>
      </c>
      <c r="K89" s="2"/>
      <c r="L89" s="25" cm="1">
        <f t="array" ref="L89">D89*$J89</f>
        <v>0.493927099001384</v>
      </c>
      <c r="M89" s="25" cm="1">
        <f t="array" ref="M89">E89*$J89</f>
        <v>0.164274173830961</v>
      </c>
      <c r="N89" s="25" cm="1">
        <f t="array" ref="N89">F89*$J89</f>
        <v>3.25226931278658</v>
      </c>
      <c r="O89" s="25" cm="1">
        <f t="array" ref="O89">G89*$J89</f>
        <v>-0.0250167611417324</v>
      </c>
      <c r="P89" s="2"/>
      <c r="Q89" s="25">
        <v>0.0188000000000006</v>
      </c>
      <c r="R89" s="25">
        <v>0.010209657</v>
      </c>
      <c r="S89" s="25" cm="1">
        <f t="array" ref="S89">L89/$R89</f>
        <v>48.378422409429</v>
      </c>
      <c r="T89" s="25" cm="1">
        <f t="array" ref="T89">M89/$R89</f>
        <v>16.0900776422715</v>
      </c>
      <c r="U89" s="25" cm="1">
        <f t="array" ref="U89">N89/$R89</f>
        <v>318.548342298530</v>
      </c>
      <c r="V89" s="25" cm="1">
        <f t="array" ref="V89">O89/$R89</f>
        <v>-2.45030378020852</v>
      </c>
      <c r="W89" s="2"/>
      <c r="X89" s="25" cm="1">
        <f t="array" ref="X89">S89-X$3-X$94</f>
        <v>39.2179472557507</v>
      </c>
      <c r="Y89" s="25" cm="1">
        <f t="array" ref="Y89">T89-Y$3-Y$94</f>
        <v>13.128298419810</v>
      </c>
      <c r="Z89" s="25" cm="1">
        <f t="array" ref="Z89">U89-Z$3-Z$94</f>
        <v>313.150841392092</v>
      </c>
      <c r="AA89" s="25" cm="1">
        <f t="array" ref="AA89">V89-AA$3-AA$94</f>
        <v>0.92998804592187</v>
      </c>
      <c r="AB89" s="2"/>
      <c r="AC89" s="32" cm="1">
        <f t="array" ref="AC89">X89</f>
        <v>39.2179472557507</v>
      </c>
      <c r="AD89" s="32" cm="1">
        <f t="array" ref="AD89">Y89</f>
        <v>13.128298419810</v>
      </c>
      <c r="AE89" s="32" cm="1">
        <f t="array" ref="AE89">Z89</f>
        <v>313.150841392092</v>
      </c>
      <c r="AF89" s="32" cm="1">
        <f t="array" ref="AF89">AA89</f>
        <v>0.92998804592187</v>
      </c>
    </row>
    <row r="90" ht="17" customHeight="1">
      <c r="A90" s="2"/>
      <c r="B90" t="s" s="24">
        <v>98</v>
      </c>
      <c r="C90" t="s" s="39">
        <v>149</v>
      </c>
      <c r="D90" s="25">
        <v>17.0051393133724</v>
      </c>
      <c r="E90" s="25">
        <v>2.08867912900293</v>
      </c>
      <c r="F90" s="25">
        <v>3.84274053049767</v>
      </c>
      <c r="G90" s="25">
        <v>59.4745213982182</v>
      </c>
      <c r="H90" s="2"/>
      <c r="I90" s="25">
        <v>4.7</v>
      </c>
      <c r="J90" s="25" cm="1">
        <f t="array" ref="J90">I90/1000</f>
        <v>0.0047</v>
      </c>
      <c r="K90" s="2"/>
      <c r="L90" s="25" cm="1">
        <f t="array" ref="L90">D90*$J90</f>
        <v>0.07992415477285029</v>
      </c>
      <c r="M90" s="25" cm="1">
        <f t="array" ref="M90">E90*$J90</f>
        <v>0.009816791906313771</v>
      </c>
      <c r="N90" s="25" cm="1">
        <f t="array" ref="N90">F90*$J90</f>
        <v>0.018060880493339</v>
      </c>
      <c r="O90" s="25" cm="1">
        <f t="array" ref="O90">G90*$J90</f>
        <v>0.279530250571626</v>
      </c>
      <c r="P90" s="2"/>
      <c r="Q90" s="25">
        <v>0.0184999999999995</v>
      </c>
      <c r="R90" s="25">
        <v>0.010209657</v>
      </c>
      <c r="S90" s="25" cm="1">
        <f t="array" ref="S90">L90/$R90</f>
        <v>7.82828989973417</v>
      </c>
      <c r="T90" s="25" cm="1">
        <f t="array" ref="T90">M90/$R90</f>
        <v>0.961520245617827</v>
      </c>
      <c r="U90" s="25" cm="1">
        <f t="array" ref="U90">N90/$R90</f>
        <v>1.76899973165984</v>
      </c>
      <c r="V90" s="25" cm="1">
        <f t="array" ref="V90">O90/$R90</f>
        <v>27.3790050509656</v>
      </c>
      <c r="W90" s="2"/>
      <c r="X90" s="25" cm="1">
        <f t="array" ref="X90">S90-X$3-X$94</f>
        <v>-1.3321852539441</v>
      </c>
      <c r="Y90" s="25" cm="1">
        <f t="array" ref="Y90">T90-Y$3-Y$94</f>
        <v>-2.00025897684368</v>
      </c>
      <c r="Z90" s="25" cm="1">
        <f t="array" ref="Z90">U90-Z$3-Z$94</f>
        <v>-3.62850117477817</v>
      </c>
      <c r="AA90" s="25" cm="1">
        <f t="array" ref="AA90">V90-AA$3-AA$94</f>
        <v>30.759296877096</v>
      </c>
      <c r="AB90" s="2"/>
      <c r="AC90" s="32" cm="1">
        <f t="array" ref="AC90">X90</f>
        <v>-1.3321852539441</v>
      </c>
      <c r="AD90" s="32" cm="1">
        <f t="array" ref="AD90">Y90</f>
        <v>-2.00025897684368</v>
      </c>
      <c r="AE90" s="32" cm="1">
        <f t="array" ref="AE90">Z90</f>
        <v>-3.62850117477817</v>
      </c>
      <c r="AF90" s="32" cm="1">
        <f t="array" ref="AF90">AA90</f>
        <v>30.759296877096</v>
      </c>
    </row>
    <row r="91" ht="17" customHeight="1">
      <c r="A91" s="2"/>
      <c r="B91" t="s" s="24">
        <v>100</v>
      </c>
      <c r="C91" t="s" s="39">
        <v>150</v>
      </c>
      <c r="D91" s="25">
        <v>14.0898279211542</v>
      </c>
      <c r="E91" s="25">
        <v>2.74791178044629</v>
      </c>
      <c r="F91" s="25">
        <v>9.281906187477119</v>
      </c>
      <c r="G91" s="25">
        <v>51.9238555055217</v>
      </c>
      <c r="H91" s="2"/>
      <c r="I91" s="25">
        <v>4.7</v>
      </c>
      <c r="J91" s="25" cm="1">
        <f t="array" ref="J91">I91/1000</f>
        <v>0.0047</v>
      </c>
      <c r="K91" s="2"/>
      <c r="L91" s="25" cm="1">
        <f t="array" ref="L91">D91*$J91</f>
        <v>0.0662221912294247</v>
      </c>
      <c r="M91" s="25" cm="1">
        <f t="array" ref="M91">E91*$J91</f>
        <v>0.0129151853680976</v>
      </c>
      <c r="N91" s="25" cm="1">
        <f t="array" ref="N91">F91*$J91</f>
        <v>0.0436249590811425</v>
      </c>
      <c r="O91" s="25" cm="1">
        <f t="array" ref="O91">G91*$J91</f>
        <v>0.244042120875952</v>
      </c>
      <c r="P91" s="2"/>
      <c r="Q91" s="25">
        <v>0.0190999999999999</v>
      </c>
      <c r="R91" s="25">
        <v>0.010209657</v>
      </c>
      <c r="S91" s="25" cm="1">
        <f t="array" ref="S91">L91/$R91</f>
        <v>6.48623075480642</v>
      </c>
      <c r="T91" s="25" cm="1">
        <f t="array" ref="T91">M91/$R91</f>
        <v>1.2649969894285</v>
      </c>
      <c r="U91" s="25" cm="1">
        <f t="array" ref="U91">N91/$R91</f>
        <v>4.27291133102145</v>
      </c>
      <c r="V91" s="25" cm="1">
        <f t="array" ref="V91">O91/$R91</f>
        <v>23.903067544380</v>
      </c>
      <c r="W91" s="2"/>
      <c r="X91" s="25" cm="1">
        <f t="array" ref="X91">S91-X$3-X$94</f>
        <v>-2.67424439887185</v>
      </c>
      <c r="Y91" s="25" cm="1">
        <f t="array" ref="Y91">T91-Y$3-Y$94</f>
        <v>-1.69678223303301</v>
      </c>
      <c r="Z91" s="25" cm="1">
        <f t="array" ref="Z91">U91-Z$3-Z$94</f>
        <v>-1.12458957541656</v>
      </c>
      <c r="AA91" s="25" cm="1">
        <f t="array" ref="AA91">V91-AA$3-AA$94</f>
        <v>27.2833593705104</v>
      </c>
      <c r="AB91" s="2"/>
      <c r="AC91" s="32" cm="1">
        <f t="array" ref="AC91">X91</f>
        <v>-2.67424439887185</v>
      </c>
      <c r="AD91" s="32" cm="1">
        <f t="array" ref="AD91">Y91</f>
        <v>-1.69678223303301</v>
      </c>
      <c r="AE91" s="32" cm="1">
        <f t="array" ref="AE91">Z91</f>
        <v>-1.12458957541656</v>
      </c>
      <c r="AF91" s="32" cm="1">
        <f t="array" ref="AF91">AA91</f>
        <v>27.2833593705104</v>
      </c>
    </row>
    <row r="92" ht="17" customHeight="1">
      <c r="A92" s="2"/>
      <c r="B92" t="s" s="24">
        <v>102</v>
      </c>
      <c r="C92" t="s" s="39">
        <v>151</v>
      </c>
      <c r="D92" s="25">
        <v>58.5062794136546</v>
      </c>
      <c r="E92" s="25">
        <v>3.89922486436758</v>
      </c>
      <c r="F92" s="25">
        <v>7.2549053820873</v>
      </c>
      <c r="G92" s="25">
        <v>87.5741406343776</v>
      </c>
      <c r="H92" s="2"/>
      <c r="I92" s="25">
        <v>4.7</v>
      </c>
      <c r="J92" s="25" cm="1">
        <f t="array" ref="J92">I92/1000</f>
        <v>0.0047</v>
      </c>
      <c r="K92" s="2"/>
      <c r="L92" s="25" cm="1">
        <f t="array" ref="L92">D92*$J92</f>
        <v>0.274979513244177</v>
      </c>
      <c r="M92" s="25" cm="1">
        <f t="array" ref="M92">E92*$J92</f>
        <v>0.0183263568625276</v>
      </c>
      <c r="N92" s="25" cm="1">
        <f t="array" ref="N92">F92*$J92</f>
        <v>0.0340980552958103</v>
      </c>
      <c r="O92" s="25" cm="1">
        <f t="array" ref="O92">G92*$J92</f>
        <v>0.411598460981575</v>
      </c>
      <c r="P92" s="2"/>
      <c r="Q92" s="25">
        <v>0.0191999999999997</v>
      </c>
      <c r="R92" s="25">
        <v>0.010209657</v>
      </c>
      <c r="S92" s="25" cm="1">
        <f t="array" ref="S92">L92/$R92</f>
        <v>26.933276332807</v>
      </c>
      <c r="T92" s="25" cm="1">
        <f t="array" ref="T92">M92/$R92</f>
        <v>1.79500220845104</v>
      </c>
      <c r="U92" s="25" cm="1">
        <f t="array" ref="U92">N92/$R92</f>
        <v>3.33978460743689</v>
      </c>
      <c r="V92" s="25" cm="1">
        <f t="array" ref="V92">O92/$R92</f>
        <v>40.3146218312305</v>
      </c>
      <c r="W92" s="2"/>
      <c r="X92" s="25" cm="1">
        <f t="array" ref="X92">S92-X$3-X$94</f>
        <v>17.7728011791287</v>
      </c>
      <c r="Y92" s="25" cm="1">
        <f t="array" ref="Y92">T92-Y$3-Y$94</f>
        <v>-1.16677701401047</v>
      </c>
      <c r="Z92" s="25" cm="1">
        <f t="array" ref="Z92">U92-Z$3-Z$94</f>
        <v>-2.05771629900112</v>
      </c>
      <c r="AA92" s="25" cm="1">
        <f t="array" ref="AA92">V92-AA$3-AA$94</f>
        <v>43.6949136573609</v>
      </c>
      <c r="AB92" s="2"/>
      <c r="AC92" s="32" cm="1">
        <f t="array" ref="AC92">X92</f>
        <v>17.7728011791287</v>
      </c>
      <c r="AD92" s="32" cm="1">
        <f t="array" ref="AD92">Y92</f>
        <v>-1.16677701401047</v>
      </c>
      <c r="AE92" s="32" cm="1">
        <f t="array" ref="AE92">Z92</f>
        <v>-2.05771629900112</v>
      </c>
      <c r="AF92" s="32" cm="1">
        <f t="array" ref="AF92">AA92</f>
        <v>43.6949136573609</v>
      </c>
    </row>
    <row r="93" ht="17" customHeight="1">
      <c r="A93" s="2"/>
      <c r="B93" t="s" s="24">
        <v>104</v>
      </c>
      <c r="C93" t="s" s="39">
        <v>152</v>
      </c>
      <c r="D93" s="25">
        <v>26.9821169586808</v>
      </c>
      <c r="E93" s="25">
        <v>2.80763568042279</v>
      </c>
      <c r="F93" s="25">
        <v>13.3911702729685</v>
      </c>
      <c r="G93" s="25">
        <v>-7.45523824024136</v>
      </c>
      <c r="H93" s="2"/>
      <c r="I93" s="25">
        <v>4.7</v>
      </c>
      <c r="J93" s="25" cm="1">
        <f t="array" ref="J93">I93/1000</f>
        <v>0.0047</v>
      </c>
      <c r="K93" s="2"/>
      <c r="L93" s="25" cm="1">
        <f t="array" ref="L93">D93*$J93</f>
        <v>0.1268159497058</v>
      </c>
      <c r="M93" s="25" cm="1">
        <f t="array" ref="M93">E93*$J93</f>
        <v>0.0131958876979871</v>
      </c>
      <c r="N93" s="25" cm="1">
        <f t="array" ref="N93">F93*$J93</f>
        <v>0.062938500282952</v>
      </c>
      <c r="O93" s="25" cm="1">
        <f t="array" ref="O93">G93*$J93</f>
        <v>-0.0350396197291344</v>
      </c>
      <c r="P93" s="2"/>
      <c r="Q93" s="25">
        <v>0.0190999999999999</v>
      </c>
      <c r="R93" s="25">
        <v>0.010209657</v>
      </c>
      <c r="S93" s="25" cm="1">
        <f t="array" ref="S93">L93/$R93</f>
        <v>12.4211763143267</v>
      </c>
      <c r="T93" s="25" cm="1">
        <f t="array" ref="T93">M93/$R93</f>
        <v>1.29249079552693</v>
      </c>
      <c r="U93" s="25" cm="1">
        <f t="array" ref="U93">N93/$R93</f>
        <v>6.16460477398526</v>
      </c>
      <c r="V93" s="25" cm="1">
        <f t="array" ref="V93">O93/$R93</f>
        <v>-3.43200753258747</v>
      </c>
      <c r="W93" s="2"/>
      <c r="X93" s="2"/>
      <c r="Y93" s="2"/>
      <c r="Z93" s="2"/>
      <c r="AA93" s="2"/>
      <c r="AB93" s="2"/>
      <c r="AC93" s="26"/>
      <c r="AD93" s="26"/>
      <c r="AE93" s="26"/>
      <c r="AF93" s="26"/>
    </row>
    <row r="94" ht="17" customHeight="1">
      <c r="A94" s="2"/>
      <c r="B94" t="s" s="24">
        <v>106</v>
      </c>
      <c r="C94" t="s" s="39">
        <v>153</v>
      </c>
      <c r="D94" s="25">
        <v>14.2404863503198</v>
      </c>
      <c r="E94" s="25">
        <v>2.33007907357368</v>
      </c>
      <c r="F94" s="25">
        <v>9.04425340533407</v>
      </c>
      <c r="G94" s="25">
        <v>-7.32662166923794</v>
      </c>
      <c r="H94" s="2"/>
      <c r="I94" s="25">
        <v>4.7</v>
      </c>
      <c r="J94" s="25" cm="1">
        <f t="array" ref="J94">I94/1000</f>
        <v>0.0047</v>
      </c>
      <c r="K94" s="2"/>
      <c r="L94" s="25" cm="1">
        <f t="array" ref="L94">D94*$J94</f>
        <v>0.0669302858465031</v>
      </c>
      <c r="M94" s="25" cm="1">
        <f t="array" ref="M94">E94*$J94</f>
        <v>0.0109513716457963</v>
      </c>
      <c r="N94" s="25" cm="1">
        <f t="array" ref="N94">F94*$J94</f>
        <v>0.0425079910050701</v>
      </c>
      <c r="O94" s="25" cm="1">
        <f t="array" ref="O94">G94*$J94</f>
        <v>-0.0344351218454183</v>
      </c>
      <c r="P94" s="2"/>
      <c r="Q94" s="25">
        <v>0.0198</v>
      </c>
      <c r="R94" s="25">
        <v>0.010209657</v>
      </c>
      <c r="S94" s="25" cm="1">
        <f t="array" ref="S94">L94/$R94</f>
        <v>6.55558613247273</v>
      </c>
      <c r="T94" s="25" cm="1">
        <f t="array" ref="T94">M94/$R94</f>
        <v>1.07264834125145</v>
      </c>
      <c r="U94" s="25" cm="1">
        <f t="array" ref="U94">N94/$R94</f>
        <v>4.1635082358859</v>
      </c>
      <c r="V94" s="25" cm="1">
        <f t="array" ref="V94">O94/$R94</f>
        <v>-3.37279909064705</v>
      </c>
      <c r="W94" s="2"/>
      <c r="X94" s="25" cm="1">
        <f t="array" ref="X94">AVERAGE(S93:S95)</f>
        <v>9.16047515367827</v>
      </c>
      <c r="Y94" s="25" cm="1">
        <f t="array" ref="Y94">AVERAGE(T93:T95)</f>
        <v>2.96177922246151</v>
      </c>
      <c r="Z94" s="25" cm="1">
        <f t="array" ref="Z94">AVERAGE(U93:U95)</f>
        <v>5.39750090643801</v>
      </c>
      <c r="AA94" s="25" cm="1">
        <f t="array" ref="AA94">AVERAGE(V93:V95)</f>
        <v>-3.38029182613039</v>
      </c>
      <c r="AB94" s="2"/>
      <c r="AC94" s="26"/>
      <c r="AD94" s="26"/>
      <c r="AE94" s="26"/>
      <c r="AF94" s="26"/>
    </row>
    <row r="95" ht="17" customHeight="1">
      <c r="A95" s="2"/>
      <c r="B95" t="s" s="24">
        <v>108</v>
      </c>
      <c r="C95" t="s" s="39">
        <v>154</v>
      </c>
      <c r="D95" s="25">
        <v>18.4744026118999</v>
      </c>
      <c r="E95" s="25">
        <v>14.1636150147644</v>
      </c>
      <c r="F95" s="25">
        <v>12.7390228612216</v>
      </c>
      <c r="G95" s="25">
        <v>-7.24683377436854</v>
      </c>
      <c r="H95" s="2"/>
      <c r="I95" s="25">
        <v>4.7</v>
      </c>
      <c r="J95" s="25" cm="1">
        <f t="array" ref="J95">I95/1000</f>
        <v>0.0047</v>
      </c>
      <c r="K95" s="2"/>
      <c r="L95" s="25" cm="1">
        <f t="array" ref="L95">D95*$J95</f>
        <v>0.0868296922759295</v>
      </c>
      <c r="M95" s="25" cm="1">
        <f t="array" ref="M95">E95*$J95</f>
        <v>0.06656899056939269</v>
      </c>
      <c r="N95" s="25" cm="1">
        <f t="array" ref="N95">F95*$J95</f>
        <v>0.0598734074477415</v>
      </c>
      <c r="O95" s="25" cm="1">
        <f t="array" ref="O95">G95*$J95</f>
        <v>-0.0340601187395321</v>
      </c>
      <c r="P95" s="2"/>
      <c r="Q95" s="25">
        <v>0.0199999999999996</v>
      </c>
      <c r="R95" s="25">
        <v>0.010209657</v>
      </c>
      <c r="S95" s="25" cm="1">
        <f t="array" ref="S95">L95/$R95</f>
        <v>8.504663014235391</v>
      </c>
      <c r="T95" s="25" cm="1">
        <f t="array" ref="T95">M95/$R95</f>
        <v>6.52019853060614</v>
      </c>
      <c r="U95" s="25" cm="1">
        <f t="array" ref="U95">N95/$R95</f>
        <v>5.86438970944288</v>
      </c>
      <c r="V95" s="25" cm="1">
        <f t="array" ref="V95">O95/$R95</f>
        <v>-3.33606885515665</v>
      </c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17" customHeight="1">
      <c r="A96" s="2"/>
      <c r="B96" t="s" s="24">
        <v>20</v>
      </c>
      <c r="C96" t="s" s="39">
        <v>155</v>
      </c>
      <c r="D96" s="25">
        <v>122.664314120460</v>
      </c>
      <c r="E96" s="25">
        <v>69.4211889170045</v>
      </c>
      <c r="F96" s="25">
        <v>636.546497508751</v>
      </c>
      <c r="G96" s="25">
        <v>8.931332492457161</v>
      </c>
      <c r="H96" s="2"/>
      <c r="I96" s="25">
        <v>4.7</v>
      </c>
      <c r="J96" s="25" cm="1">
        <f t="array" ref="J96">I96/1000</f>
        <v>0.0047</v>
      </c>
      <c r="K96" s="2"/>
      <c r="L96" s="25" cm="1">
        <f t="array" ref="L96">D96*$J96</f>
        <v>0.576522276366162</v>
      </c>
      <c r="M96" s="25" cm="1">
        <f t="array" ref="M96">E96*$J96</f>
        <v>0.326279587909921</v>
      </c>
      <c r="N96" s="25" cm="1">
        <f t="array" ref="N96">F96*$J96</f>
        <v>2.99176853829113</v>
      </c>
      <c r="O96" s="25" cm="1">
        <f t="array" ref="O96">G96*$J96</f>
        <v>0.0419772627145487</v>
      </c>
      <c r="P96" s="2"/>
      <c r="Q96" s="25">
        <v>0.0175999999999998</v>
      </c>
      <c r="R96" s="25">
        <v>0.010209657</v>
      </c>
      <c r="S96" s="25" cm="1">
        <f t="array" ref="S96">L96/$R96</f>
        <v>56.4683295791584</v>
      </c>
      <c r="T96" s="25" cm="1">
        <f t="array" ref="T96">M96/$R96</f>
        <v>31.9579382451263</v>
      </c>
      <c r="U96" s="25" cm="1">
        <f t="array" ref="U96">N96/$R96</f>
        <v>293.033207510412</v>
      </c>
      <c r="V96" s="25" cm="1">
        <f t="array" ref="V96">O96/$R96</f>
        <v>4.11152526618168</v>
      </c>
      <c r="W96" s="2"/>
      <c r="X96" s="25" cm="1">
        <f t="array" ref="X96">S96-X$3-X$103</f>
        <v>39.2340017394053</v>
      </c>
      <c r="Y96" s="25" cm="1">
        <f t="array" ref="Y96">T96-Y$3-Y$103</f>
        <v>24.4471416725122</v>
      </c>
      <c r="Z96" s="25" cm="1">
        <f t="array" ref="Z96">U96-Z$3-Z$103</f>
        <v>239.145760950499</v>
      </c>
      <c r="AA96" s="25" cm="1">
        <f t="array" ref="AA96">V96-AA$3-AA$103</f>
        <v>7.07638114449456</v>
      </c>
      <c r="AB96" s="2"/>
      <c r="AC96" s="32" cm="1">
        <f t="array" ref="AC96">X96</f>
        <v>39.2340017394053</v>
      </c>
      <c r="AD96" s="32" cm="1">
        <f t="array" ref="AD96">Y96</f>
        <v>24.4471416725122</v>
      </c>
      <c r="AE96" s="32" cm="1">
        <f t="array" ref="AE96">Z96</f>
        <v>239.145760950499</v>
      </c>
      <c r="AF96" s="32" cm="1">
        <f t="array" ref="AF96">AA96</f>
        <v>7.07638114449456</v>
      </c>
    </row>
    <row r="97" ht="17" customHeight="1">
      <c r="A97" s="2"/>
      <c r="B97" t="s" s="24">
        <v>22</v>
      </c>
      <c r="C97" t="s" s="39">
        <v>156</v>
      </c>
      <c r="D97" s="25">
        <v>68.58807793778431</v>
      </c>
      <c r="E97" s="25">
        <v>19.5397338247463</v>
      </c>
      <c r="F97" s="25">
        <v>350.815122049599</v>
      </c>
      <c r="G97" s="25">
        <v>1.16998673503864</v>
      </c>
      <c r="H97" s="2"/>
      <c r="I97" s="25">
        <v>4.7</v>
      </c>
      <c r="J97" s="25" cm="1">
        <f t="array" ref="J97">I97/1000</f>
        <v>0.0047</v>
      </c>
      <c r="K97" s="2"/>
      <c r="L97" s="25" cm="1">
        <f t="array" ref="L97">D97*$J97</f>
        <v>0.322363966307586</v>
      </c>
      <c r="M97" s="25" cm="1">
        <f t="array" ref="M97">E97*$J97</f>
        <v>0.0918367489763076</v>
      </c>
      <c r="N97" s="25" cm="1">
        <f t="array" ref="N97">F97*$J97</f>
        <v>1.64883107363312</v>
      </c>
      <c r="O97" s="25" cm="1">
        <f t="array" ref="O97">G97*$J97</f>
        <v>0.00549893765468161</v>
      </c>
      <c r="P97" s="2"/>
      <c r="Q97" s="25">
        <v>0.0170000000000012</v>
      </c>
      <c r="R97" s="25">
        <v>0.010209657</v>
      </c>
      <c r="S97" s="25" cm="1">
        <f t="array" ref="S97">L97/$R97</f>
        <v>31.5744168788027</v>
      </c>
      <c r="T97" s="25" cm="1">
        <f t="array" ref="T97">M97/$R97</f>
        <v>8.995086610285499</v>
      </c>
      <c r="U97" s="25" cm="1">
        <f t="array" ref="U97">N97/$R97</f>
        <v>161.497205403974</v>
      </c>
      <c r="V97" s="25" cm="1">
        <f t="array" ref="V97">O97/$R97</f>
        <v>0.538601605781821</v>
      </c>
      <c r="W97" s="2"/>
      <c r="X97" s="25" cm="1">
        <f t="array" ref="X97">S97-X$3-X$103</f>
        <v>14.3400890390496</v>
      </c>
      <c r="Y97" s="25" cm="1">
        <f t="array" ref="Y97">T97-Y$3-Y$103</f>
        <v>1.4842900376714</v>
      </c>
      <c r="Z97" s="25" cm="1">
        <f t="array" ref="Z97">U97-Z$3-Z$103</f>
        <v>107.609758844061</v>
      </c>
      <c r="AA97" s="25" cm="1">
        <f t="array" ref="AA97">V97-AA$3-AA$103</f>
        <v>3.5034574840947</v>
      </c>
      <c r="AB97" s="2"/>
      <c r="AC97" s="32" cm="1">
        <f t="array" ref="AC97">X97</f>
        <v>14.3400890390496</v>
      </c>
      <c r="AD97" s="32" cm="1">
        <f t="array" ref="AD97">Y97</f>
        <v>1.4842900376714</v>
      </c>
      <c r="AE97" s="32" cm="1">
        <f t="array" ref="AE97">Z97</f>
        <v>107.609758844061</v>
      </c>
      <c r="AF97" s="32" cm="1">
        <f t="array" ref="AF97">AA97</f>
        <v>3.5034574840947</v>
      </c>
    </row>
    <row r="98" ht="17" customHeight="1">
      <c r="A98" s="2"/>
      <c r="B98" t="s" s="24">
        <v>24</v>
      </c>
      <c r="C98" t="s" s="39">
        <v>157</v>
      </c>
      <c r="D98" s="25">
        <v>21.7651546684095</v>
      </c>
      <c r="E98" s="25">
        <v>28.8830789665535</v>
      </c>
      <c r="F98" s="25">
        <v>580.874139558455</v>
      </c>
      <c r="G98" s="25">
        <v>13.1687801015741</v>
      </c>
      <c r="H98" s="2"/>
      <c r="I98" s="25">
        <v>4.7</v>
      </c>
      <c r="J98" s="25" cm="1">
        <f t="array" ref="J98">I98/1000</f>
        <v>0.0047</v>
      </c>
      <c r="K98" s="2"/>
      <c r="L98" s="25" cm="1">
        <f t="array" ref="L98">D98*$J98</f>
        <v>0.102296226941525</v>
      </c>
      <c r="M98" s="25" cm="1">
        <f t="array" ref="M98">E98*$J98</f>
        <v>0.135750471142801</v>
      </c>
      <c r="N98" s="25" cm="1">
        <f t="array" ref="N98">F98*$J98</f>
        <v>2.73010845592474</v>
      </c>
      <c r="O98" s="25" cm="1">
        <f t="array" ref="O98">G98*$J98</f>
        <v>0.0618932664773983</v>
      </c>
      <c r="P98" s="2"/>
      <c r="Q98" s="25">
        <v>0.0167999999999999</v>
      </c>
      <c r="R98" s="25">
        <v>0.010209657</v>
      </c>
      <c r="S98" s="25" cm="1">
        <f t="array" ref="S98">L98/$R98</f>
        <v>10.0195556953113</v>
      </c>
      <c r="T98" s="25" cm="1">
        <f t="array" ref="T98">M98/$R98</f>
        <v>13.2962812700565</v>
      </c>
      <c r="U98" s="25" cm="1">
        <f t="array" ref="U98">N98/$R98</f>
        <v>267.404522593143</v>
      </c>
      <c r="V98" s="25" cm="1">
        <f t="array" ref="V98">O98/$R98</f>
        <v>6.06222779838718</v>
      </c>
      <c r="W98" s="2"/>
      <c r="X98" s="25" cm="1">
        <f t="array" ref="X98">S98-X$3-X$103</f>
        <v>-7.2147721444418</v>
      </c>
      <c r="Y98" s="25" cm="1">
        <f t="array" ref="Y98">T98-Y$3-Y$103</f>
        <v>5.7854846974424</v>
      </c>
      <c r="Z98" s="25" cm="1">
        <f t="array" ref="Z98">U98-Z$3-Z$103</f>
        <v>213.517076033230</v>
      </c>
      <c r="AA98" s="25" cm="1">
        <f t="array" ref="AA98">V98-AA$3-AA$103</f>
        <v>9.027083676700061</v>
      </c>
      <c r="AB98" s="2"/>
      <c r="AC98" s="32" cm="1">
        <f t="array" ref="AC98">X98</f>
        <v>-7.2147721444418</v>
      </c>
      <c r="AD98" s="32" cm="1">
        <f t="array" ref="AD98">Y98</f>
        <v>5.7854846974424</v>
      </c>
      <c r="AE98" s="32" cm="1">
        <f t="array" ref="AE98">Z98</f>
        <v>213.517076033230</v>
      </c>
      <c r="AF98" s="32" cm="1">
        <f t="array" ref="AF98">AA98</f>
        <v>9.027083676700061</v>
      </c>
    </row>
    <row r="99" ht="17" customHeight="1">
      <c r="A99" s="2"/>
      <c r="B99" t="s" s="24">
        <v>26</v>
      </c>
      <c r="C99" t="s" s="39">
        <v>158</v>
      </c>
      <c r="D99" s="25">
        <v>568.354311925446</v>
      </c>
      <c r="E99" s="25">
        <v>26.5388028343857</v>
      </c>
      <c r="F99" s="25">
        <v>9.169323153604269</v>
      </c>
      <c r="G99" s="25">
        <v>81.8748495723229</v>
      </c>
      <c r="H99" s="2"/>
      <c r="I99" s="25">
        <v>4.7</v>
      </c>
      <c r="J99" s="25" cm="1">
        <f t="array" ref="J99">I99/1000</f>
        <v>0.0047</v>
      </c>
      <c r="K99" s="2"/>
      <c r="L99" s="25" cm="1">
        <f t="array" ref="L99">D99*$J99</f>
        <v>2.6712652660496</v>
      </c>
      <c r="M99" s="25" cm="1">
        <f t="array" ref="M99">E99*$J99</f>
        <v>0.124732373321613</v>
      </c>
      <c r="N99" s="25" cm="1">
        <f t="array" ref="N99">F99*$J99</f>
        <v>0.0430958188219401</v>
      </c>
      <c r="O99" s="25" cm="1">
        <f t="array" ref="O99">G99*$J99</f>
        <v>0.384811792989918</v>
      </c>
      <c r="P99" s="2"/>
      <c r="Q99" s="25">
        <v>0.017100000000001</v>
      </c>
      <c r="R99" s="25">
        <v>0.010209657</v>
      </c>
      <c r="S99" s="25" cm="1">
        <f t="array" ref="S99">L99/$R99</f>
        <v>261.641039072086</v>
      </c>
      <c r="T99" s="25" cm="1">
        <f t="array" ref="T99">M99/$R99</f>
        <v>12.2170973345738</v>
      </c>
      <c r="U99" s="25" cm="1">
        <f t="array" ref="U99">N99/$R99</f>
        <v>4.22108390340049</v>
      </c>
      <c r="V99" s="25" cm="1">
        <f t="array" ref="V99">O99/$R99</f>
        <v>37.6909618991038</v>
      </c>
      <c r="W99" s="2"/>
      <c r="X99" s="25" cm="1">
        <f t="array" ref="X99">S99-X$3-X$103</f>
        <v>244.406711232333</v>
      </c>
      <c r="Y99" s="25" cm="1">
        <f t="array" ref="Y99">T99-Y$3-Y$103</f>
        <v>4.7063007619597</v>
      </c>
      <c r="Z99" s="25" cm="1">
        <f t="array" ref="Z99">U99-Z$3-Z$103</f>
        <v>-49.6663626565122</v>
      </c>
      <c r="AA99" s="25" cm="1">
        <f t="array" ref="AA99">V99-AA$3-AA$103</f>
        <v>40.6558177774167</v>
      </c>
      <c r="AB99" s="2"/>
      <c r="AC99" s="32" cm="1">
        <f t="array" ref="AC99">X99</f>
        <v>244.406711232333</v>
      </c>
      <c r="AD99" s="32" cm="1">
        <f t="array" ref="AD99">Y99</f>
        <v>4.7063007619597</v>
      </c>
      <c r="AE99" s="32" cm="1">
        <f t="array" ref="AE99">Z99</f>
        <v>-49.6663626565122</v>
      </c>
      <c r="AF99" s="32" cm="1">
        <f t="array" ref="AF99">AA99</f>
        <v>40.6558177774167</v>
      </c>
    </row>
    <row r="100" ht="17" customHeight="1">
      <c r="A100" s="2"/>
      <c r="B100" t="s" s="24">
        <v>28</v>
      </c>
      <c r="C100" t="s" s="39">
        <v>159</v>
      </c>
      <c r="D100" s="25">
        <v>88.90926460223589</v>
      </c>
      <c r="E100" s="25">
        <v>10.0591899377745</v>
      </c>
      <c r="F100" s="25">
        <v>12.1284614375558</v>
      </c>
      <c r="G100" s="25">
        <v>65.7173691182974</v>
      </c>
      <c r="H100" s="2"/>
      <c r="I100" s="25">
        <v>4.7</v>
      </c>
      <c r="J100" s="25" cm="1">
        <f t="array" ref="J100">I100/1000</f>
        <v>0.0047</v>
      </c>
      <c r="K100" s="2"/>
      <c r="L100" s="25" cm="1">
        <f t="array" ref="L100">D100*$J100</f>
        <v>0.417873543630509</v>
      </c>
      <c r="M100" s="25" cm="1">
        <f t="array" ref="M100">E100*$J100</f>
        <v>0.0472781927075402</v>
      </c>
      <c r="N100" s="25" cm="1">
        <f t="array" ref="N100">F100*$J100</f>
        <v>0.0570037687565123</v>
      </c>
      <c r="O100" s="25" cm="1">
        <f t="array" ref="O100">G100*$J100</f>
        <v>0.308871634855998</v>
      </c>
      <c r="P100" s="2"/>
      <c r="Q100" s="25">
        <v>0.0167000000000002</v>
      </c>
      <c r="R100" s="25">
        <v>0.010209657</v>
      </c>
      <c r="S100" s="25" cm="1">
        <f t="array" ref="S100">L100/$R100</f>
        <v>40.9292441098177</v>
      </c>
      <c r="T100" s="25" cm="1">
        <f t="array" ref="T100">M100/$R100</f>
        <v>4.63073271781219</v>
      </c>
      <c r="U100" s="25" cm="1">
        <f t="array" ref="U100">N100/$R100</f>
        <v>5.58331869097192</v>
      </c>
      <c r="V100" s="25" cm="1">
        <f t="array" ref="V100">O100/$R100</f>
        <v>30.2528904600809</v>
      </c>
      <c r="W100" s="2"/>
      <c r="X100" s="25" cm="1">
        <f t="array" ref="X100">S100-X$3-X$103</f>
        <v>23.6949162700646</v>
      </c>
      <c r="Y100" s="25" cm="1">
        <f t="array" ref="Y100">T100-Y$3-Y$103</f>
        <v>-2.88006385480191</v>
      </c>
      <c r="Z100" s="25" cm="1">
        <f t="array" ref="Z100">U100-Z$3-Z$103</f>
        <v>-48.3041278689408</v>
      </c>
      <c r="AA100" s="25" cm="1">
        <f t="array" ref="AA100">V100-AA$3-AA$103</f>
        <v>33.2177463383938</v>
      </c>
      <c r="AB100" s="2"/>
      <c r="AC100" s="32" cm="1">
        <f t="array" ref="AC100">X100</f>
        <v>23.6949162700646</v>
      </c>
      <c r="AD100" s="32" cm="1">
        <f t="array" ref="AD100">Y100</f>
        <v>-2.88006385480191</v>
      </c>
      <c r="AE100" s="32" cm="1">
        <f t="array" ref="AE100">Z100</f>
        <v>-48.3041278689408</v>
      </c>
      <c r="AF100" s="32" cm="1">
        <f t="array" ref="AF100">AA100</f>
        <v>33.2177463383938</v>
      </c>
    </row>
    <row r="101" ht="17" customHeight="1">
      <c r="A101" s="2"/>
      <c r="B101" t="s" s="24">
        <v>30</v>
      </c>
      <c r="C101" t="s" s="39">
        <v>160</v>
      </c>
      <c r="D101" s="25">
        <v>251.986759186874</v>
      </c>
      <c r="E101" s="25">
        <v>22.5109594445294</v>
      </c>
      <c r="F101" s="25">
        <v>17.2195619331859</v>
      </c>
      <c r="G101" s="25">
        <v>113.136166981765</v>
      </c>
      <c r="H101" s="2"/>
      <c r="I101" s="25">
        <v>4.7</v>
      </c>
      <c r="J101" s="25" cm="1">
        <f t="array" ref="J101">I101/1000</f>
        <v>0.0047</v>
      </c>
      <c r="K101" s="2"/>
      <c r="L101" s="25" cm="1">
        <f t="array" ref="L101">D101*$J101</f>
        <v>1.18433776817831</v>
      </c>
      <c r="M101" s="25" cm="1">
        <f t="array" ref="M101">E101*$J101</f>
        <v>0.105801509389288</v>
      </c>
      <c r="N101" s="25" cm="1">
        <f t="array" ref="N101">F101*$J101</f>
        <v>0.08093194108597369</v>
      </c>
      <c r="O101" s="25" cm="1">
        <f t="array" ref="O101">G101*$J101</f>
        <v>0.531739984814296</v>
      </c>
      <c r="P101" s="2"/>
      <c r="Q101" s="25">
        <v>0.0170000000000012</v>
      </c>
      <c r="R101" s="25">
        <v>0.010209657</v>
      </c>
      <c r="S101" s="25" cm="1">
        <f t="array" ref="S101">L101/$R101</f>
        <v>116.001719565928</v>
      </c>
      <c r="T101" s="25" cm="1">
        <f t="array" ref="T101">M101/$R101</f>
        <v>10.362885784438</v>
      </c>
      <c r="U101" s="25" cm="1">
        <f t="array" ref="U101">N101/$R101</f>
        <v>7.92699902513607</v>
      </c>
      <c r="V101" s="25" cm="1">
        <f t="array" ref="V101">O101/$R101</f>
        <v>52.0820616024903</v>
      </c>
      <c r="W101" s="2"/>
      <c r="X101" s="25" cm="1">
        <f t="array" ref="X101">S101-X$3-X$103</f>
        <v>98.76739172617491</v>
      </c>
      <c r="Y101" s="25" cm="1">
        <f t="array" ref="Y101">T101-Y$3-Y$103</f>
        <v>2.8520892118239</v>
      </c>
      <c r="Z101" s="25" cm="1">
        <f t="array" ref="Z101">U101-Z$3-Z$103</f>
        <v>-45.9604475347766</v>
      </c>
      <c r="AA101" s="25" cm="1">
        <f t="array" ref="AA101">V101-AA$3-AA$103</f>
        <v>55.0469174808032</v>
      </c>
      <c r="AB101" s="2"/>
      <c r="AC101" s="32" cm="1">
        <f t="array" ref="AC101">X101</f>
        <v>98.76739172617491</v>
      </c>
      <c r="AD101" s="32" cm="1">
        <f t="array" ref="AD101">Y101</f>
        <v>2.8520892118239</v>
      </c>
      <c r="AE101" s="32" cm="1">
        <f t="array" ref="AE101">Z101</f>
        <v>-45.9604475347766</v>
      </c>
      <c r="AF101" s="32" cm="1">
        <f t="array" ref="AF101">AA101</f>
        <v>55.0469174808032</v>
      </c>
    </row>
    <row r="102" ht="17" customHeight="1">
      <c r="A102" s="2"/>
      <c r="B102" t="s" s="24">
        <v>32</v>
      </c>
      <c r="C102" t="s" s="39">
        <v>161</v>
      </c>
      <c r="D102" s="25">
        <v>19.116074148120</v>
      </c>
      <c r="E102" s="25">
        <v>17.2662615228011</v>
      </c>
      <c r="F102" s="25">
        <v>22.1223199496257</v>
      </c>
      <c r="G102" s="25">
        <v>-7.05347264159268</v>
      </c>
      <c r="H102" s="2"/>
      <c r="I102" s="25">
        <v>4.7</v>
      </c>
      <c r="J102" s="25" cm="1">
        <f t="array" ref="J102">I102/1000</f>
        <v>0.0047</v>
      </c>
      <c r="K102" s="2"/>
      <c r="L102" s="25" cm="1">
        <f t="array" ref="L102">D102*$J102</f>
        <v>0.089845548496164</v>
      </c>
      <c r="M102" s="25" cm="1">
        <f t="array" ref="M102">E102*$J102</f>
        <v>0.08115142915716519</v>
      </c>
      <c r="N102" s="25" cm="1">
        <f t="array" ref="N102">F102*$J102</f>
        <v>0.103974903763241</v>
      </c>
      <c r="O102" s="25" cm="1">
        <f t="array" ref="O102">G102*$J102</f>
        <v>-0.0331513214154856</v>
      </c>
      <c r="P102" s="2"/>
      <c r="Q102" s="25">
        <v>0.0174000000000003</v>
      </c>
      <c r="R102" s="25">
        <v>0.010209657</v>
      </c>
      <c r="S102" s="25" cm="1">
        <f t="array" ref="S102">L102/$R102</f>
        <v>8.800055525485719</v>
      </c>
      <c r="T102" s="25" cm="1">
        <f t="array" ref="T102">M102/$R102</f>
        <v>7.94849710986032</v>
      </c>
      <c r="U102" s="25" cm="1">
        <f t="array" ref="U102">N102/$R102</f>
        <v>10.1839761867848</v>
      </c>
      <c r="V102" s="25" cm="1">
        <f t="array" ref="V102">O102/$R102</f>
        <v>-3.24705535313141</v>
      </c>
      <c r="W102" s="2"/>
      <c r="X102" s="2"/>
      <c r="Y102" s="2"/>
      <c r="Z102" s="2"/>
      <c r="AA102" s="2"/>
      <c r="AB102" s="2"/>
      <c r="AC102" s="26"/>
      <c r="AD102" s="26"/>
      <c r="AE102" s="26"/>
      <c r="AF102" s="26"/>
    </row>
    <row r="103" ht="17" customHeight="1">
      <c r="A103" s="2"/>
      <c r="B103" t="s" s="24">
        <v>34</v>
      </c>
      <c r="C103" t="s" s="39">
        <v>162</v>
      </c>
      <c r="D103" s="25">
        <v>32.9892582521543</v>
      </c>
      <c r="E103" s="25">
        <v>7.20017075693571</v>
      </c>
      <c r="F103" s="25">
        <v>16.570038170959</v>
      </c>
      <c r="G103" s="25">
        <v>-5.35729562863214</v>
      </c>
      <c r="H103" s="2"/>
      <c r="I103" s="25">
        <v>4.7</v>
      </c>
      <c r="J103" s="25" cm="1">
        <f t="array" ref="J103">I103/1000</f>
        <v>0.0047</v>
      </c>
      <c r="K103" s="2"/>
      <c r="L103" s="25" cm="1">
        <f t="array" ref="L103">D103*$J103</f>
        <v>0.155049513785125</v>
      </c>
      <c r="M103" s="25" cm="1">
        <f t="array" ref="M103">E103*$J103</f>
        <v>0.0338408025575978</v>
      </c>
      <c r="N103" s="25" cm="1">
        <f t="array" ref="N103">F103*$J103</f>
        <v>0.0778791794035073</v>
      </c>
      <c r="O103" s="25" cm="1">
        <f t="array" ref="O103">G103*$J103</f>
        <v>-0.0251792894545711</v>
      </c>
      <c r="P103" s="2"/>
      <c r="Q103" s="25">
        <v>0.0175999999999998</v>
      </c>
      <c r="R103" s="25">
        <v>0.010209657</v>
      </c>
      <c r="S103" s="25" cm="1">
        <f t="array" ref="S103">L103/$R103</f>
        <v>15.1865546301041</v>
      </c>
      <c r="T103" s="25" cm="1">
        <f t="array" ref="T103">M103/$R103</f>
        <v>3.31458760638068</v>
      </c>
      <c r="U103" s="25" cm="1">
        <f t="array" ref="U103">N103/$R103</f>
        <v>7.62799175364141</v>
      </c>
      <c r="V103" s="25" cm="1">
        <f t="array" ref="V103">O103/$R103</f>
        <v>-2.46622285690607</v>
      </c>
      <c r="W103" s="2"/>
      <c r="X103" s="25" cm="1">
        <f t="array" ref="X103">AVERAGE(S102:S104)</f>
        <v>17.2343278397531</v>
      </c>
      <c r="Y103" s="25" cm="1">
        <f t="array" ref="Y103">AVERAGE(T102:T104)</f>
        <v>7.5107965726141</v>
      </c>
      <c r="Z103" s="25" cm="1">
        <f t="array" ref="Z103">AVERAGE(U102:U104)</f>
        <v>53.8874465599127</v>
      </c>
      <c r="AA103" s="25" cm="1">
        <f t="array" ref="AA103">AVERAGE(V102:V104)</f>
        <v>-2.96485587831288</v>
      </c>
      <c r="AB103" s="2"/>
      <c r="AC103" s="26"/>
      <c r="AD103" s="26"/>
      <c r="AE103" s="26"/>
      <c r="AF103" s="26"/>
    </row>
    <row r="104" ht="17" customHeight="1">
      <c r="A104" s="2"/>
      <c r="B104" t="s" s="24">
        <v>36</v>
      </c>
      <c r="C104" t="s" s="39">
        <v>163</v>
      </c>
      <c r="D104" s="25">
        <v>60.2073756014896</v>
      </c>
      <c r="E104" s="25">
        <v>24.4799444031348</v>
      </c>
      <c r="F104" s="25">
        <v>312.481479740610</v>
      </c>
      <c r="G104" s="25">
        <v>-6.91061145658897</v>
      </c>
      <c r="H104" s="2"/>
      <c r="I104" s="25">
        <v>4.7</v>
      </c>
      <c r="J104" s="25" cm="1">
        <f t="array" ref="J104">I104/1000</f>
        <v>0.0047</v>
      </c>
      <c r="K104" s="2"/>
      <c r="L104" s="25" cm="1">
        <f t="array" ref="L104">D104*$J104</f>
        <v>0.282974665327001</v>
      </c>
      <c r="M104" s="25" cm="1">
        <f t="array" ref="M104">E104*$J104</f>
        <v>0.115055738694734</v>
      </c>
      <c r="N104" s="25" cm="1">
        <f t="array" ref="N104">F104*$J104</f>
        <v>1.46866295478087</v>
      </c>
      <c r="O104" s="25" cm="1">
        <f t="array" ref="O104">G104*$J104</f>
        <v>-0.0324798738459682</v>
      </c>
      <c r="P104" s="2"/>
      <c r="Q104" s="25">
        <v>0.0177999999999994</v>
      </c>
      <c r="R104" s="25">
        <v>0.010209657</v>
      </c>
      <c r="S104" s="25" cm="1">
        <f t="array" ref="S104">L104/$R104</f>
        <v>27.7163733636694</v>
      </c>
      <c r="T104" s="25" cm="1">
        <f t="array" ref="T104">M104/$R104</f>
        <v>11.2693050016013</v>
      </c>
      <c r="U104" s="25" cm="1">
        <f t="array" ref="U104">N104/$R104</f>
        <v>143.850371739312</v>
      </c>
      <c r="V104" s="25" cm="1">
        <f t="array" ref="V104">O104/$R104</f>
        <v>-3.18128942490117</v>
      </c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17" customHeight="1">
      <c r="A105" s="2"/>
      <c r="B105" t="s" s="24">
        <v>38</v>
      </c>
      <c r="C105" t="s" s="39">
        <v>164</v>
      </c>
      <c r="D105" s="25">
        <v>140.950611102006</v>
      </c>
      <c r="E105" s="25">
        <v>364.753137306377</v>
      </c>
      <c r="F105" s="25">
        <v>151.092715165322</v>
      </c>
      <c r="G105" s="25">
        <v>-14.1945781281175</v>
      </c>
      <c r="H105" s="2"/>
      <c r="I105" s="25">
        <v>4.7</v>
      </c>
      <c r="J105" s="25" cm="1">
        <f t="array" ref="J105">I105/1000</f>
        <v>0.0047</v>
      </c>
      <c r="K105" s="2"/>
      <c r="L105" s="25" cm="1">
        <f t="array" ref="L105">D105*$J105</f>
        <v>0.662467872179428</v>
      </c>
      <c r="M105" s="25" cm="1">
        <f t="array" ref="M105">E105*$J105</f>
        <v>1.71433974533997</v>
      </c>
      <c r="N105" s="25" cm="1">
        <f t="array" ref="N105">F105*$J105</f>
        <v>0.7101357612770129</v>
      </c>
      <c r="O105" s="25" cm="1">
        <f t="array" ref="O105">G105*$J105</f>
        <v>-0.0667145172021523</v>
      </c>
      <c r="P105" s="2"/>
      <c r="Q105" s="25">
        <v>0.0175000000000001</v>
      </c>
      <c r="R105" s="25">
        <v>0.010209657</v>
      </c>
      <c r="S105" s="25" cm="1">
        <f t="array" ref="S105">L105/$R105</f>
        <v>64.8863984538783</v>
      </c>
      <c r="T105" s="25" cm="1">
        <f t="array" ref="T105">M105/$R105</f>
        <v>167.913549430698</v>
      </c>
      <c r="U105" s="25" cm="1">
        <f t="array" ref="U105">N105/$R105</f>
        <v>69.555300562694</v>
      </c>
      <c r="V105" s="25" cm="1">
        <f t="array" ref="V105">O105/$R105</f>
        <v>-6.53445235252784</v>
      </c>
      <c r="W105" s="2"/>
      <c r="X105" s="25" cm="1">
        <f t="array" ref="X105">S105-X$3-X$112</f>
        <v>46.7372867527113</v>
      </c>
      <c r="Y105" s="25" cm="1">
        <f t="array" ref="Y105">T105-Y$3-Y$112</f>
        <v>161.099390365682</v>
      </c>
      <c r="Z105" s="25" cm="1">
        <f t="array" ref="Z105">U105-Z$3-Z$112</f>
        <v>26.9940090985277</v>
      </c>
      <c r="AA105" s="25" cm="1">
        <f t="array" ref="AA105">V105-AA$3-AA$112</f>
        <v>-1.43720362152384</v>
      </c>
      <c r="AB105" s="2"/>
      <c r="AC105" s="32" cm="1">
        <f t="array" ref="AC105">X105</f>
        <v>46.7372867527113</v>
      </c>
      <c r="AD105" s="32" cm="1">
        <f t="array" ref="AD105">Y105</f>
        <v>161.099390365682</v>
      </c>
      <c r="AE105" s="32" cm="1">
        <f t="array" ref="AE105">Z105</f>
        <v>26.9940090985277</v>
      </c>
      <c r="AF105" s="32" cm="1">
        <f t="array" ref="AF105">AA105</f>
        <v>-1.43720362152384</v>
      </c>
    </row>
    <row r="106" ht="17" customHeight="1">
      <c r="A106" s="2"/>
      <c r="B106" t="s" s="24">
        <v>40</v>
      </c>
      <c r="C106" t="s" s="39">
        <v>165</v>
      </c>
      <c r="D106" s="25">
        <v>91.50124533778281</v>
      </c>
      <c r="E106" s="25">
        <v>332.721374082852</v>
      </c>
      <c r="F106" s="25">
        <v>167.138774606533</v>
      </c>
      <c r="G106" s="25">
        <v>-6.04154424217355</v>
      </c>
      <c r="H106" s="2"/>
      <c r="I106" s="25">
        <v>4.7</v>
      </c>
      <c r="J106" s="25" cm="1">
        <f t="array" ref="J106">I106/1000</f>
        <v>0.0047</v>
      </c>
      <c r="K106" s="2"/>
      <c r="L106" s="25" cm="1">
        <f t="array" ref="L106">D106*$J106</f>
        <v>0.430055853087579</v>
      </c>
      <c r="M106" s="25" cm="1">
        <f t="array" ref="M106">E106*$J106</f>
        <v>1.5637904581894</v>
      </c>
      <c r="N106" s="25" cm="1">
        <f t="array" ref="N106">F106*$J106</f>
        <v>0.7855522406507049</v>
      </c>
      <c r="O106" s="25" cm="1">
        <f t="array" ref="O106">G106*$J106</f>
        <v>-0.0283952579382157</v>
      </c>
      <c r="P106" s="2"/>
      <c r="Q106" s="25">
        <v>0.0176999999999996</v>
      </c>
      <c r="R106" s="25">
        <v>0.010209657</v>
      </c>
      <c r="S106" s="25" cm="1">
        <f t="array" ref="S106">L106/$R106</f>
        <v>42.1224584809832</v>
      </c>
      <c r="T106" s="25" cm="1">
        <f t="array" ref="T106">M106/$R106</f>
        <v>153.167776174009</v>
      </c>
      <c r="U106" s="25" cm="1">
        <f t="array" ref="U106">N106/$R106</f>
        <v>76.9420795087146</v>
      </c>
      <c r="V106" s="25" cm="1">
        <f t="array" ref="V106">O106/$R106</f>
        <v>-2.78121566064518</v>
      </c>
      <c r="W106" s="2"/>
      <c r="X106" s="25" cm="1">
        <f t="array" ref="X106">S106-X$3-X$112</f>
        <v>23.9733467798162</v>
      </c>
      <c r="Y106" s="25" cm="1">
        <f t="array" ref="Y106">T106-Y$3-Y$112</f>
        <v>146.353617108993</v>
      </c>
      <c r="Z106" s="25" cm="1">
        <f t="array" ref="Z106">U106-Z$3-Z$112</f>
        <v>34.3807880445483</v>
      </c>
      <c r="AA106" s="25" cm="1">
        <f t="array" ref="AA106">V106-AA$3-AA$112</f>
        <v>2.31603307035882</v>
      </c>
      <c r="AB106" s="2"/>
      <c r="AC106" s="32" cm="1">
        <f t="array" ref="AC106">X106</f>
        <v>23.9733467798162</v>
      </c>
      <c r="AD106" s="32" cm="1">
        <f t="array" ref="AD106">Y106</f>
        <v>146.353617108993</v>
      </c>
      <c r="AE106" s="32" cm="1">
        <f t="array" ref="AE106">Z106</f>
        <v>34.3807880445483</v>
      </c>
      <c r="AF106" s="32" cm="1">
        <f t="array" ref="AF106">AA106</f>
        <v>2.31603307035882</v>
      </c>
    </row>
    <row r="107" ht="17" customHeight="1">
      <c r="A107" s="2"/>
      <c r="B107" t="s" s="24">
        <v>42</v>
      </c>
      <c r="C107" t="s" s="39">
        <v>166</v>
      </c>
      <c r="D107" s="25">
        <v>259.100202744666</v>
      </c>
      <c r="E107" s="25">
        <v>772.568592327444</v>
      </c>
      <c r="F107" s="25">
        <v>449.752543769091</v>
      </c>
      <c r="G107" s="25">
        <v>-3.99607727721381</v>
      </c>
      <c r="H107" s="2"/>
      <c r="I107" s="25">
        <v>4.7</v>
      </c>
      <c r="J107" s="25" cm="1">
        <f t="array" ref="J107">I107/1000</f>
        <v>0.0047</v>
      </c>
      <c r="K107" s="2"/>
      <c r="L107" s="25" cm="1">
        <f t="array" ref="L107">D107*$J107</f>
        <v>1.21777095289993</v>
      </c>
      <c r="M107" s="25" cm="1">
        <f t="array" ref="M107">E107*$J107</f>
        <v>3.63107238393899</v>
      </c>
      <c r="N107" s="25" cm="1">
        <f t="array" ref="N107">F107*$J107</f>
        <v>2.11383695571473</v>
      </c>
      <c r="O107" s="25" cm="1">
        <f t="array" ref="O107">G107*$J107</f>
        <v>-0.0187815632029049</v>
      </c>
      <c r="P107" s="2"/>
      <c r="Q107" s="25">
        <v>0.0180000000000007</v>
      </c>
      <c r="R107" s="25">
        <v>0.010209657</v>
      </c>
      <c r="S107" s="25" cm="1">
        <f t="array" ref="S107">L107/$R107</f>
        <v>119.276382438698</v>
      </c>
      <c r="T107" s="25" cm="1">
        <f t="array" ref="T107">M107/$R107</f>
        <v>355.650771023844</v>
      </c>
      <c r="U107" s="25" cm="1">
        <f t="array" ref="U107">N107/$R107</f>
        <v>207.042896320095</v>
      </c>
      <c r="V107" s="25" cm="1">
        <f t="array" ref="V107">O107/$R107</f>
        <v>-1.83958806871817</v>
      </c>
      <c r="W107" s="2"/>
      <c r="X107" s="25" cm="1">
        <f t="array" ref="X107">S107-X$3-X$112</f>
        <v>101.127270737531</v>
      </c>
      <c r="Y107" s="25" cm="1">
        <f t="array" ref="Y107">T107-Y$3-Y$112</f>
        <v>348.836611958828</v>
      </c>
      <c r="Z107" s="25" cm="1">
        <f t="array" ref="Z107">U107-Z$3-Z$112</f>
        <v>164.481604855929</v>
      </c>
      <c r="AA107" s="25" cm="1">
        <f t="array" ref="AA107">V107-AA$3-AA$112</f>
        <v>3.25766066228583</v>
      </c>
      <c r="AB107" s="2"/>
      <c r="AC107" s="32" cm="1">
        <f t="array" ref="AC107">X107</f>
        <v>101.127270737531</v>
      </c>
      <c r="AD107" s="32" cm="1">
        <f t="array" ref="AD107">Y107</f>
        <v>348.836611958828</v>
      </c>
      <c r="AE107" s="32" cm="1">
        <f t="array" ref="AE107">Z107</f>
        <v>164.481604855929</v>
      </c>
      <c r="AF107" s="32" cm="1">
        <f t="array" ref="AF107">AA107</f>
        <v>3.25766066228583</v>
      </c>
    </row>
    <row r="108" ht="17" customHeight="1">
      <c r="A108" s="2"/>
      <c r="B108" t="s" s="24">
        <v>44</v>
      </c>
      <c r="C108" t="s" s="39">
        <v>167</v>
      </c>
      <c r="D108" s="25">
        <v>477.133745133622</v>
      </c>
      <c r="E108" s="25">
        <v>9.00877185321734</v>
      </c>
      <c r="F108" s="25">
        <v>34.267459857062</v>
      </c>
      <c r="G108" s="25">
        <v>44.4591262668816</v>
      </c>
      <c r="H108" s="2"/>
      <c r="I108" s="25">
        <v>4.7</v>
      </c>
      <c r="J108" s="25" cm="1">
        <f t="array" ref="J108">I108/1000</f>
        <v>0.0047</v>
      </c>
      <c r="K108" s="2"/>
      <c r="L108" s="25" cm="1">
        <f t="array" ref="L108">D108*$J108</f>
        <v>2.24252860212802</v>
      </c>
      <c r="M108" s="25" cm="1">
        <f t="array" ref="M108">E108*$J108</f>
        <v>0.0423412277101215</v>
      </c>
      <c r="N108" s="25" cm="1">
        <f t="array" ref="N108">F108*$J108</f>
        <v>0.161057061328191</v>
      </c>
      <c r="O108" s="25" cm="1">
        <f t="array" ref="O108">G108*$J108</f>
        <v>0.208957893454344</v>
      </c>
      <c r="P108" s="2"/>
      <c r="Q108" s="25">
        <v>0.0172000000000008</v>
      </c>
      <c r="R108" s="25">
        <v>0.010209657</v>
      </c>
      <c r="S108" s="25" cm="1">
        <f t="array" ref="S108">L108/$R108</f>
        <v>219.647790530869</v>
      </c>
      <c r="T108" s="25" cm="1">
        <f t="array" ref="T108">M108/$R108</f>
        <v>4.14717435758336</v>
      </c>
      <c r="U108" s="25" cm="1">
        <f t="array" ref="U108">N108/$R108</f>
        <v>15.7749727858821</v>
      </c>
      <c r="V108" s="25" cm="1">
        <f t="array" ref="V108">O108/$R108</f>
        <v>20.4666908451816</v>
      </c>
      <c r="W108" s="2"/>
      <c r="X108" s="25" cm="1">
        <f t="array" ref="X108">S108-X$3-X$112</f>
        <v>201.498678829702</v>
      </c>
      <c r="Y108" s="25" cm="1">
        <f t="array" ref="Y108">T108-Y$3-Y$112</f>
        <v>-2.66698470743268</v>
      </c>
      <c r="Z108" s="25" cm="1">
        <f t="array" ref="Z108">U108-Z$3-Z$112</f>
        <v>-26.7863186782842</v>
      </c>
      <c r="AA108" s="25" cm="1">
        <f t="array" ref="AA108">V108-AA$3-AA$112</f>
        <v>25.5639395761856</v>
      </c>
      <c r="AB108" s="2"/>
      <c r="AC108" s="32" cm="1">
        <f t="array" ref="AC108">X108</f>
        <v>201.498678829702</v>
      </c>
      <c r="AD108" s="32" cm="1">
        <f t="array" ref="AD108">Y108</f>
        <v>-2.66698470743268</v>
      </c>
      <c r="AE108" s="32" cm="1">
        <f t="array" ref="AE108">Z108</f>
        <v>-26.7863186782842</v>
      </c>
      <c r="AF108" s="32" cm="1">
        <f t="array" ref="AF108">AA108</f>
        <v>25.5639395761856</v>
      </c>
    </row>
    <row r="109" ht="17" customHeight="1">
      <c r="A109" s="2"/>
      <c r="B109" t="s" s="24">
        <v>46</v>
      </c>
      <c r="C109" t="s" s="39">
        <v>168</v>
      </c>
      <c r="D109" s="25">
        <v>148.067551530201</v>
      </c>
      <c r="E109" s="25">
        <v>41.5329397197403</v>
      </c>
      <c r="F109" s="25">
        <v>93.859942031744</v>
      </c>
      <c r="G109" s="25">
        <v>242.995270398024</v>
      </c>
      <c r="H109" s="2"/>
      <c r="I109" s="25">
        <v>4.7</v>
      </c>
      <c r="J109" s="25" cm="1">
        <f t="array" ref="J109">I109/1000</f>
        <v>0.0047</v>
      </c>
      <c r="K109" s="2"/>
      <c r="L109" s="25" cm="1">
        <f t="array" ref="L109">D109*$J109</f>
        <v>0.695917492191945</v>
      </c>
      <c r="M109" s="25" cm="1">
        <f t="array" ref="M109">E109*$J109</f>
        <v>0.195204816682779</v>
      </c>
      <c r="N109" s="25" cm="1">
        <f t="array" ref="N109">F109*$J109</f>
        <v>0.441141727549197</v>
      </c>
      <c r="O109" s="25" cm="1">
        <f t="array" ref="O109">G109*$J109</f>
        <v>1.14207777087071</v>
      </c>
      <c r="P109" s="2"/>
      <c r="Q109" s="25">
        <v>0.0173000000000005</v>
      </c>
      <c r="R109" s="25">
        <v>0.010209657</v>
      </c>
      <c r="S109" s="25" cm="1">
        <f t="array" ref="S109">L109/$R109</f>
        <v>68.1626711055959</v>
      </c>
      <c r="T109" s="25" cm="1">
        <f t="array" ref="T109">M109/$R109</f>
        <v>19.1196253393017</v>
      </c>
      <c r="U109" s="25" cm="1">
        <f t="array" ref="U109">N109/$R109</f>
        <v>43.2082809000534</v>
      </c>
      <c r="V109" s="25" cm="1">
        <f t="array" ref="V109">O109/$R109</f>
        <v>111.862501440617</v>
      </c>
      <c r="W109" s="2"/>
      <c r="X109" s="25" cm="1">
        <f t="array" ref="X109">S109-X$3-X$112</f>
        <v>50.0135594044289</v>
      </c>
      <c r="Y109" s="25" cm="1">
        <f t="array" ref="Y109">T109-Y$3-Y$112</f>
        <v>12.3054662742857</v>
      </c>
      <c r="Z109" s="25" cm="1">
        <f t="array" ref="Z109">U109-Z$3-Z$112</f>
        <v>0.6469894358871</v>
      </c>
      <c r="AA109" s="25" cm="1">
        <f t="array" ref="AA109">V109-AA$3-AA$112</f>
        <v>116.959750171621</v>
      </c>
      <c r="AB109" s="2"/>
      <c r="AC109" s="32" cm="1">
        <f t="array" ref="AC109">X109</f>
        <v>50.0135594044289</v>
      </c>
      <c r="AD109" s="32" cm="1">
        <f t="array" ref="AD109">Y109</f>
        <v>12.3054662742857</v>
      </c>
      <c r="AE109" s="32" cm="1">
        <f t="array" ref="AE109">Z109</f>
        <v>0.6469894358871</v>
      </c>
      <c r="AF109" s="32" cm="1">
        <f t="array" ref="AF109">AA109</f>
        <v>116.959750171621</v>
      </c>
    </row>
    <row r="110" ht="17" customHeight="1">
      <c r="A110" s="2"/>
      <c r="B110" t="s" s="24">
        <v>48</v>
      </c>
      <c r="C110" t="s" s="39">
        <v>169</v>
      </c>
      <c r="D110" s="25">
        <v>166.202389588867</v>
      </c>
      <c r="E110" s="25">
        <v>13.0919469840279</v>
      </c>
      <c r="F110" s="25">
        <v>39.029122775662</v>
      </c>
      <c r="G110" s="25">
        <v>32.4354273709677</v>
      </c>
      <c r="H110" s="2"/>
      <c r="I110" s="25">
        <v>4.7</v>
      </c>
      <c r="J110" s="25" cm="1">
        <f t="array" ref="J110">I110/1000</f>
        <v>0.0047</v>
      </c>
      <c r="K110" s="2"/>
      <c r="L110" s="25" cm="1">
        <f t="array" ref="L110">D110*$J110</f>
        <v>0.781151231067675</v>
      </c>
      <c r="M110" s="25" cm="1">
        <f t="array" ref="M110">E110*$J110</f>
        <v>0.0615321508249311</v>
      </c>
      <c r="N110" s="25" cm="1">
        <f t="array" ref="N110">F110*$J110</f>
        <v>0.183436877045611</v>
      </c>
      <c r="O110" s="25" cm="1">
        <f t="array" ref="O110">G110*$J110</f>
        <v>0.152446508643548</v>
      </c>
      <c r="P110" s="2"/>
      <c r="Q110" s="25">
        <v>0.0180000000000007</v>
      </c>
      <c r="R110" s="25">
        <v>0.010209657</v>
      </c>
      <c r="S110" s="25" cm="1">
        <f t="array" ref="S110">L110/$R110</f>
        <v>76.51101609659121</v>
      </c>
      <c r="T110" s="25" cm="1">
        <f t="array" ref="T110">M110/$R110</f>
        <v>6.02685779012273</v>
      </c>
      <c r="U110" s="25" cm="1">
        <f t="array" ref="U110">N110/$R110</f>
        <v>17.966997034828</v>
      </c>
      <c r="V110" s="25" cm="1">
        <f t="array" ref="V110">O110/$R110</f>
        <v>14.9315994301814</v>
      </c>
      <c r="W110" s="2"/>
      <c r="X110" s="25" cm="1">
        <f t="array" ref="X110">S110-X$3-X$112</f>
        <v>58.3619043954242</v>
      </c>
      <c r="Y110" s="25" cm="1">
        <f t="array" ref="Y110">T110-Y$3-Y$112</f>
        <v>-0.78730127489331</v>
      </c>
      <c r="Z110" s="25" cm="1">
        <f t="array" ref="Z110">U110-Z$3-Z$112</f>
        <v>-24.5942944293383</v>
      </c>
      <c r="AA110" s="25" cm="1">
        <f t="array" ref="AA110">V110-AA$3-AA$112</f>
        <v>20.0288481611854</v>
      </c>
      <c r="AB110" s="2"/>
      <c r="AC110" s="32" cm="1">
        <f t="array" ref="AC110">X110</f>
        <v>58.3619043954242</v>
      </c>
      <c r="AD110" s="32" cm="1">
        <f t="array" ref="AD110">Y110</f>
        <v>-0.78730127489331</v>
      </c>
      <c r="AE110" s="32" cm="1">
        <f t="array" ref="AE110">Z110</f>
        <v>-24.5942944293383</v>
      </c>
      <c r="AF110" s="32" cm="1">
        <f t="array" ref="AF110">AA110</f>
        <v>20.0288481611854</v>
      </c>
    </row>
    <row r="111" ht="17" customHeight="1">
      <c r="A111" s="2"/>
      <c r="B111" t="s" s="24">
        <v>50</v>
      </c>
      <c r="C111" t="s" s="39">
        <v>170</v>
      </c>
      <c r="D111" s="25">
        <v>37.9003215177482</v>
      </c>
      <c r="E111" s="25">
        <v>16.2953778251373</v>
      </c>
      <c r="F111" s="25">
        <v>187.774276263383</v>
      </c>
      <c r="G111" s="25">
        <v>-17.8752392785923</v>
      </c>
      <c r="H111" s="2"/>
      <c r="I111" s="25">
        <v>4.7</v>
      </c>
      <c r="J111" s="25" cm="1">
        <f t="array" ref="J111">I111/1000</f>
        <v>0.0047</v>
      </c>
      <c r="K111" s="2"/>
      <c r="L111" s="25" cm="1">
        <f t="array" ref="L111">D111*$J111</f>
        <v>0.178131511133417</v>
      </c>
      <c r="M111" s="25" cm="1">
        <f t="array" ref="M111">E111*$J111</f>
        <v>0.0765882757781453</v>
      </c>
      <c r="N111" s="25" cm="1">
        <f t="array" ref="N111">F111*$J111</f>
        <v>0.8825390984379</v>
      </c>
      <c r="O111" s="25" cm="1">
        <f t="array" ref="O111">G111*$J111</f>
        <v>-0.0840136246093838</v>
      </c>
      <c r="P111" s="2"/>
      <c r="Q111" s="25">
        <v>0.0181000000000004</v>
      </c>
      <c r="R111" s="25">
        <v>0.010209657</v>
      </c>
      <c r="S111" s="25" cm="1">
        <f t="array" ref="S111">L111/$R111</f>
        <v>17.4473551005109</v>
      </c>
      <c r="T111" s="25" cm="1">
        <f t="array" ref="T111">M111/$R111</f>
        <v>7.50155228311248</v>
      </c>
      <c r="U111" s="25" cm="1">
        <f t="array" ref="U111">N111/$R111</f>
        <v>86.4416011662194</v>
      </c>
      <c r="V111" s="25" cm="1">
        <f t="array" ref="V111">O111/$R111</f>
        <v>-8.228839089245</v>
      </c>
      <c r="W111" s="2"/>
      <c r="X111" s="2"/>
      <c r="Y111" s="2"/>
      <c r="Z111" s="2"/>
      <c r="AA111" s="2"/>
      <c r="AB111" s="2"/>
      <c r="AC111" s="26"/>
      <c r="AD111" s="26"/>
      <c r="AE111" s="26"/>
      <c r="AF111" s="26"/>
    </row>
    <row r="112" ht="17" customHeight="1">
      <c r="A112" s="2"/>
      <c r="B112" t="s" s="24">
        <v>52</v>
      </c>
      <c r="C112" t="s" s="39">
        <v>171</v>
      </c>
      <c r="D112" s="25">
        <v>52.5083430425637</v>
      </c>
      <c r="E112" s="25">
        <v>15.2068510346259</v>
      </c>
      <c r="F112" s="25">
        <v>47.9168255093203</v>
      </c>
      <c r="G112" s="25">
        <v>-7.6324424545504</v>
      </c>
      <c r="H112" s="2"/>
      <c r="I112" s="25">
        <v>4.7</v>
      </c>
      <c r="J112" s="25" cm="1">
        <f t="array" ref="J112">I112/1000</f>
        <v>0.0047</v>
      </c>
      <c r="K112" s="2"/>
      <c r="L112" s="25" cm="1">
        <f t="array" ref="L112">D112*$J112</f>
        <v>0.246789212300049</v>
      </c>
      <c r="M112" s="25" cm="1">
        <f t="array" ref="M112">E112*$J112</f>
        <v>0.0714721998627417</v>
      </c>
      <c r="N112" s="25" cm="1">
        <f t="array" ref="N112">F112*$J112</f>
        <v>0.225209079893805</v>
      </c>
      <c r="O112" s="25" cm="1">
        <f t="array" ref="O112">G112*$J112</f>
        <v>-0.0358724795363869</v>
      </c>
      <c r="P112" s="2"/>
      <c r="Q112" s="25">
        <v>0.0183999999999997</v>
      </c>
      <c r="R112" s="25">
        <v>0.010209657</v>
      </c>
      <c r="S112" s="25" cm="1">
        <f t="array" ref="S112">L112/$R112</f>
        <v>24.1721354889835</v>
      </c>
      <c r="T112" s="25" cm="1">
        <f t="array" ref="T112">M112/$R112</f>
        <v>7.00045063832621</v>
      </c>
      <c r="U112" s="25" cm="1">
        <f t="array" ref="U112">N112/$R112</f>
        <v>22.0584374082112</v>
      </c>
      <c r="V112" s="25" cm="1">
        <f t="array" ref="V112">O112/$R112</f>
        <v>-3.51358322188364</v>
      </c>
      <c r="W112" s="2"/>
      <c r="X112" s="25" cm="1">
        <f t="array" ref="X112">AVERAGE(S111:S113)</f>
        <v>18.149111701167</v>
      </c>
      <c r="Y112" s="25" cm="1">
        <f t="array" ref="Y112">AVERAGE(T111:T113)</f>
        <v>6.81415906501604</v>
      </c>
      <c r="Z112" s="25" cm="1">
        <f t="array" ref="Z112">AVERAGE(U111:U113)</f>
        <v>42.5612914641663</v>
      </c>
      <c r="AA112" s="25" cm="1">
        <f t="array" ref="AA112">AVERAGE(V111:V113)</f>
        <v>-5.097248731004</v>
      </c>
      <c r="AB112" s="2"/>
      <c r="AC112" s="26"/>
      <c r="AD112" s="26"/>
      <c r="AE112" s="26"/>
      <c r="AF112" s="26"/>
    </row>
    <row r="113" ht="17" customHeight="1">
      <c r="A113" s="2"/>
      <c r="B113" t="s" s="24">
        <v>54</v>
      </c>
      <c r="C113" t="s" s="39">
        <v>172</v>
      </c>
      <c r="D113" s="25">
        <v>27.8655090504976</v>
      </c>
      <c r="E113" s="25">
        <v>12.9042988831652</v>
      </c>
      <c r="F113" s="25">
        <v>41.6724220525091</v>
      </c>
      <c r="G113" s="25">
        <v>-7.71008072679524</v>
      </c>
      <c r="H113" s="2"/>
      <c r="I113" s="25">
        <v>4.7</v>
      </c>
      <c r="J113" s="25" cm="1">
        <f t="array" ref="J113">I113/1000</f>
        <v>0.0047</v>
      </c>
      <c r="K113" s="2"/>
      <c r="L113" s="25" cm="1">
        <f t="array" ref="L113">D113*$J113</f>
        <v>0.130967892537339</v>
      </c>
      <c r="M113" s="25" cm="1">
        <f t="array" ref="M113">E113*$J113</f>
        <v>0.0606502047508764</v>
      </c>
      <c r="N113" s="25" cm="1">
        <f t="array" ref="N113">F113*$J113</f>
        <v>0.195860383646793</v>
      </c>
      <c r="O113" s="25" cm="1">
        <f t="array" ref="O113">G113*$J113</f>
        <v>-0.0362373794159376</v>
      </c>
      <c r="P113" s="2"/>
      <c r="Q113" s="25">
        <v>0.0181000000000004</v>
      </c>
      <c r="R113" s="25">
        <v>0.010209657</v>
      </c>
      <c r="S113" s="25" cm="1">
        <f t="array" ref="S113">L113/$R113</f>
        <v>12.8278445140066</v>
      </c>
      <c r="T113" s="25" cm="1">
        <f t="array" ref="T113">M113/$R113</f>
        <v>5.94047427360943</v>
      </c>
      <c r="U113" s="25" cm="1">
        <f t="array" ref="U113">N113/$R113</f>
        <v>19.1838358180684</v>
      </c>
      <c r="V113" s="25" cm="1">
        <f t="array" ref="V113">O113/$R113</f>
        <v>-3.54932388188336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17" customHeight="1">
      <c r="A114" s="2"/>
      <c r="B114" t="s" s="24">
        <v>56</v>
      </c>
      <c r="C114" t="s" s="39">
        <v>173</v>
      </c>
      <c r="D114" s="25">
        <v>1746.664531494070</v>
      </c>
      <c r="E114" s="25">
        <v>30074.9491783476</v>
      </c>
      <c r="F114" s="25">
        <v>11523.2732243753</v>
      </c>
      <c r="G114" s="25">
        <v>-7.1498952552909</v>
      </c>
      <c r="H114" s="2"/>
      <c r="I114" s="25">
        <v>4.7</v>
      </c>
      <c r="J114" s="25" cm="1">
        <f t="array" ref="J114">I114/1000</f>
        <v>0.0047</v>
      </c>
      <c r="K114" s="2"/>
      <c r="L114" s="25" cm="1">
        <f t="array" ref="L114">D114*$J114</f>
        <v>8.209323298022129</v>
      </c>
      <c r="M114" s="25" cm="1">
        <f t="array" ref="M114">E114*$J114</f>
        <v>141.352261138234</v>
      </c>
      <c r="N114" s="25" cm="1">
        <f t="array" ref="N114">F114*$J114</f>
        <v>54.1593841545639</v>
      </c>
      <c r="O114" s="25" cm="1">
        <f t="array" ref="O114">G114*$J114</f>
        <v>-0.0336045076998672</v>
      </c>
      <c r="P114" s="2"/>
      <c r="Q114" s="25">
        <v>0.0181000000000004</v>
      </c>
      <c r="R114" s="25">
        <v>0.010209657</v>
      </c>
      <c r="S114" s="25" cm="1">
        <f t="array" ref="S114">L114/$R114</f>
        <v>804.074348239332</v>
      </c>
      <c r="T114" s="25" cm="1">
        <f t="array" ref="T114">M114/$R114</f>
        <v>13844.9569009257</v>
      </c>
      <c r="U114" s="25" cm="1">
        <f t="array" ref="U114">N114/$R114</f>
        <v>5304.7212217378</v>
      </c>
      <c r="V114" s="25" cm="1">
        <f t="array" ref="V114">O114/$R114</f>
        <v>-3.29144335601746</v>
      </c>
      <c r="W114" s="2"/>
      <c r="X114" s="25" cm="1">
        <f t="array" ref="X114">S114-X$3-X$121</f>
        <v>795.830907336750</v>
      </c>
      <c r="Y114" s="25" cm="1">
        <f t="array" ref="Y114">T114-Y$3-Y$121</f>
        <v>13842.5820340756</v>
      </c>
      <c r="Z114" s="25" cm="1">
        <f t="array" ref="Z114">U114-Z$3-Z$121</f>
        <v>5292.182060385060</v>
      </c>
      <c r="AA114" s="25" cm="1">
        <f t="array" ref="AA114">V114-AA$3-AA$121</f>
        <v>1.84418604328106</v>
      </c>
      <c r="AB114" s="2"/>
      <c r="AC114" s="32" cm="1">
        <f t="array" ref="AC114">X114</f>
        <v>795.830907336750</v>
      </c>
      <c r="AD114" s="32" cm="1">
        <f t="array" ref="AD114">Y114</f>
        <v>13842.5820340756</v>
      </c>
      <c r="AE114" s="32" cm="1">
        <f t="array" ref="AE114">Z114</f>
        <v>5292.182060385060</v>
      </c>
      <c r="AF114" s="32" cm="1">
        <f t="array" ref="AF114">AA114</f>
        <v>1.84418604328106</v>
      </c>
    </row>
    <row r="115" ht="17" customHeight="1">
      <c r="A115" s="2"/>
      <c r="B115" t="s" s="24">
        <v>58</v>
      </c>
      <c r="C115" t="s" s="39">
        <v>174</v>
      </c>
      <c r="D115" s="25">
        <v>901.924172798236</v>
      </c>
      <c r="E115" s="25">
        <v>7675.8274935884</v>
      </c>
      <c r="F115" s="25">
        <v>4023.690739791840</v>
      </c>
      <c r="G115" s="25">
        <v>5.61406026963413</v>
      </c>
      <c r="H115" s="2"/>
      <c r="I115" s="25">
        <v>4.7</v>
      </c>
      <c r="J115" s="25" cm="1">
        <f t="array" ref="J115">I115/1000</f>
        <v>0.0047</v>
      </c>
      <c r="K115" s="2"/>
      <c r="L115" s="25" cm="1">
        <f t="array" ref="L115">D115*$J115</f>
        <v>4.23904361215171</v>
      </c>
      <c r="M115" s="25" cm="1">
        <f t="array" ref="M115">E115*$J115</f>
        <v>36.0763892198655</v>
      </c>
      <c r="N115" s="25" cm="1">
        <f t="array" ref="N115">F115*$J115</f>
        <v>18.9113464770216</v>
      </c>
      <c r="O115" s="25" cm="1">
        <f t="array" ref="O115">G115*$J115</f>
        <v>0.0263860832672804</v>
      </c>
      <c r="P115" s="2"/>
      <c r="Q115" s="25">
        <v>0.0180000000000007</v>
      </c>
      <c r="R115" s="25">
        <v>0.010209657</v>
      </c>
      <c r="S115" s="25" cm="1">
        <f t="array" ref="S115">L115/$R115</f>
        <v>415.199414843389</v>
      </c>
      <c r="T115" s="25" cm="1">
        <f t="array" ref="T115">M115/$R115</f>
        <v>3533.555458314170</v>
      </c>
      <c r="U115" s="25" cm="1">
        <f t="array" ref="U115">N115/$R115</f>
        <v>1852.299884023680</v>
      </c>
      <c r="V115" s="25" cm="1">
        <f t="array" ref="V115">O115/$R115</f>
        <v>2.58442406706517</v>
      </c>
      <c r="W115" s="2"/>
      <c r="X115" s="25" cm="1">
        <f t="array" ref="X115">S115-X$3-X$121</f>
        <v>406.955973940807</v>
      </c>
      <c r="Y115" s="25" cm="1">
        <f t="array" ref="Y115">T115-Y$3-Y$121</f>
        <v>3531.180591464090</v>
      </c>
      <c r="Z115" s="25" cm="1">
        <f t="array" ref="Z115">U115-Z$3-Z$121</f>
        <v>1839.760722670940</v>
      </c>
      <c r="AA115" s="25" cm="1">
        <f t="array" ref="AA115">V115-AA$3-AA$121</f>
        <v>7.72005346636369</v>
      </c>
      <c r="AB115" s="2"/>
      <c r="AC115" s="32" cm="1">
        <f t="array" ref="AC115">X115</f>
        <v>406.955973940807</v>
      </c>
      <c r="AD115" s="32" cm="1">
        <f t="array" ref="AD115">Y115</f>
        <v>3531.180591464090</v>
      </c>
      <c r="AE115" s="32" cm="1">
        <f t="array" ref="AE115">Z115</f>
        <v>1839.760722670940</v>
      </c>
      <c r="AF115" s="32" cm="1">
        <f t="array" ref="AF115">AA115</f>
        <v>7.72005346636369</v>
      </c>
    </row>
    <row r="116" ht="17" customHeight="1">
      <c r="A116" s="2"/>
      <c r="B116" t="s" s="24">
        <v>60</v>
      </c>
      <c r="C116" t="s" s="39">
        <v>175</v>
      </c>
      <c r="D116" s="25">
        <v>431.061206652554</v>
      </c>
      <c r="E116" s="25">
        <v>26104.196035269</v>
      </c>
      <c r="F116" s="25">
        <v>9675.290007277750</v>
      </c>
      <c r="G116" s="25">
        <v>-0.640203266551566</v>
      </c>
      <c r="H116" s="2"/>
      <c r="I116" s="25">
        <v>4.7</v>
      </c>
      <c r="J116" s="25" cm="1">
        <f t="array" ref="J116">I116/1000</f>
        <v>0.0047</v>
      </c>
      <c r="K116" s="2"/>
      <c r="L116" s="25" cm="1">
        <f t="array" ref="L116">D116*$J116</f>
        <v>2.025987671267</v>
      </c>
      <c r="M116" s="25" cm="1">
        <f t="array" ref="M116">E116*$J116</f>
        <v>122.689721365764</v>
      </c>
      <c r="N116" s="25" cm="1">
        <f t="array" ref="N116">F116*$J116</f>
        <v>45.4738630342054</v>
      </c>
      <c r="O116" s="25" cm="1">
        <f t="array" ref="O116">G116*$J116</f>
        <v>-0.00300895535279236</v>
      </c>
      <c r="P116" s="2"/>
      <c r="Q116" s="25">
        <v>0.0179000000000009</v>
      </c>
      <c r="R116" s="25">
        <v>0.010209657</v>
      </c>
      <c r="S116" s="25" cm="1">
        <f t="array" ref="S116">L116/$R116</f>
        <v>198.438367838116</v>
      </c>
      <c r="T116" s="25" cm="1">
        <f t="array" ref="T116">M116/$R116</f>
        <v>12017.0267586623</v>
      </c>
      <c r="U116" s="25" cm="1">
        <f t="array" ref="U116">N116/$R116</f>
        <v>4454.004971391830</v>
      </c>
      <c r="V116" s="25" cm="1">
        <f t="array" ref="V116">O116/$R116</f>
        <v>-0.294716595551874</v>
      </c>
      <c r="W116" s="2"/>
      <c r="X116" s="25" cm="1">
        <f t="array" ref="X116">S116-X$3-X$121</f>
        <v>190.194926935534</v>
      </c>
      <c r="Y116" s="25" cm="1">
        <f t="array" ref="Y116">T116-Y$3-Y$121</f>
        <v>12014.6518918122</v>
      </c>
      <c r="Z116" s="25" cm="1">
        <f t="array" ref="Z116">U116-Z$3-Z$121</f>
        <v>4441.465810039090</v>
      </c>
      <c r="AA116" s="25" cm="1">
        <f t="array" ref="AA116">V116-AA$3-AA$121</f>
        <v>4.84091280374665</v>
      </c>
      <c r="AB116" s="2"/>
      <c r="AC116" s="32" cm="1">
        <f t="array" ref="AC116">X116</f>
        <v>190.194926935534</v>
      </c>
      <c r="AD116" s="32" cm="1">
        <f t="array" ref="AD116">Y116</f>
        <v>12014.6518918122</v>
      </c>
      <c r="AE116" s="32" cm="1">
        <f t="array" ref="AE116">Z116</f>
        <v>4441.465810039090</v>
      </c>
      <c r="AF116" s="32" cm="1">
        <f t="array" ref="AF116">AA116</f>
        <v>4.84091280374665</v>
      </c>
    </row>
    <row r="117" ht="17" customHeight="1">
      <c r="A117" s="2"/>
      <c r="B117" t="s" s="24">
        <v>62</v>
      </c>
      <c r="C117" t="s" s="39">
        <v>176</v>
      </c>
      <c r="D117" s="25">
        <v>1746.664531494070</v>
      </c>
      <c r="E117" s="25">
        <v>34.1188197902839</v>
      </c>
      <c r="F117" s="25">
        <v>41.8348731836997</v>
      </c>
      <c r="G117" s="25">
        <v>1106.479601156740</v>
      </c>
      <c r="H117" s="2"/>
      <c r="I117" s="25">
        <v>4.7</v>
      </c>
      <c r="J117" s="25" cm="1">
        <f t="array" ref="J117">I117/1000</f>
        <v>0.0047</v>
      </c>
      <c r="K117" s="2"/>
      <c r="L117" s="25" cm="1">
        <f t="array" ref="L117">D117*$J117</f>
        <v>8.209323298022129</v>
      </c>
      <c r="M117" s="25" cm="1">
        <f t="array" ref="M117">E117*$J117</f>
        <v>0.160358453014334</v>
      </c>
      <c r="N117" s="25" cm="1">
        <f t="array" ref="N117">F117*$J117</f>
        <v>0.196623903963389</v>
      </c>
      <c r="O117" s="25" cm="1">
        <f t="array" ref="O117">G117*$J117</f>
        <v>5.20045412543668</v>
      </c>
      <c r="P117" s="2"/>
      <c r="Q117" s="25">
        <v>0.0173000000000005</v>
      </c>
      <c r="R117" s="25">
        <v>0.010209657</v>
      </c>
      <c r="S117" s="25" cm="1">
        <f t="array" ref="S117">L117/$R117</f>
        <v>804.074348239332</v>
      </c>
      <c r="T117" s="25" cm="1">
        <f t="array" ref="T117">M117/$R117</f>
        <v>15.706546558257</v>
      </c>
      <c r="U117" s="25" cm="1">
        <f t="array" ref="U117">N117/$R117</f>
        <v>19.2586199480932</v>
      </c>
      <c r="V117" s="25" cm="1">
        <f t="array" ref="V117">O117/$R117</f>
        <v>509.366193735664</v>
      </c>
      <c r="W117" s="2"/>
      <c r="X117" s="25" cm="1">
        <f t="array" ref="X117">S117-X$3-X$121</f>
        <v>795.830907336750</v>
      </c>
      <c r="Y117" s="25" cm="1">
        <f t="array" ref="Y117">T117-Y$3-Y$121</f>
        <v>13.3316797081793</v>
      </c>
      <c r="Z117" s="25" cm="1">
        <f t="array" ref="Z117">U117-Z$3-Z$121</f>
        <v>6.7194585953578</v>
      </c>
      <c r="AA117" s="25" cm="1">
        <f t="array" ref="AA117">V117-AA$3-AA$121</f>
        <v>514.501823134963</v>
      </c>
      <c r="AB117" s="2"/>
      <c r="AC117" s="32" cm="1">
        <f t="array" ref="AC117">X117</f>
        <v>795.830907336750</v>
      </c>
      <c r="AD117" s="32" cm="1">
        <f t="array" ref="AD117">Y117</f>
        <v>13.3316797081793</v>
      </c>
      <c r="AE117" s="32" cm="1">
        <f t="array" ref="AE117">Z117</f>
        <v>6.7194585953578</v>
      </c>
      <c r="AF117" s="32" cm="1">
        <f t="array" ref="AF117">AA117</f>
        <v>514.501823134963</v>
      </c>
    </row>
    <row r="118" ht="17" customHeight="1">
      <c r="A118" s="2"/>
      <c r="B118" t="s" s="24">
        <v>64</v>
      </c>
      <c r="C118" t="s" s="39">
        <v>177</v>
      </c>
      <c r="D118" s="25">
        <v>901.924172798236</v>
      </c>
      <c r="E118" s="25">
        <v>27.5904761495433</v>
      </c>
      <c r="F118" s="25">
        <v>38.5269306759578</v>
      </c>
      <c r="G118" s="25">
        <v>976.026493221097</v>
      </c>
      <c r="H118" s="2"/>
      <c r="I118" s="25">
        <v>4.7</v>
      </c>
      <c r="J118" s="25" cm="1">
        <f t="array" ref="J118">I118/1000</f>
        <v>0.0047</v>
      </c>
      <c r="K118" s="2"/>
      <c r="L118" s="25" cm="1">
        <f t="array" ref="L118">D118*$J118</f>
        <v>4.23904361215171</v>
      </c>
      <c r="M118" s="25" cm="1">
        <f t="array" ref="M118">E118*$J118</f>
        <v>0.129675237902854</v>
      </c>
      <c r="N118" s="25" cm="1">
        <f t="array" ref="N118">F118*$J118</f>
        <v>0.181076574177002</v>
      </c>
      <c r="O118" s="25" cm="1">
        <f t="array" ref="O118">G118*$J118</f>
        <v>4.58732451813916</v>
      </c>
      <c r="P118" s="2"/>
      <c r="Q118" s="25">
        <v>0.0173000000000005</v>
      </c>
      <c r="R118" s="25">
        <v>0.010209657</v>
      </c>
      <c r="S118" s="25" cm="1">
        <f t="array" ref="S118">L118/$R118</f>
        <v>415.199414843389</v>
      </c>
      <c r="T118" s="25" cm="1">
        <f t="array" ref="T118">M118/$R118</f>
        <v>12.7012335382916</v>
      </c>
      <c r="U118" s="25" cm="1">
        <f t="array" ref="U118">N118/$R118</f>
        <v>17.7358136690588</v>
      </c>
      <c r="V118" s="25" cm="1">
        <f t="array" ref="V118">O118/$R118</f>
        <v>449.312304824654</v>
      </c>
      <c r="W118" s="2"/>
      <c r="X118" s="25" cm="1">
        <f t="array" ref="X118">S118-X$3-X$121</f>
        <v>406.955973940807</v>
      </c>
      <c r="Y118" s="25" cm="1">
        <f t="array" ref="Y118">T118-Y$3-Y$121</f>
        <v>10.3263666882139</v>
      </c>
      <c r="Z118" s="25" cm="1">
        <f t="array" ref="Z118">U118-Z$3-Z$121</f>
        <v>5.1966523163234</v>
      </c>
      <c r="AA118" s="25" cm="1">
        <f t="array" ref="AA118">V118-AA$3-AA$121</f>
        <v>454.447934223953</v>
      </c>
      <c r="AB118" s="2"/>
      <c r="AC118" s="32" cm="1">
        <f t="array" ref="AC118">X118</f>
        <v>406.955973940807</v>
      </c>
      <c r="AD118" s="32" cm="1">
        <f t="array" ref="AD118">Y118</f>
        <v>10.3263666882139</v>
      </c>
      <c r="AE118" s="32" cm="1">
        <f t="array" ref="AE118">Z118</f>
        <v>5.1966523163234</v>
      </c>
      <c r="AF118" s="32" cm="1">
        <f t="array" ref="AF118">AA118</f>
        <v>454.447934223953</v>
      </c>
    </row>
    <row r="119" ht="17" customHeight="1">
      <c r="A119" s="2"/>
      <c r="B119" t="s" s="24">
        <v>66</v>
      </c>
      <c r="C119" t="s" s="39">
        <v>178</v>
      </c>
      <c r="D119" s="25">
        <v>431.061206652554</v>
      </c>
      <c r="E119" s="25">
        <v>15.6136947924762</v>
      </c>
      <c r="F119" s="25">
        <v>39.8248482227385</v>
      </c>
      <c r="G119" s="25">
        <v>1319.991185637460</v>
      </c>
      <c r="H119" s="2"/>
      <c r="I119" s="25">
        <v>4.7</v>
      </c>
      <c r="J119" s="25" cm="1">
        <f t="array" ref="J119">I119/1000</f>
        <v>0.0047</v>
      </c>
      <c r="K119" s="2"/>
      <c r="L119" s="25" cm="1">
        <f t="array" ref="L119">D119*$J119</f>
        <v>2.025987671267</v>
      </c>
      <c r="M119" s="25" cm="1">
        <f t="array" ref="M119">E119*$J119</f>
        <v>0.0733843655246381</v>
      </c>
      <c r="N119" s="25" cm="1">
        <f t="array" ref="N119">F119*$J119</f>
        <v>0.187176786646871</v>
      </c>
      <c r="O119" s="25" cm="1">
        <f t="array" ref="O119">G119*$J119</f>
        <v>6.20395857249606</v>
      </c>
      <c r="P119" s="2"/>
      <c r="Q119" s="25">
        <v>0.0169999999999995</v>
      </c>
      <c r="R119" s="25">
        <v>0.010209657</v>
      </c>
      <c r="S119" s="25" cm="1">
        <f t="array" ref="S119">L119/$R119</f>
        <v>198.438367838116</v>
      </c>
      <c r="T119" s="25" cm="1">
        <f t="array" ref="T119">M119/$R119</f>
        <v>7.18774054061151</v>
      </c>
      <c r="U119" s="25" cm="1">
        <f t="array" ref="U119">N119/$R119</f>
        <v>18.3333080285529</v>
      </c>
      <c r="V119" s="25" cm="1">
        <f t="array" ref="V119">O119/$R119</f>
        <v>607.6559254141511</v>
      </c>
      <c r="W119" s="2"/>
      <c r="X119" s="25" cm="1">
        <f t="array" ref="X119">S119-X$3-X$121</f>
        <v>190.194926935534</v>
      </c>
      <c r="Y119" s="25" cm="1">
        <f t="array" ref="Y119">T119-Y$3-Y$121</f>
        <v>4.8128736905338</v>
      </c>
      <c r="Z119" s="25" cm="1">
        <f t="array" ref="Z119">U119-Z$3-Z$121</f>
        <v>5.7941466758175</v>
      </c>
      <c r="AA119" s="25" cm="1">
        <f t="array" ref="AA119">V119-AA$3-AA$121</f>
        <v>612.791554813450</v>
      </c>
      <c r="AB119" s="2"/>
      <c r="AC119" s="32" cm="1">
        <f t="array" ref="AC119">X119</f>
        <v>190.194926935534</v>
      </c>
      <c r="AD119" s="32" cm="1">
        <f t="array" ref="AD119">Y119</f>
        <v>4.8128736905338</v>
      </c>
      <c r="AE119" s="32" cm="1">
        <f t="array" ref="AE119">Z119</f>
        <v>5.7941466758175</v>
      </c>
      <c r="AF119" s="32" cm="1">
        <f t="array" ref="AF119">AA119</f>
        <v>612.791554813450</v>
      </c>
    </row>
    <row r="120" ht="17" customHeight="1">
      <c r="A120" s="2"/>
      <c r="B120" t="s" s="24">
        <v>68</v>
      </c>
      <c r="C120" t="s" s="39">
        <v>179</v>
      </c>
      <c r="D120" s="25">
        <v>20.1739379165721</v>
      </c>
      <c r="E120" s="25">
        <v>1.65263065097192</v>
      </c>
      <c r="F120" s="25">
        <v>26.5514733689544</v>
      </c>
      <c r="G120" s="25">
        <v>-16.4206732344218</v>
      </c>
      <c r="H120" s="2"/>
      <c r="I120" s="25">
        <v>4.7</v>
      </c>
      <c r="J120" s="25" cm="1">
        <f t="array" ref="J120">I120/1000</f>
        <v>0.0047</v>
      </c>
      <c r="K120" s="2"/>
      <c r="L120" s="25" cm="1">
        <f t="array" ref="L120">D120*$J120</f>
        <v>0.0948175082078889</v>
      </c>
      <c r="M120" s="25" cm="1">
        <f t="array" ref="M120">E120*$J120</f>
        <v>0.00776736405956802</v>
      </c>
      <c r="N120" s="25" cm="1">
        <f t="array" ref="N120">F120*$J120</f>
        <v>0.124791924834086</v>
      </c>
      <c r="O120" s="25" cm="1">
        <f t="array" ref="O120">G120*$J120</f>
        <v>-0.0771771642017825</v>
      </c>
      <c r="P120" s="2"/>
      <c r="Q120" s="25">
        <v>0.0169999999999995</v>
      </c>
      <c r="R120" s="25">
        <v>0.010209657</v>
      </c>
      <c r="S120" s="25" cm="1">
        <f t="array" ref="S120">L120/$R120</f>
        <v>9.287041494918871</v>
      </c>
      <c r="T120" s="25" cm="1">
        <f t="array" ref="T120">M120/$R120</f>
        <v>0.76078599502099</v>
      </c>
      <c r="U120" s="25" cm="1">
        <f t="array" ref="U120">N120/$R120</f>
        <v>12.2229301958025</v>
      </c>
      <c r="V120" s="25" cm="1">
        <f t="array" ref="V120">O120/$R120</f>
        <v>-7.5592318333302</v>
      </c>
      <c r="W120" s="2"/>
      <c r="X120" s="2"/>
      <c r="Y120" s="2"/>
      <c r="Z120" s="2"/>
      <c r="AA120" s="2"/>
      <c r="AB120" s="2"/>
      <c r="AC120" s="26"/>
      <c r="AD120" s="26"/>
      <c r="AE120" s="26"/>
      <c r="AF120" s="26"/>
    </row>
    <row r="121" ht="17" customHeight="1">
      <c r="A121" s="2"/>
      <c r="B121" t="s" s="24">
        <v>70</v>
      </c>
      <c r="C121" t="s" s="39">
        <v>180</v>
      </c>
      <c r="D121" s="25">
        <v>15.367242152695</v>
      </c>
      <c r="E121" s="25">
        <v>7.74804493576727</v>
      </c>
      <c r="F121" s="25">
        <v>27.1018844631123</v>
      </c>
      <c r="G121" s="25">
        <v>-8.571236809403169</v>
      </c>
      <c r="H121" s="2"/>
      <c r="I121" s="25">
        <v>4.7</v>
      </c>
      <c r="J121" s="25" cm="1">
        <f t="array" ref="J121">I121/1000</f>
        <v>0.0047</v>
      </c>
      <c r="K121" s="2"/>
      <c r="L121" s="25" cm="1">
        <f t="array" ref="L121">D121*$J121</f>
        <v>0.07222603811766649</v>
      </c>
      <c r="M121" s="25" cm="1">
        <f t="array" ref="M121">E121*$J121</f>
        <v>0.0364158111981062</v>
      </c>
      <c r="N121" s="25" cm="1">
        <f t="array" ref="N121">F121*$J121</f>
        <v>0.127378856976628</v>
      </c>
      <c r="O121" s="25" cm="1">
        <f t="array" ref="O121">G121*$J121</f>
        <v>-0.0402848130041949</v>
      </c>
      <c r="P121" s="2"/>
      <c r="Q121" s="25">
        <v>0.0181000000000004</v>
      </c>
      <c r="R121" s="25">
        <v>0.010209657</v>
      </c>
      <c r="S121" s="25" cm="1">
        <f t="array" ref="S121">L121/$R121</f>
        <v>7.07428644445808</v>
      </c>
      <c r="T121" s="25" cm="1">
        <f t="array" ref="T121">M121/$R121</f>
        <v>3.56680064747584</v>
      </c>
      <c r="U121" s="25" cm="1">
        <f t="array" ref="U121">N121/$R121</f>
        <v>12.4763111019918</v>
      </c>
      <c r="V121" s="25" cm="1">
        <f t="array" ref="V121">O121/$R121</f>
        <v>-3.94575576869966</v>
      </c>
      <c r="W121" s="2"/>
      <c r="X121" s="25" cm="1">
        <f t="array" ref="X121">AVERAGE(S120:S122)</f>
        <v>8.24344090258232</v>
      </c>
      <c r="Y121" s="25" cm="1">
        <f t="array" ref="Y121">AVERAGE(T120:T122)</f>
        <v>2.37486685007771</v>
      </c>
      <c r="Z121" s="25" cm="1">
        <f t="array" ref="Z121">AVERAGE(U120:U122)</f>
        <v>12.5391613527354</v>
      </c>
      <c r="AA121" s="25" cm="1">
        <f t="array" ref="AA121">AVERAGE(V120:V122)</f>
        <v>-5.13562939929852</v>
      </c>
      <c r="AB121" s="2"/>
      <c r="AC121" s="26"/>
      <c r="AD121" s="26"/>
      <c r="AE121" s="26"/>
      <c r="AF121" s="26"/>
    </row>
    <row r="122" ht="17" customHeight="1">
      <c r="A122" s="2"/>
      <c r="B122" t="s" s="36">
        <v>72</v>
      </c>
      <c r="C122" t="s" s="39">
        <v>181</v>
      </c>
      <c r="D122" s="25">
        <v>18.1796948978409</v>
      </c>
      <c r="E122" s="25">
        <v>6.07586226004621</v>
      </c>
      <c r="F122" s="25">
        <v>28.0618782184123</v>
      </c>
      <c r="G122" s="25">
        <v>-8.47597164508181</v>
      </c>
      <c r="H122" s="2"/>
      <c r="I122" s="25">
        <v>4.7</v>
      </c>
      <c r="J122" s="25" cm="1">
        <f t="array" ref="J122">I122/1000</f>
        <v>0.0047</v>
      </c>
      <c r="K122" s="2"/>
      <c r="L122" s="25" cm="1">
        <f t="array" ref="L122">D122*$J122</f>
        <v>0.0854445660198522</v>
      </c>
      <c r="M122" s="25" cm="1">
        <f t="array" ref="M122">E122*$J122</f>
        <v>0.0285565526222172</v>
      </c>
      <c r="N122" s="25" cm="1">
        <f t="array" ref="N122">F122*$J122</f>
        <v>0.131890827626538</v>
      </c>
      <c r="O122" s="25" cm="1">
        <f t="array" ref="O122">G122*$J122</f>
        <v>-0.0398370667318845</v>
      </c>
      <c r="P122" s="2"/>
      <c r="Q122" s="25">
        <v>0.0181000000000004</v>
      </c>
      <c r="R122" s="25">
        <v>0.010209657</v>
      </c>
      <c r="S122" s="25" cm="1">
        <f t="array" ref="S122">L122/$R122</f>
        <v>8.368994768369999</v>
      </c>
      <c r="T122" s="25" cm="1">
        <f t="array" ref="T122">M122/$R122</f>
        <v>2.79701390773629</v>
      </c>
      <c r="U122" s="25" cm="1">
        <f t="array" ref="U122">N122/$R122</f>
        <v>12.9182427604118</v>
      </c>
      <c r="V122" s="25" cm="1">
        <f t="array" ref="V122">O122/$R122</f>
        <v>-3.90190059586571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17" customHeight="1">
      <c r="A123" s="2"/>
      <c r="B123" t="s" s="19">
        <v>74</v>
      </c>
      <c r="C123" t="s" s="39">
        <v>182</v>
      </c>
      <c r="D123" s="25">
        <v>32.9403432449927</v>
      </c>
      <c r="E123" s="25">
        <v>45.3046687945934</v>
      </c>
      <c r="F123" s="25">
        <v>91.7589457128781</v>
      </c>
      <c r="G123" s="25">
        <v>-8.210244271070239</v>
      </c>
      <c r="H123" s="2"/>
      <c r="I123" s="25">
        <v>4.7</v>
      </c>
      <c r="J123" s="25" cm="1">
        <f t="array" ref="J123">I123/1000</f>
        <v>0.0047</v>
      </c>
      <c r="K123" s="2"/>
      <c r="L123" s="25" cm="1">
        <f t="array" ref="L123">D123*$J123</f>
        <v>0.154819613251466</v>
      </c>
      <c r="M123" s="25" cm="1">
        <f t="array" ref="M123">E123*$J123</f>
        <v>0.212931943334589</v>
      </c>
      <c r="N123" s="25" cm="1">
        <f t="array" ref="N123">F123*$J123</f>
        <v>0.431267044850527</v>
      </c>
      <c r="O123" s="25" cm="1">
        <f t="array" ref="O123">G123*$J123</f>
        <v>-0.0385881480740301</v>
      </c>
      <c r="P123" s="2"/>
      <c r="Q123" s="25">
        <v>0.0184999999999995</v>
      </c>
      <c r="R123" s="25">
        <v>0.010209657</v>
      </c>
      <c r="S123" s="25" cm="1">
        <f t="array" ref="S123">L123/$R123</f>
        <v>15.1640366812975</v>
      </c>
      <c r="T123" s="25" cm="1">
        <f t="array" ref="T123">M123/$R123</f>
        <v>20.8559350558583</v>
      </c>
      <c r="U123" s="25" cm="1">
        <f t="array" ref="U123">N123/$R123</f>
        <v>42.2410904549024</v>
      </c>
      <c r="V123" s="25" cm="1">
        <f t="array" ref="V123">O123/$R123</f>
        <v>-3.77957340526034</v>
      </c>
      <c r="W123" s="2"/>
      <c r="X123" s="25" cm="1">
        <f t="array" ref="X123">S123-X$3-X$130</f>
        <v>2.3454591432917</v>
      </c>
      <c r="Y123" s="25" cm="1">
        <f t="array" ref="Y123">T123-Y$3-Y$130</f>
        <v>18.3210051064661</v>
      </c>
      <c r="Z123" s="25" cm="1">
        <f t="array" ref="Z123">U123-Z$3-Z$130</f>
        <v>-17.2203184769105</v>
      </c>
      <c r="AA123" s="25" cm="1">
        <f t="array" ref="AA123">V123-AA$3-AA$130</f>
        <v>1.55569024521172</v>
      </c>
      <c r="AB123" s="2"/>
      <c r="AC123" s="32" cm="1">
        <f t="array" ref="AC123">X123</f>
        <v>2.3454591432917</v>
      </c>
      <c r="AD123" s="32" cm="1">
        <f t="array" ref="AD123">Y123</f>
        <v>18.3210051064661</v>
      </c>
      <c r="AE123" s="32" cm="1">
        <f t="array" ref="AE123">Z123</f>
        <v>-17.2203184769105</v>
      </c>
      <c r="AF123" s="32" cm="1">
        <f t="array" ref="AF123">AA123</f>
        <v>1.55569024521172</v>
      </c>
    </row>
    <row r="124" ht="17" customHeight="1">
      <c r="A124" s="2"/>
      <c r="B124" t="s" s="24">
        <v>76</v>
      </c>
      <c r="C124" t="s" s="39">
        <v>183</v>
      </c>
      <c r="D124" s="25">
        <v>17.1523539066214</v>
      </c>
      <c r="E124" s="25">
        <v>39.860982542657</v>
      </c>
      <c r="F124" s="25">
        <v>91.2872193124427</v>
      </c>
      <c r="G124" s="25">
        <v>-8.432579631948069</v>
      </c>
      <c r="H124" s="2"/>
      <c r="I124" s="25">
        <v>4.7</v>
      </c>
      <c r="J124" s="25" cm="1">
        <f t="array" ref="J124">I124/1000</f>
        <v>0.0047</v>
      </c>
      <c r="K124" s="2"/>
      <c r="L124" s="25" cm="1">
        <f t="array" ref="L124">D124*$J124</f>
        <v>0.08061606336112059</v>
      </c>
      <c r="M124" s="25" cm="1">
        <f t="array" ref="M124">E124*$J124</f>
        <v>0.187346617950488</v>
      </c>
      <c r="N124" s="25" cm="1">
        <f t="array" ref="N124">F124*$J124</f>
        <v>0.429049930768481</v>
      </c>
      <c r="O124" s="25" cm="1">
        <f t="array" ref="O124">G124*$J124</f>
        <v>-0.0396331242701559</v>
      </c>
      <c r="P124" s="2"/>
      <c r="Q124" s="25">
        <v>0.0176999999999996</v>
      </c>
      <c r="R124" s="25">
        <v>0.010209657</v>
      </c>
      <c r="S124" s="25" cm="1">
        <f t="array" ref="S124">L124/$R124</f>
        <v>7.8960599127983</v>
      </c>
      <c r="T124" s="25" cm="1">
        <f t="array" ref="T124">M124/$R124</f>
        <v>18.3499424075156</v>
      </c>
      <c r="U124" s="25" cm="1">
        <f t="array" ref="U124">N124/$R124</f>
        <v>42.0239319272411</v>
      </c>
      <c r="V124" s="25" cm="1">
        <f t="array" ref="V124">O124/$R124</f>
        <v>-3.88192514892086</v>
      </c>
      <c r="W124" s="2"/>
      <c r="X124" s="25" cm="1">
        <f t="array" ref="X124">S124-X$3-X$130</f>
        <v>-4.9225176252075</v>
      </c>
      <c r="Y124" s="25" cm="1">
        <f t="array" ref="Y124">T124-Y$3-Y$130</f>
        <v>15.8150124581234</v>
      </c>
      <c r="Z124" s="25" cm="1">
        <f t="array" ref="Z124">U124-Z$3-Z$130</f>
        <v>-17.4374770045718</v>
      </c>
      <c r="AA124" s="25" cm="1">
        <f t="array" ref="AA124">V124-AA$3-AA$130</f>
        <v>1.4533385015512</v>
      </c>
      <c r="AB124" s="2"/>
      <c r="AC124" s="32" cm="1">
        <f t="array" ref="AC124">X124</f>
        <v>-4.9225176252075</v>
      </c>
      <c r="AD124" s="32" cm="1">
        <f t="array" ref="AD124">Y124</f>
        <v>15.8150124581234</v>
      </c>
      <c r="AE124" s="32" cm="1">
        <f t="array" ref="AE124">Z124</f>
        <v>-17.4374770045718</v>
      </c>
      <c r="AF124" s="32" cm="1">
        <f t="array" ref="AF124">AA124</f>
        <v>1.4533385015512</v>
      </c>
    </row>
    <row r="125" ht="17" customHeight="1">
      <c r="A125" s="2"/>
      <c r="B125" t="s" s="24">
        <v>78</v>
      </c>
      <c r="C125" t="s" s="39">
        <v>184</v>
      </c>
      <c r="D125" s="25">
        <v>12.4126765498093</v>
      </c>
      <c r="E125" s="25">
        <v>39.4093936143526</v>
      </c>
      <c r="F125" s="25">
        <v>103.409893767888</v>
      </c>
      <c r="G125" s="25">
        <v>-8.037319191274371</v>
      </c>
      <c r="H125" s="2"/>
      <c r="I125" s="25">
        <v>4.7</v>
      </c>
      <c r="J125" s="25" cm="1">
        <f t="array" ref="J125">I125/1000</f>
        <v>0.0047</v>
      </c>
      <c r="K125" s="2"/>
      <c r="L125" s="25" cm="1">
        <f t="array" ref="L125">D125*$J125</f>
        <v>0.0583395797841037</v>
      </c>
      <c r="M125" s="25" cm="1">
        <f t="array" ref="M125">E125*$J125</f>
        <v>0.185224149987457</v>
      </c>
      <c r="N125" s="25" cm="1">
        <f t="array" ref="N125">F125*$J125</f>
        <v>0.486026500709074</v>
      </c>
      <c r="O125" s="25" cm="1">
        <f t="array" ref="O125">G125*$J125</f>
        <v>-0.0377754001989895</v>
      </c>
      <c r="P125" s="2"/>
      <c r="Q125" s="25">
        <v>0.0181000000000004</v>
      </c>
      <c r="R125" s="25">
        <v>0.010209657</v>
      </c>
      <c r="S125" s="25" cm="1">
        <f t="array" ref="S125">L125/$R125</f>
        <v>5.71415668362842</v>
      </c>
      <c r="T125" s="25" cm="1">
        <f t="array" ref="T125">M125/$R125</f>
        <v>18.1420541343805</v>
      </c>
      <c r="U125" s="25" cm="1">
        <f t="array" ref="U125">N125/$R125</f>
        <v>47.6045865898408</v>
      </c>
      <c r="V125" s="25" cm="1">
        <f t="array" ref="V125">O125/$R125</f>
        <v>-3.69996760899896</v>
      </c>
      <c r="W125" s="2"/>
      <c r="X125" s="25" cm="1">
        <f t="array" ref="X125">S125-X$3-X$130</f>
        <v>-7.10442085437738</v>
      </c>
      <c r="Y125" s="25" cm="1">
        <f t="array" ref="Y125">T125-Y$3-Y$130</f>
        <v>15.6071241849883</v>
      </c>
      <c r="Z125" s="25" cm="1">
        <f t="array" ref="Z125">U125-Z$3-Z$130</f>
        <v>-11.8568223419721</v>
      </c>
      <c r="AA125" s="25" cm="1">
        <f t="array" ref="AA125">V125-AA$3-AA$130</f>
        <v>1.6352960414731</v>
      </c>
      <c r="AB125" s="2"/>
      <c r="AC125" s="32" cm="1">
        <f t="array" ref="AC125">X125</f>
        <v>-7.10442085437738</v>
      </c>
      <c r="AD125" s="32" cm="1">
        <f t="array" ref="AD125">Y125</f>
        <v>15.6071241849883</v>
      </c>
      <c r="AE125" s="32" cm="1">
        <f t="array" ref="AE125">Z125</f>
        <v>-11.8568223419721</v>
      </c>
      <c r="AF125" s="32" cm="1">
        <f t="array" ref="AF125">AA125</f>
        <v>1.6352960414731</v>
      </c>
    </row>
    <row r="126" ht="17" customHeight="1">
      <c r="A126" s="2"/>
      <c r="B126" t="s" s="24">
        <v>80</v>
      </c>
      <c r="C126" t="s" s="39">
        <v>185</v>
      </c>
      <c r="D126" s="25">
        <v>98.0930605866985</v>
      </c>
      <c r="E126" s="25">
        <v>5.65840989661589</v>
      </c>
      <c r="F126" s="25">
        <v>67.25242791488731</v>
      </c>
      <c r="G126" s="25">
        <v>18.8899947231272</v>
      </c>
      <c r="H126" s="2"/>
      <c r="I126" s="25">
        <v>4.7</v>
      </c>
      <c r="J126" s="25" cm="1">
        <f t="array" ref="J126">I126/1000</f>
        <v>0.0047</v>
      </c>
      <c r="K126" s="2"/>
      <c r="L126" s="25" cm="1">
        <f t="array" ref="L126">D126*$J126</f>
        <v>0.461037384757483</v>
      </c>
      <c r="M126" s="25" cm="1">
        <f t="array" ref="M126">E126*$J126</f>
        <v>0.0265945265140947</v>
      </c>
      <c r="N126" s="25" cm="1">
        <f t="array" ref="N126">F126*$J126</f>
        <v>0.31608641119997</v>
      </c>
      <c r="O126" s="25" cm="1">
        <f t="array" ref="O126">G126*$J126</f>
        <v>0.08878297519869779</v>
      </c>
      <c r="P126" s="2"/>
      <c r="Q126" s="25">
        <v>0.0183</v>
      </c>
      <c r="R126" s="25">
        <v>0.010209657</v>
      </c>
      <c r="S126" s="25" cm="1">
        <f t="array" ref="S126">L126/$R126</f>
        <v>45.1569905587899</v>
      </c>
      <c r="T126" s="25" cm="1">
        <f t="array" ref="T126">M126/$R126</f>
        <v>2.60484035008176</v>
      </c>
      <c r="U126" s="25" cm="1">
        <f t="array" ref="U126">N126/$R126</f>
        <v>30.9595524315822</v>
      </c>
      <c r="V126" s="25" cm="1">
        <f t="array" ref="V126">O126/$R126</f>
        <v>8.69598020763066</v>
      </c>
      <c r="W126" s="2"/>
      <c r="X126" s="25" cm="1">
        <f t="array" ref="X126">S126-X$3-X$130</f>
        <v>32.3384130207841</v>
      </c>
      <c r="Y126" s="25" cm="1">
        <f t="array" ref="Y126">T126-Y$3-Y$130</f>
        <v>0.06991040068951999</v>
      </c>
      <c r="Z126" s="25" cm="1">
        <f t="array" ref="Z126">U126-Z$3-Z$130</f>
        <v>-28.5018565002307</v>
      </c>
      <c r="AA126" s="25" cm="1">
        <f t="array" ref="AA126">V126-AA$3-AA$130</f>
        <v>14.0312438581027</v>
      </c>
      <c r="AB126" s="2"/>
      <c r="AC126" s="32" cm="1">
        <f t="array" ref="AC126">X126</f>
        <v>32.3384130207841</v>
      </c>
      <c r="AD126" s="32" cm="1">
        <f t="array" ref="AD126">Y126</f>
        <v>0.06991040068951999</v>
      </c>
      <c r="AE126" s="32" cm="1">
        <f t="array" ref="AE126">Z126</f>
        <v>-28.5018565002307</v>
      </c>
      <c r="AF126" s="32" cm="1">
        <f t="array" ref="AF126">AA126</f>
        <v>14.0312438581027</v>
      </c>
    </row>
    <row r="127" ht="17" customHeight="1">
      <c r="A127" s="2"/>
      <c r="B127" t="s" s="24">
        <v>82</v>
      </c>
      <c r="C127" t="s" s="39">
        <v>186</v>
      </c>
      <c r="D127" s="25">
        <v>23.5517155159458</v>
      </c>
      <c r="E127" s="25">
        <v>3.56955722591605</v>
      </c>
      <c r="F127" s="25">
        <v>29.5669270447418</v>
      </c>
      <c r="G127" s="25">
        <v>38.4530317009839</v>
      </c>
      <c r="H127" s="2"/>
      <c r="I127" s="25">
        <v>4.7</v>
      </c>
      <c r="J127" s="25" cm="1">
        <f t="array" ref="J127">I127/1000</f>
        <v>0.0047</v>
      </c>
      <c r="K127" s="2"/>
      <c r="L127" s="25" cm="1">
        <f t="array" ref="L127">D127*$J127</f>
        <v>0.110693062924945</v>
      </c>
      <c r="M127" s="25" cm="1">
        <f t="array" ref="M127">E127*$J127</f>
        <v>0.0167769189618054</v>
      </c>
      <c r="N127" s="25" cm="1">
        <f t="array" ref="N127">F127*$J127</f>
        <v>0.138964557110286</v>
      </c>
      <c r="O127" s="25" cm="1">
        <f t="array" ref="O127">G127*$J127</f>
        <v>0.180729248994624</v>
      </c>
      <c r="P127" s="2"/>
      <c r="Q127" s="25">
        <v>0.0183</v>
      </c>
      <c r="R127" s="25">
        <v>0.010209657</v>
      </c>
      <c r="S127" s="25" cm="1">
        <f t="array" ref="S127">L127/$R127</f>
        <v>10.8419962516806</v>
      </c>
      <c r="T127" s="25" cm="1">
        <f t="array" ref="T127">M127/$R127</f>
        <v>1.64324021480892</v>
      </c>
      <c r="U127" s="25" cm="1">
        <f t="array" ref="U127">N127/$R127</f>
        <v>13.6110896879578</v>
      </c>
      <c r="V127" s="25" cm="1">
        <f t="array" ref="V127">O127/$R127</f>
        <v>17.7017943888442</v>
      </c>
      <c r="W127" s="2"/>
      <c r="X127" s="25" cm="1">
        <f t="array" ref="X127">S127-X$3-X$130</f>
        <v>-1.9765812863252</v>
      </c>
      <c r="Y127" s="25" cm="1">
        <f t="array" ref="Y127">T127-Y$3-Y$130</f>
        <v>-0.89168973458332</v>
      </c>
      <c r="Z127" s="25" cm="1">
        <f t="array" ref="Z127">U127-Z$3-Z$130</f>
        <v>-45.8503192438551</v>
      </c>
      <c r="AA127" s="25" cm="1">
        <f t="array" ref="AA127">V127-AA$3-AA$130</f>
        <v>23.0370580393163</v>
      </c>
      <c r="AB127" s="2"/>
      <c r="AC127" s="32" cm="1">
        <f t="array" ref="AC127">X127</f>
        <v>-1.9765812863252</v>
      </c>
      <c r="AD127" s="32" cm="1">
        <f t="array" ref="AD127">Y127</f>
        <v>-0.89168973458332</v>
      </c>
      <c r="AE127" s="32" cm="1">
        <f t="array" ref="AE127">Z127</f>
        <v>-45.8503192438551</v>
      </c>
      <c r="AF127" s="32" cm="1">
        <f t="array" ref="AF127">AA127</f>
        <v>23.0370580393163</v>
      </c>
    </row>
    <row r="128" ht="17" customHeight="1">
      <c r="A128" s="2"/>
      <c r="B128" t="s" s="24">
        <v>84</v>
      </c>
      <c r="C128" t="s" s="39">
        <v>187</v>
      </c>
      <c r="D128" s="25">
        <v>26.356760654611</v>
      </c>
      <c r="E128" s="25">
        <v>5.12597739465614</v>
      </c>
      <c r="F128" s="25">
        <v>47.1239920194114</v>
      </c>
      <c r="G128" s="25">
        <v>51.5557693560777</v>
      </c>
      <c r="H128" s="2"/>
      <c r="I128" s="25">
        <v>4.7</v>
      </c>
      <c r="J128" s="25" cm="1">
        <f t="array" ref="J128">I128/1000</f>
        <v>0.0047</v>
      </c>
      <c r="K128" s="2"/>
      <c r="L128" s="25" cm="1">
        <f t="array" ref="L128">D128*$J128</f>
        <v>0.123876775076672</v>
      </c>
      <c r="M128" s="25" cm="1">
        <f t="array" ref="M128">E128*$J128</f>
        <v>0.0240920937548839</v>
      </c>
      <c r="N128" s="25" cm="1">
        <f t="array" ref="N128">F128*$J128</f>
        <v>0.221482762491234</v>
      </c>
      <c r="O128" s="25" cm="1">
        <f t="array" ref="O128">G128*$J128</f>
        <v>0.242312115973565</v>
      </c>
      <c r="P128" s="2"/>
      <c r="Q128" s="25">
        <v>0.0181000000000004</v>
      </c>
      <c r="R128" s="25">
        <v>0.010209657</v>
      </c>
      <c r="S128" s="25" cm="1">
        <f t="array" ref="S128">L128/$R128</f>
        <v>12.1332944952678</v>
      </c>
      <c r="T128" s="25" cm="1">
        <f t="array" ref="T128">M128/$R128</f>
        <v>2.35973586134029</v>
      </c>
      <c r="U128" s="25" cm="1">
        <f t="array" ref="U128">N128/$R128</f>
        <v>21.6934577225497</v>
      </c>
      <c r="V128" s="25" cm="1">
        <f t="array" ref="V128">O128/$R128</f>
        <v>23.7336196479044</v>
      </c>
      <c r="W128" s="2"/>
      <c r="X128" s="25" cm="1">
        <f t="array" ref="X128">S128-X$3-X$130</f>
        <v>-0.685283042738</v>
      </c>
      <c r="Y128" s="25" cm="1">
        <f t="array" ref="Y128">T128-Y$3-Y$130</f>
        <v>-0.17519408805195</v>
      </c>
      <c r="Z128" s="25" cm="1">
        <f t="array" ref="Z128">U128-Z$3-Z$130</f>
        <v>-37.7679512092632</v>
      </c>
      <c r="AA128" s="25" cm="1">
        <f t="array" ref="AA128">V128-AA$3-AA$130</f>
        <v>29.0688832983765</v>
      </c>
      <c r="AB128" s="2"/>
      <c r="AC128" s="32" cm="1">
        <f t="array" ref="AC128">X128</f>
        <v>-0.685283042738</v>
      </c>
      <c r="AD128" s="32" cm="1">
        <f t="array" ref="AD128">Y128</f>
        <v>-0.17519408805195</v>
      </c>
      <c r="AE128" s="32" cm="1">
        <f t="array" ref="AE128">Z128</f>
        <v>-37.7679512092632</v>
      </c>
      <c r="AF128" s="32" cm="1">
        <f t="array" ref="AF128">AA128</f>
        <v>29.0688832983765</v>
      </c>
    </row>
    <row r="129" ht="17" customHeight="1">
      <c r="A129" s="2"/>
      <c r="B129" t="s" s="24">
        <v>86</v>
      </c>
      <c r="C129" t="s" s="39">
        <v>188</v>
      </c>
      <c r="D129" s="25">
        <v>37.6533380054285</v>
      </c>
      <c r="E129" s="25">
        <v>5.87045785871056</v>
      </c>
      <c r="F129" s="25">
        <v>233.268830436846</v>
      </c>
      <c r="G129" s="25">
        <v>-17.7257824476037</v>
      </c>
      <c r="H129" s="2"/>
      <c r="I129" s="25">
        <v>4.7</v>
      </c>
      <c r="J129" s="25" cm="1">
        <f t="array" ref="J129">I129/1000</f>
        <v>0.0047</v>
      </c>
      <c r="K129" s="2"/>
      <c r="L129" s="25" cm="1">
        <f t="array" ref="L129">D129*$J129</f>
        <v>0.176970688625514</v>
      </c>
      <c r="M129" s="25" cm="1">
        <f t="array" ref="M129">E129*$J129</f>
        <v>0.0275911519359396</v>
      </c>
      <c r="N129" s="25" cm="1">
        <f t="array" ref="N129">F129*$J129</f>
        <v>1.09636350305318</v>
      </c>
      <c r="O129" s="25" cm="1">
        <f t="array" ref="O129">G129*$J129</f>
        <v>-0.0833111775037374</v>
      </c>
      <c r="P129" s="2"/>
      <c r="Q129" s="25">
        <v>0.0183999999999997</v>
      </c>
      <c r="R129" s="25">
        <v>0.010209657</v>
      </c>
      <c r="S129" s="25" cm="1">
        <f t="array" ref="S129">L129/$R129</f>
        <v>17.3336566179955</v>
      </c>
      <c r="T129" s="25" cm="1">
        <f t="array" ref="T129">M129/$R129</f>
        <v>2.70245630543118</v>
      </c>
      <c r="U129" s="25" cm="1">
        <f t="array" ref="U129">N129/$R129</f>
        <v>107.384949666103</v>
      </c>
      <c r="V129" s="25" cm="1">
        <f t="array" ref="V129">O129/$R129</f>
        <v>-8.160036865463489</v>
      </c>
      <c r="W129" s="2"/>
      <c r="X129" s="2"/>
      <c r="Y129" s="2"/>
      <c r="Z129" s="2"/>
      <c r="AA129" s="2"/>
      <c r="AB129" s="2"/>
      <c r="AC129" s="26"/>
      <c r="AD129" s="26"/>
      <c r="AE129" s="26"/>
      <c r="AF129" s="26"/>
    </row>
    <row r="130" ht="17" customHeight="1">
      <c r="A130" s="2"/>
      <c r="B130" t="s" s="24">
        <v>88</v>
      </c>
      <c r="C130" t="s" s="39">
        <v>189</v>
      </c>
      <c r="D130" s="25">
        <v>20.5156649446061</v>
      </c>
      <c r="E130" s="25">
        <v>4.41407982367024</v>
      </c>
      <c r="F130" s="25">
        <v>32.6210400199522</v>
      </c>
      <c r="G130" s="25">
        <v>-8.55207902933159</v>
      </c>
      <c r="H130" s="2"/>
      <c r="I130" s="25">
        <v>4.7</v>
      </c>
      <c r="J130" s="25" cm="1">
        <f t="array" ref="J130">I130/1000</f>
        <v>0.0047</v>
      </c>
      <c r="K130" s="2"/>
      <c r="L130" s="25" cm="1">
        <f t="array" ref="L130">D130*$J130</f>
        <v>0.0964236252396487</v>
      </c>
      <c r="M130" s="25" cm="1">
        <f t="array" ref="M130">E130*$J130</f>
        <v>0.0207461751712501</v>
      </c>
      <c r="N130" s="25" cm="1">
        <f t="array" ref="N130">F130*$J130</f>
        <v>0.153318888093775</v>
      </c>
      <c r="O130" s="25" cm="1">
        <f t="array" ref="O130">G130*$J130</f>
        <v>-0.0401947714378585</v>
      </c>
      <c r="P130" s="2"/>
      <c r="Q130" s="25">
        <v>0.0186000000000011</v>
      </c>
      <c r="R130" s="25">
        <v>0.010209657</v>
      </c>
      <c r="S130" s="25" cm="1">
        <f t="array" ref="S130">L130/$R130</f>
        <v>9.44435501012901</v>
      </c>
      <c r="T130" s="25" cm="1">
        <f t="array" ref="T130">M130/$R130</f>
        <v>2.03201490228811</v>
      </c>
      <c r="U130" s="25" cm="1">
        <f t="array" ref="U130">N130/$R130</f>
        <v>15.0170459295327</v>
      </c>
      <c r="V130" s="25" cm="1">
        <f t="array" ref="V130">O130/$R130</f>
        <v>-3.93693651391604</v>
      </c>
      <c r="W130" s="2"/>
      <c r="X130" s="25" cm="1">
        <f t="array" ref="X130">AVERAGE(S129:S131)</f>
        <v>12.8185775380058</v>
      </c>
      <c r="Y130" s="25" cm="1">
        <f t="array" ref="Y130">AVERAGE(T129:T131)</f>
        <v>2.53492994939224</v>
      </c>
      <c r="Z130" s="25" cm="1">
        <f t="array" ref="Z130">AVERAGE(U129:U131)</f>
        <v>59.4614089318129</v>
      </c>
      <c r="AA130" s="25" cm="1">
        <f t="array" ref="AA130">AVERAGE(V129:V131)</f>
        <v>-5.33526365047206</v>
      </c>
      <c r="AB130" s="2"/>
      <c r="AC130" s="26"/>
      <c r="AD130" s="26"/>
      <c r="AE130" s="26"/>
      <c r="AF130" s="26"/>
    </row>
    <row r="131" ht="17" customHeight="1">
      <c r="A131" s="2"/>
      <c r="B131" t="s" s="36">
        <v>90</v>
      </c>
      <c r="C131" t="s" s="39">
        <v>190</v>
      </c>
      <c r="D131" s="25">
        <v>25.3671331505675</v>
      </c>
      <c r="E131" s="25">
        <v>6.23509974463334</v>
      </c>
      <c r="F131" s="25">
        <v>121.608378435040</v>
      </c>
      <c r="G131" s="25">
        <v>-8.49099716724827</v>
      </c>
      <c r="H131" s="2"/>
      <c r="I131" s="25">
        <v>4.7</v>
      </c>
      <c r="J131" s="25" cm="1">
        <f t="array" ref="J131">I131/1000</f>
        <v>0.0047</v>
      </c>
      <c r="K131" s="2"/>
      <c r="L131" s="25" cm="1">
        <f t="array" ref="L131">D131*$J131</f>
        <v>0.119225525807667</v>
      </c>
      <c r="M131" s="25" cm="1">
        <f t="array" ref="M131">E131*$J131</f>
        <v>0.0293049687997767</v>
      </c>
      <c r="N131" s="25" cm="1">
        <f t="array" ref="N131">F131*$J131</f>
        <v>0.571559378644688</v>
      </c>
      <c r="O131" s="25" cm="1">
        <f t="array" ref="O131">G131*$J131</f>
        <v>-0.0399076866860669</v>
      </c>
      <c r="P131" s="2"/>
      <c r="Q131" s="25">
        <v>0.017199999999999</v>
      </c>
      <c r="R131" s="25">
        <v>0.010209657</v>
      </c>
      <c r="S131" s="25" cm="1">
        <f t="array" ref="S131">L131/$R131</f>
        <v>11.6777209858928</v>
      </c>
      <c r="T131" s="25" cm="1">
        <f t="array" ref="T131">M131/$R131</f>
        <v>2.87031864045743</v>
      </c>
      <c r="U131" s="25" cm="1">
        <f t="array" ref="U131">N131/$R131</f>
        <v>55.9822311998031</v>
      </c>
      <c r="V131" s="25" cm="1">
        <f t="array" ref="V131">O131/$R131</f>
        <v>-3.90881757203664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17" customHeight="1">
      <c r="A132" s="2"/>
      <c r="B132" t="s" s="19">
        <v>92</v>
      </c>
      <c r="C132" t="s" s="39">
        <v>191</v>
      </c>
      <c r="D132" s="25">
        <v>22.2673731512346</v>
      </c>
      <c r="E132" s="25">
        <v>81.6253430446591</v>
      </c>
      <c r="F132" s="25">
        <v>1889.665465971680</v>
      </c>
      <c r="G132" s="25">
        <v>0.279906107452378</v>
      </c>
      <c r="H132" s="2"/>
      <c r="I132" s="25">
        <v>4.7</v>
      </c>
      <c r="J132" s="25" cm="1">
        <f t="array" ref="J132">I132/1000</f>
        <v>0.0047</v>
      </c>
      <c r="K132" s="2"/>
      <c r="L132" s="25" cm="1">
        <f t="array" ref="L132">D132*$J132</f>
        <v>0.104656653810803</v>
      </c>
      <c r="M132" s="25" cm="1">
        <f t="array" ref="M132">E132*$J132</f>
        <v>0.383639112309898</v>
      </c>
      <c r="N132" s="25" cm="1">
        <f t="array" ref="N132">F132*$J132</f>
        <v>8.8814276900669</v>
      </c>
      <c r="O132" s="25" cm="1">
        <f t="array" ref="O132">G132*$J132</f>
        <v>0.00131555870502618</v>
      </c>
      <c r="P132" s="2"/>
      <c r="Q132" s="25">
        <v>0.0177999999999994</v>
      </c>
      <c r="R132" s="25">
        <v>0.010209657</v>
      </c>
      <c r="S132" s="25" cm="1">
        <f t="array" ref="S132">L132/$R132</f>
        <v>10.250751206510</v>
      </c>
      <c r="T132" s="25" cm="1">
        <f t="array" ref="T132">M132/$R132</f>
        <v>37.5761019503298</v>
      </c>
      <c r="U132" s="25" cm="1">
        <f t="array" ref="U132">N132/$R132</f>
        <v>869.904609926357</v>
      </c>
      <c r="V132" s="25" cm="1">
        <f t="array" ref="V132">O132/$R132</f>
        <v>0.128854348880298</v>
      </c>
      <c r="W132" s="2"/>
      <c r="X132" s="25" cm="1">
        <f t="array" ref="X132">S132-X$3-X$139</f>
        <v>-17.5199802767215</v>
      </c>
      <c r="Y132" s="25" cm="1">
        <f t="array" ref="Y132">T132-Y$3-Y$139</f>
        <v>35.8335366416986</v>
      </c>
      <c r="Z132" s="25" cm="1">
        <f t="array" ref="Z132">U132-Z$3-Z$139</f>
        <v>855.386807265822</v>
      </c>
      <c r="AA132" s="25" cm="1">
        <f t="array" ref="AA132">V132-AA$3-AA$139</f>
        <v>3.2120109925899</v>
      </c>
      <c r="AB132" s="2"/>
      <c r="AC132" s="32" cm="1">
        <f t="array" ref="AC132">X132</f>
        <v>-17.5199802767215</v>
      </c>
      <c r="AD132" s="32" cm="1">
        <f t="array" ref="AD132">Y132</f>
        <v>35.8335366416986</v>
      </c>
      <c r="AE132" s="32" cm="1">
        <f t="array" ref="AE132">Z132</f>
        <v>855.386807265822</v>
      </c>
      <c r="AF132" s="32" cm="1">
        <f t="array" ref="AF132">AA132</f>
        <v>3.2120109925899</v>
      </c>
    </row>
    <row r="133" ht="17" customHeight="1">
      <c r="A133" s="2"/>
      <c r="B133" t="s" s="24">
        <v>94</v>
      </c>
      <c r="C133" t="s" s="39">
        <v>192</v>
      </c>
      <c r="D133" s="25">
        <v>24.8739357168458</v>
      </c>
      <c r="E133" s="25">
        <v>68.9222425022428</v>
      </c>
      <c r="F133" s="25">
        <v>845.449752225724</v>
      </c>
      <c r="G133" s="25">
        <v>-5.41336057619613</v>
      </c>
      <c r="H133" s="2"/>
      <c r="I133" s="25">
        <v>4.7</v>
      </c>
      <c r="J133" s="25" cm="1">
        <f t="array" ref="J133">I133/1000</f>
        <v>0.0047</v>
      </c>
      <c r="K133" s="2"/>
      <c r="L133" s="25" cm="1">
        <f t="array" ref="L133">D133*$J133</f>
        <v>0.116907497869175</v>
      </c>
      <c r="M133" s="25" cm="1">
        <f t="array" ref="M133">E133*$J133</f>
        <v>0.323934539760541</v>
      </c>
      <c r="N133" s="25" cm="1">
        <f t="array" ref="N133">F133*$J133</f>
        <v>3.9736138354609</v>
      </c>
      <c r="O133" s="25" cm="1">
        <f t="array" ref="O133">G133*$J133</f>
        <v>-0.0254427947081218</v>
      </c>
      <c r="P133" s="2"/>
      <c r="Q133" s="25">
        <v>0.0167000000000002</v>
      </c>
      <c r="R133" s="25">
        <v>0.010209657</v>
      </c>
      <c r="S133" s="25" cm="1">
        <f t="array" ref="S133">L133/$R133</f>
        <v>11.4506783008651</v>
      </c>
      <c r="T133" s="25" cm="1">
        <f t="array" ref="T133">M133/$R133</f>
        <v>31.728249025461</v>
      </c>
      <c r="U133" s="25" cm="1">
        <f t="array" ref="U133">N133/$R133</f>
        <v>389.201501623502</v>
      </c>
      <c r="V133" s="25" cm="1">
        <f t="array" ref="V133">O133/$R133</f>
        <v>-2.49203226985214</v>
      </c>
      <c r="W133" s="2"/>
      <c r="X133" s="25" cm="1">
        <f t="array" ref="X133">S133-X$3-X$139</f>
        <v>-16.3200531823664</v>
      </c>
      <c r="Y133" s="25" cm="1">
        <f t="array" ref="Y133">T133-Y$3-Y$139</f>
        <v>29.9856837168298</v>
      </c>
      <c r="Z133" s="25" cm="1">
        <f t="array" ref="Z133">U133-Z$3-Z$139</f>
        <v>374.683698962967</v>
      </c>
      <c r="AA133" s="25" cm="1">
        <f t="array" ref="AA133">V133-AA$3-AA$139</f>
        <v>0.59112437385746</v>
      </c>
      <c r="AB133" s="2"/>
      <c r="AC133" s="32" cm="1">
        <f t="array" ref="AC133">X133</f>
        <v>-16.3200531823664</v>
      </c>
      <c r="AD133" s="32" cm="1">
        <f t="array" ref="AD133">Y133</f>
        <v>29.9856837168298</v>
      </c>
      <c r="AE133" s="32" cm="1">
        <f t="array" ref="AE133">Z133</f>
        <v>374.683698962967</v>
      </c>
      <c r="AF133" s="32" cm="1">
        <f t="array" ref="AF133">AA133</f>
        <v>0.59112437385746</v>
      </c>
    </row>
    <row r="134" ht="17" customHeight="1">
      <c r="A134" s="2"/>
      <c r="B134" t="s" s="24">
        <v>96</v>
      </c>
      <c r="C134" t="s" s="39">
        <v>193</v>
      </c>
      <c r="D134" s="25">
        <v>22.8233977741995</v>
      </c>
      <c r="E134" s="25">
        <v>88.7496477696566</v>
      </c>
      <c r="F134" s="25">
        <v>1014.651045708810</v>
      </c>
      <c r="G134" s="25">
        <v>-4.82770458759306</v>
      </c>
      <c r="H134" s="2"/>
      <c r="I134" s="25">
        <v>4.7</v>
      </c>
      <c r="J134" s="25" cm="1">
        <f t="array" ref="J134">I134/1000</f>
        <v>0.0047</v>
      </c>
      <c r="K134" s="2"/>
      <c r="L134" s="25" cm="1">
        <f t="array" ref="L134">D134*$J134</f>
        <v>0.107269969538738</v>
      </c>
      <c r="M134" s="25" cm="1">
        <f t="array" ref="M134">E134*$J134</f>
        <v>0.417123344517386</v>
      </c>
      <c r="N134" s="25" cm="1">
        <f t="array" ref="N134">F134*$J134</f>
        <v>4.76885991483141</v>
      </c>
      <c r="O134" s="25" cm="1">
        <f t="array" ref="O134">G134*$J134</f>
        <v>-0.0226902115616874</v>
      </c>
      <c r="P134" s="2"/>
      <c r="Q134" s="25">
        <v>0.0175999999999998</v>
      </c>
      <c r="R134" s="25">
        <v>0.010209657</v>
      </c>
      <c r="S134" s="25" cm="1">
        <f t="array" ref="S134">L134/$R134</f>
        <v>10.5067162921083</v>
      </c>
      <c r="T134" s="25" cm="1">
        <f t="array" ref="T134">M134/$R134</f>
        <v>40.855764744828</v>
      </c>
      <c r="U134" s="25" cm="1">
        <f t="array" ref="U134">N134/$R134</f>
        <v>467.093058545592</v>
      </c>
      <c r="V134" s="25" cm="1">
        <f t="array" ref="V134">O134/$R134</f>
        <v>-2.22242643035779</v>
      </c>
      <c r="W134" s="2"/>
      <c r="X134" s="25" cm="1">
        <f t="array" ref="X134">S134-X$3-X$139</f>
        <v>-17.2640151911232</v>
      </c>
      <c r="Y134" s="25" cm="1">
        <f t="array" ref="Y134">T134-Y$3-Y$139</f>
        <v>39.1131994361968</v>
      </c>
      <c r="Z134" s="25" cm="1">
        <f t="array" ref="Z134">U134-Z$3-Z$139</f>
        <v>452.575255885057</v>
      </c>
      <c r="AA134" s="25" cm="1">
        <f t="array" ref="AA134">V134-AA$3-AA$139</f>
        <v>0.86073021335181</v>
      </c>
      <c r="AB134" s="2"/>
      <c r="AC134" s="32" cm="1">
        <f t="array" ref="AC134">X134</f>
        <v>-17.2640151911232</v>
      </c>
      <c r="AD134" s="32" cm="1">
        <f t="array" ref="AD134">Y134</f>
        <v>39.1131994361968</v>
      </c>
      <c r="AE134" s="32" cm="1">
        <f t="array" ref="AE134">Z134</f>
        <v>452.575255885057</v>
      </c>
      <c r="AF134" s="32" cm="1">
        <f t="array" ref="AF134">AA134</f>
        <v>0.86073021335181</v>
      </c>
    </row>
    <row r="135" ht="17" customHeight="1">
      <c r="A135" s="2"/>
      <c r="B135" t="s" s="24">
        <v>98</v>
      </c>
      <c r="C135" t="s" s="39">
        <v>194</v>
      </c>
      <c r="D135" s="25">
        <v>20.5944099883549</v>
      </c>
      <c r="E135" s="25">
        <v>3.48332086275589</v>
      </c>
      <c r="F135" s="25">
        <v>28.9297201811736</v>
      </c>
      <c r="G135" s="25">
        <v>72.6297717625129</v>
      </c>
      <c r="H135" s="2"/>
      <c r="I135" s="25">
        <v>4.7</v>
      </c>
      <c r="J135" s="25" cm="1">
        <f t="array" ref="J135">I135/1000</f>
        <v>0.0047</v>
      </c>
      <c r="K135" s="2"/>
      <c r="L135" s="25" cm="1">
        <f t="array" ref="L135">D135*$J135</f>
        <v>0.096793726945268</v>
      </c>
      <c r="M135" s="25" cm="1">
        <f t="array" ref="M135">E135*$J135</f>
        <v>0.0163716080549527</v>
      </c>
      <c r="N135" s="25" cm="1">
        <f t="array" ref="N135">F135*$J135</f>
        <v>0.135969684851516</v>
      </c>
      <c r="O135" s="25" cm="1">
        <f t="array" ref="O135">G135*$J135</f>
        <v>0.341359927283811</v>
      </c>
      <c r="P135" s="2"/>
      <c r="Q135" s="25">
        <v>0.0182000000000002</v>
      </c>
      <c r="R135" s="25">
        <v>0.010209657</v>
      </c>
      <c r="S135" s="25" cm="1">
        <f t="array" ref="S135">L135/$R135</f>
        <v>9.480605170699469</v>
      </c>
      <c r="T135" s="25" cm="1">
        <f t="array" ref="T135">M135/$R135</f>
        <v>1.60354143679388</v>
      </c>
      <c r="U135" s="25" cm="1">
        <f t="array" ref="U135">N135/$R135</f>
        <v>13.317752481941</v>
      </c>
      <c r="V135" s="25" cm="1">
        <f t="array" ref="V135">O135/$R135</f>
        <v>33.4350044554691</v>
      </c>
      <c r="W135" s="2"/>
      <c r="X135" s="25" cm="1">
        <f t="array" ref="X135">S135-X$3-X$139</f>
        <v>-18.290126312532</v>
      </c>
      <c r="Y135" s="25" cm="1">
        <f t="array" ref="Y135">T135-Y$3-Y$139</f>
        <v>-0.13902387183735</v>
      </c>
      <c r="Z135" s="25" cm="1">
        <f t="array" ref="Z135">U135-Z$3-Z$139</f>
        <v>-1.200050178594</v>
      </c>
      <c r="AA135" s="25" cm="1">
        <f t="array" ref="AA135">V135-AA$3-AA$139</f>
        <v>36.5181610991787</v>
      </c>
      <c r="AB135" s="2"/>
      <c r="AC135" s="32" cm="1">
        <f t="array" ref="AC135">X135</f>
        <v>-18.290126312532</v>
      </c>
      <c r="AD135" s="32" cm="1">
        <f t="array" ref="AD135">Y135</f>
        <v>-0.13902387183735</v>
      </c>
      <c r="AE135" s="32" cm="1">
        <f t="array" ref="AE135">Z135</f>
        <v>-1.200050178594</v>
      </c>
      <c r="AF135" s="32" cm="1">
        <f t="array" ref="AF135">AA135</f>
        <v>36.5181610991787</v>
      </c>
    </row>
    <row r="136" ht="17" customHeight="1">
      <c r="A136" s="2"/>
      <c r="B136" t="s" s="24">
        <v>100</v>
      </c>
      <c r="C136" t="s" s="39">
        <v>195</v>
      </c>
      <c r="D136" s="25">
        <v>24.3339564807378</v>
      </c>
      <c r="E136" s="25">
        <v>4.17487317968541</v>
      </c>
      <c r="F136" s="25">
        <v>34.485306501125</v>
      </c>
      <c r="G136" s="25">
        <v>60.0914986152363</v>
      </c>
      <c r="H136" s="2"/>
      <c r="I136" s="25">
        <v>4.7</v>
      </c>
      <c r="J136" s="25" cm="1">
        <f t="array" ref="J136">I136/1000</f>
        <v>0.0047</v>
      </c>
      <c r="K136" s="2"/>
      <c r="L136" s="25" cm="1">
        <f t="array" ref="L136">D136*$J136</f>
        <v>0.114369595459468</v>
      </c>
      <c r="M136" s="25" cm="1">
        <f t="array" ref="M136">E136*$J136</f>
        <v>0.0196219039445214</v>
      </c>
      <c r="N136" s="25" cm="1">
        <f t="array" ref="N136">F136*$J136</f>
        <v>0.162080940555288</v>
      </c>
      <c r="O136" s="25" cm="1">
        <f t="array" ref="O136">G136*$J136</f>
        <v>0.282430043491611</v>
      </c>
      <c r="P136" s="2"/>
      <c r="Q136" s="25">
        <v>0.0175999999999998</v>
      </c>
      <c r="R136" s="25">
        <v>0.010209657</v>
      </c>
      <c r="S136" s="25" cm="1">
        <f t="array" ref="S136">L136/$R136</f>
        <v>11.2020996845896</v>
      </c>
      <c r="T136" s="25" cm="1">
        <f t="array" ref="T136">M136/$R136</f>
        <v>1.92189648922793</v>
      </c>
      <c r="U136" s="25" cm="1">
        <f t="array" ref="U136">N136/$R136</f>
        <v>15.8752581556156</v>
      </c>
      <c r="V136" s="25" cm="1">
        <f t="array" ref="V136">O136/$R136</f>
        <v>27.6630295701032</v>
      </c>
      <c r="W136" s="2"/>
      <c r="X136" s="25" cm="1">
        <f t="array" ref="X136">S136-X$3-X$139</f>
        <v>-16.5686317986419</v>
      </c>
      <c r="Y136" s="25" cm="1">
        <f t="array" ref="Y136">T136-Y$3-Y$139</f>
        <v>0.1793311805967</v>
      </c>
      <c r="Z136" s="25" cm="1">
        <f t="array" ref="Z136">U136-Z$3-Z$139</f>
        <v>1.3574554950806</v>
      </c>
      <c r="AA136" s="25" cm="1">
        <f t="array" ref="AA136">V136-AA$3-AA$139</f>
        <v>30.7461862138128</v>
      </c>
      <c r="AB136" s="2"/>
      <c r="AC136" s="32" cm="1">
        <f t="array" ref="AC136">X136</f>
        <v>-16.5686317986419</v>
      </c>
      <c r="AD136" s="32" cm="1">
        <f t="array" ref="AD136">Y136</f>
        <v>0.1793311805967</v>
      </c>
      <c r="AE136" s="32" cm="1">
        <f t="array" ref="AE136">Z136</f>
        <v>1.3574554950806</v>
      </c>
      <c r="AF136" s="32" cm="1">
        <f t="array" ref="AF136">AA136</f>
        <v>30.7461862138128</v>
      </c>
    </row>
    <row r="137" ht="17" customHeight="1">
      <c r="A137" s="2"/>
      <c r="B137" t="s" s="24">
        <v>102</v>
      </c>
      <c r="C137" t="s" s="39">
        <v>196</v>
      </c>
      <c r="D137" s="25">
        <v>48.0274726580997</v>
      </c>
      <c r="E137" s="25">
        <v>3.8872253051239</v>
      </c>
      <c r="F137" s="25">
        <v>26.4413039292974</v>
      </c>
      <c r="G137" s="25">
        <v>106.202238166319</v>
      </c>
      <c r="H137" s="2"/>
      <c r="I137" s="25">
        <v>4.7</v>
      </c>
      <c r="J137" s="25" cm="1">
        <f t="array" ref="J137">I137/1000</f>
        <v>0.0047</v>
      </c>
      <c r="K137" s="2"/>
      <c r="L137" s="25" cm="1">
        <f t="array" ref="L137">D137*$J137</f>
        <v>0.225729121493069</v>
      </c>
      <c r="M137" s="25" cm="1">
        <f t="array" ref="M137">E137*$J137</f>
        <v>0.0182699589340823</v>
      </c>
      <c r="N137" s="25" cm="1">
        <f t="array" ref="N137">F137*$J137</f>
        <v>0.124274128467698</v>
      </c>
      <c r="O137" s="25" cm="1">
        <f t="array" ref="O137">G137*$J137</f>
        <v>0.499150519381699</v>
      </c>
      <c r="P137" s="2"/>
      <c r="Q137" s="25">
        <v>0.0175999999999998</v>
      </c>
      <c r="R137" s="25">
        <v>0.010209657</v>
      </c>
      <c r="S137" s="25" cm="1">
        <f t="array" ref="S137">L137/$R137</f>
        <v>22.1093736540874</v>
      </c>
      <c r="T137" s="25" cm="1">
        <f t="array" ref="T137">M137/$R137</f>
        <v>1.78947822968806</v>
      </c>
      <c r="U137" s="25" cm="1">
        <f t="array" ref="U137">N137/$R137</f>
        <v>12.1722138625909</v>
      </c>
      <c r="V137" s="25" cm="1">
        <f t="array" ref="V137">O137/$R137</f>
        <v>48.8900380670672</v>
      </c>
      <c r="W137" s="2"/>
      <c r="X137" s="25" cm="1">
        <f t="array" ref="X137">S137-X$3-X$139</f>
        <v>-5.6613578291441</v>
      </c>
      <c r="Y137" s="25" cm="1">
        <f t="array" ref="Y137">T137-Y$3-Y$139</f>
        <v>0.04691292105683</v>
      </c>
      <c r="Z137" s="25" cm="1">
        <f t="array" ref="Z137">U137-Z$3-Z$139</f>
        <v>-2.3455887979441</v>
      </c>
      <c r="AA137" s="25" cm="1">
        <f t="array" ref="AA137">V137-AA$3-AA$139</f>
        <v>51.9731947107768</v>
      </c>
      <c r="AB137" s="2"/>
      <c r="AC137" s="32" cm="1">
        <f t="array" ref="AC137">X137</f>
        <v>-5.6613578291441</v>
      </c>
      <c r="AD137" s="32" cm="1">
        <f t="array" ref="AD137">Y137</f>
        <v>0.04691292105683</v>
      </c>
      <c r="AE137" s="32" cm="1">
        <f t="array" ref="AE137">Z137</f>
        <v>-2.3455887979441</v>
      </c>
      <c r="AF137" s="32" cm="1">
        <f t="array" ref="AF137">AA137</f>
        <v>51.9731947107768</v>
      </c>
    </row>
    <row r="138" ht="17" customHeight="1">
      <c r="A138" s="2"/>
      <c r="B138" t="s" s="24">
        <v>104</v>
      </c>
      <c r="C138" t="s" s="39">
        <v>197</v>
      </c>
      <c r="D138" s="25">
        <v>24.5331717024861</v>
      </c>
      <c r="E138" s="25">
        <v>3.42597239144709</v>
      </c>
      <c r="F138" s="25">
        <v>33.1222346048387</v>
      </c>
      <c r="G138" s="25">
        <v>-8.624261006639131</v>
      </c>
      <c r="H138" s="2"/>
      <c r="I138" s="25">
        <v>4.7</v>
      </c>
      <c r="J138" s="25" cm="1">
        <f t="array" ref="J138">I138/1000</f>
        <v>0.0047</v>
      </c>
      <c r="K138" s="2"/>
      <c r="L138" s="25" cm="1">
        <f t="array" ref="L138">D138*$J138</f>
        <v>0.115305907001685</v>
      </c>
      <c r="M138" s="25" cm="1">
        <f t="array" ref="M138">E138*$J138</f>
        <v>0.0161020702398013</v>
      </c>
      <c r="N138" s="25" cm="1">
        <f t="array" ref="N138">F138*$J138</f>
        <v>0.155674502642742</v>
      </c>
      <c r="O138" s="25" cm="1">
        <f t="array" ref="O138">G138*$J138</f>
        <v>-0.0405340267312039</v>
      </c>
      <c r="P138" s="2"/>
      <c r="Q138" s="25">
        <v>0.175599999999999</v>
      </c>
      <c r="R138" s="25">
        <v>0.010209657</v>
      </c>
      <c r="S138" s="25" cm="1">
        <f t="array" ref="S138">L138/$R138</f>
        <v>11.2938081075285</v>
      </c>
      <c r="T138" s="25" cm="1">
        <f t="array" ref="T138">M138/$R138</f>
        <v>1.57714115565305</v>
      </c>
      <c r="U138" s="25" cm="1">
        <f t="array" ref="U138">N138/$R138</f>
        <v>15.2477700908798</v>
      </c>
      <c r="V138" s="25" cm="1">
        <f t="array" ref="V138">O138/$R138</f>
        <v>-3.97016537687837</v>
      </c>
      <c r="W138" s="2"/>
      <c r="X138" s="2"/>
      <c r="Y138" s="2"/>
      <c r="Z138" s="2"/>
      <c r="AA138" s="2"/>
      <c r="AB138" s="2"/>
      <c r="AC138" s="26"/>
      <c r="AD138" s="26"/>
      <c r="AE138" s="26"/>
      <c r="AF138" s="26"/>
    </row>
    <row r="139" ht="17" customHeight="1">
      <c r="A139" s="2"/>
      <c r="B139" t="s" s="24">
        <v>106</v>
      </c>
      <c r="C139" t="s" s="39">
        <v>198</v>
      </c>
      <c r="D139" s="25">
        <v>14.1258532209397</v>
      </c>
      <c r="E139" s="25">
        <v>3.21560084952035</v>
      </c>
      <c r="F139" s="25">
        <v>29.5048413751156</v>
      </c>
      <c r="G139" s="25">
        <v>-3.1940094965506</v>
      </c>
      <c r="H139" s="2"/>
      <c r="I139" s="25">
        <v>4.7</v>
      </c>
      <c r="J139" s="25" cm="1">
        <f t="array" ref="J139">I139/1000</f>
        <v>0.0047</v>
      </c>
      <c r="K139" s="2"/>
      <c r="L139" s="25" cm="1">
        <f t="array" ref="L139">D139*$J139</f>
        <v>0.0663915101384166</v>
      </c>
      <c r="M139" s="25" cm="1">
        <f t="array" ref="M139">E139*$J139</f>
        <v>0.0151133239927456</v>
      </c>
      <c r="N139" s="25" cm="1">
        <f t="array" ref="N139">F139*$J139</f>
        <v>0.138672754463043</v>
      </c>
      <c r="O139" s="25" cm="1">
        <f t="array" ref="O139">G139*$J139</f>
        <v>-0.0150118446337878</v>
      </c>
      <c r="P139" s="2"/>
      <c r="Q139" s="25">
        <v>0.0177000000000014</v>
      </c>
      <c r="R139" s="25">
        <v>0.010209657</v>
      </c>
      <c r="S139" s="25" cm="1">
        <f t="array" ref="S139">L139/$R139</f>
        <v>6.50281494651746</v>
      </c>
      <c r="T139" s="25" cm="1">
        <f t="array" ref="T139">M139/$R139</f>
        <v>1.48029693776643</v>
      </c>
      <c r="U139" s="25" cm="1">
        <f t="array" ref="U139">N139/$R139</f>
        <v>13.5825086448098</v>
      </c>
      <c r="V139" s="25" cm="1">
        <f t="array" ref="V139">O139/$R139</f>
        <v>-1.47035739141754</v>
      </c>
      <c r="W139" s="2"/>
      <c r="X139" s="25" cm="1">
        <f t="array" ref="X139">AVERAGE(S138:S140)</f>
        <v>27.7707314832315</v>
      </c>
      <c r="Y139" s="25" cm="1">
        <f t="array" ref="Y139">AVERAGE(T138:T140)</f>
        <v>1.74256530863123</v>
      </c>
      <c r="Z139" s="25" cm="1">
        <f t="array" ref="Z139">AVERAGE(U138:U140)</f>
        <v>14.517802660535</v>
      </c>
      <c r="AA139" s="25" cm="1">
        <f t="array" ref="AA139">AVERAGE(V138:V140)</f>
        <v>-3.0831566437096</v>
      </c>
      <c r="AB139" s="2"/>
      <c r="AC139" s="26"/>
      <c r="AD139" s="26"/>
      <c r="AE139" s="26"/>
      <c r="AF139" s="26"/>
    </row>
    <row r="140" ht="17" customHeight="1">
      <c r="A140" s="2"/>
      <c r="B140" t="s" s="24">
        <v>108</v>
      </c>
      <c r="C140" t="s" s="39">
        <v>199</v>
      </c>
      <c r="D140" s="25">
        <v>142.317343001826</v>
      </c>
      <c r="E140" s="25">
        <v>4.71438044066494</v>
      </c>
      <c r="F140" s="25">
        <v>31.9825743760563</v>
      </c>
      <c r="G140" s="25">
        <v>-8.274051928435529</v>
      </c>
      <c r="H140" s="2"/>
      <c r="I140" s="25">
        <v>4.7</v>
      </c>
      <c r="J140" s="25" cm="1">
        <f t="array" ref="J140">I140/1000</f>
        <v>0.0047</v>
      </c>
      <c r="K140" s="2"/>
      <c r="L140" s="25" cm="1">
        <f t="array" ref="L140">D140*$J140</f>
        <v>0.668891512108582</v>
      </c>
      <c r="M140" s="25" cm="1">
        <f t="array" ref="M140">E140*$J140</f>
        <v>0.0221575880711252</v>
      </c>
      <c r="N140" s="25" cm="1">
        <f t="array" ref="N140">F140*$J140</f>
        <v>0.150318099567465</v>
      </c>
      <c r="O140" s="25" cm="1">
        <f t="array" ref="O140">G140*$J140</f>
        <v>-0.038888044063647</v>
      </c>
      <c r="P140" s="2"/>
      <c r="Q140" s="25">
        <v>0.0174000000000003</v>
      </c>
      <c r="R140" s="25">
        <v>0.010209657</v>
      </c>
      <c r="S140" s="25" cm="1">
        <f t="array" ref="S140">L140/$R140</f>
        <v>65.51557139564849</v>
      </c>
      <c r="T140" s="25" cm="1">
        <f t="array" ref="T140">M140/$R140</f>
        <v>2.17025783247422</v>
      </c>
      <c r="U140" s="25" cm="1">
        <f t="array" ref="U140">N140/$R140</f>
        <v>14.7231292459154</v>
      </c>
      <c r="V140" s="25" cm="1">
        <f t="array" ref="V140">O140/$R140</f>
        <v>-3.80894716283289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17" customHeight="1">
      <c r="A141" s="2"/>
      <c r="B141" t="s" s="24">
        <v>20</v>
      </c>
      <c r="C141" t="s" s="39">
        <v>200</v>
      </c>
      <c r="D141" s="25">
        <v>107.059783725299</v>
      </c>
      <c r="E141" s="25">
        <v>96.5516839808368</v>
      </c>
      <c r="F141" s="25">
        <v>640.915697550137</v>
      </c>
      <c r="G141" s="25">
        <v>16.0375744722132</v>
      </c>
      <c r="H141" s="2"/>
      <c r="I141" s="25">
        <v>4.7</v>
      </c>
      <c r="J141" s="25" cm="1">
        <f t="array" ref="J141">I141/1000</f>
        <v>0.0047</v>
      </c>
      <c r="K141" s="2"/>
      <c r="L141" s="25" cm="1">
        <f t="array" ref="L141">D141*$J141</f>
        <v>0.5031809835089051</v>
      </c>
      <c r="M141" s="25" cm="1">
        <f t="array" ref="M141">E141*$J141</f>
        <v>0.453792914709933</v>
      </c>
      <c r="N141" s="25" cm="1">
        <f t="array" ref="N141">F141*$J141</f>
        <v>3.01230377848564</v>
      </c>
      <c r="O141" s="25" cm="1">
        <f t="array" ref="O141">G141*$J141</f>
        <v>0.075376600019402</v>
      </c>
      <c r="P141" s="2"/>
      <c r="Q141" s="25">
        <v>0.0182000000000002</v>
      </c>
      <c r="R141" s="25">
        <v>0.010209657</v>
      </c>
      <c r="S141" s="25" cm="1">
        <f t="array" ref="S141">L141/$R141</f>
        <v>49.2848078548481</v>
      </c>
      <c r="T141" s="25" cm="1">
        <f t="array" ref="T141">M141/$R141</f>
        <v>44.4474201934436</v>
      </c>
      <c r="U141" s="25" cm="1">
        <f t="array" ref="U141">N141/$R141</f>
        <v>295.0445620735</v>
      </c>
      <c r="V141" s="25" cm="1">
        <f t="array" ref="V141">O141/$R141</f>
        <v>7.38287290350714</v>
      </c>
      <c r="W141" s="2"/>
      <c r="X141" s="25" cm="1">
        <f t="array" ref="X141">S141-X$3-X$148</f>
        <v>40.2841745111411</v>
      </c>
      <c r="Y141" s="25" cm="1">
        <f t="array" ref="Y141">T141-Y$3-Y$148</f>
        <v>38.6544621221473</v>
      </c>
      <c r="Z141" s="25" cm="1">
        <f t="array" ref="Z141">U141-Z$3-Z$148</f>
        <v>287.398928940246</v>
      </c>
      <c r="AA141" s="25" cm="1">
        <f t="array" ref="AA141">V141-AA$3-AA$148</f>
        <v>12.6556544754017</v>
      </c>
      <c r="AB141" s="2"/>
      <c r="AC141" s="32" cm="1">
        <f t="array" ref="AC141">X141</f>
        <v>40.2841745111411</v>
      </c>
      <c r="AD141" s="32" cm="1">
        <f t="array" ref="AD141">Y141</f>
        <v>38.6544621221473</v>
      </c>
      <c r="AE141" s="32" cm="1">
        <f t="array" ref="AE141">Z141</f>
        <v>287.398928940246</v>
      </c>
      <c r="AF141" s="32" cm="1">
        <f t="array" ref="AF141">AA141</f>
        <v>12.6556544754017</v>
      </c>
    </row>
    <row r="142" ht="17" customHeight="1">
      <c r="A142" s="2"/>
      <c r="B142" t="s" s="24">
        <v>22</v>
      </c>
      <c r="C142" t="s" s="39">
        <v>201</v>
      </c>
      <c r="D142" s="25">
        <v>17.0555736197845</v>
      </c>
      <c r="E142" s="25">
        <v>54.3538615188909</v>
      </c>
      <c r="F142" s="25">
        <v>950.477923335684</v>
      </c>
      <c r="G142" s="25">
        <v>18.7748588022553</v>
      </c>
      <c r="H142" s="2"/>
      <c r="I142" s="25">
        <v>4.7</v>
      </c>
      <c r="J142" s="25" cm="1">
        <f t="array" ref="J142">I142/1000</f>
        <v>0.0047</v>
      </c>
      <c r="K142" s="2"/>
      <c r="L142" s="25" cm="1">
        <f t="array" ref="L142">D142*$J142</f>
        <v>0.0801611960129872</v>
      </c>
      <c r="M142" s="25" cm="1">
        <f t="array" ref="M142">E142*$J142</f>
        <v>0.255463149138787</v>
      </c>
      <c r="N142" s="25" cm="1">
        <f t="array" ref="N142">F142*$J142</f>
        <v>4.46724623967771</v>
      </c>
      <c r="O142" s="25" cm="1">
        <f t="array" ref="O142">G142*$J142</f>
        <v>0.0882418363705999</v>
      </c>
      <c r="P142" s="2"/>
      <c r="Q142" s="25">
        <v>0.0180000000000007</v>
      </c>
      <c r="R142" s="25">
        <v>0.010209657</v>
      </c>
      <c r="S142" s="25" cm="1">
        <f t="array" ref="S142">L142/$R142</f>
        <v>7.85150725562937</v>
      </c>
      <c r="T142" s="25" cm="1">
        <f t="array" ref="T142">M142/$R142</f>
        <v>25.0217170996819</v>
      </c>
      <c r="U142" s="25" cm="1">
        <f t="array" ref="U142">N142/$R142</f>
        <v>437.551059715102</v>
      </c>
      <c r="V142" s="25" cm="1">
        <f t="array" ref="V142">O142/$R142</f>
        <v>8.64297756238039</v>
      </c>
      <c r="W142" s="2"/>
      <c r="X142" s="25" cm="1">
        <f t="array" ref="X142">S142-X$3-X$148</f>
        <v>-1.14912608807768</v>
      </c>
      <c r="Y142" s="25" cm="1">
        <f t="array" ref="Y142">T142-Y$3-Y$148</f>
        <v>19.2287590283856</v>
      </c>
      <c r="Z142" s="25" cm="1">
        <f t="array" ref="Z142">U142-Z$3-Z$148</f>
        <v>429.905426581848</v>
      </c>
      <c r="AA142" s="25" cm="1">
        <f t="array" ref="AA142">V142-AA$3-AA$148</f>
        <v>13.9157591342749</v>
      </c>
      <c r="AB142" s="2"/>
      <c r="AC142" s="32" cm="1">
        <f t="array" ref="AC142">X142</f>
        <v>-1.14912608807768</v>
      </c>
      <c r="AD142" s="32" cm="1">
        <f t="array" ref="AD142">Y142</f>
        <v>19.2287590283856</v>
      </c>
      <c r="AE142" s="32" cm="1">
        <f t="array" ref="AE142">Z142</f>
        <v>429.905426581848</v>
      </c>
      <c r="AF142" s="32" cm="1">
        <f t="array" ref="AF142">AA142</f>
        <v>13.9157591342749</v>
      </c>
    </row>
    <row r="143" ht="17" customHeight="1">
      <c r="A143" s="2"/>
      <c r="B143" t="s" s="24">
        <v>24</v>
      </c>
      <c r="C143" t="s" s="39">
        <v>202</v>
      </c>
      <c r="D143" s="25">
        <v>32.5618719378527</v>
      </c>
      <c r="E143" s="25">
        <v>62.5453421796604</v>
      </c>
      <c r="F143" s="25">
        <v>560.889034523913</v>
      </c>
      <c r="G143" s="25">
        <v>8.37464258991398</v>
      </c>
      <c r="H143" s="2"/>
      <c r="I143" s="25">
        <v>4.7</v>
      </c>
      <c r="J143" s="25" cm="1">
        <f t="array" ref="J143">I143/1000</f>
        <v>0.0047</v>
      </c>
      <c r="K143" s="2"/>
      <c r="L143" s="25" cm="1">
        <f t="array" ref="L143">D143*$J143</f>
        <v>0.153040798107908</v>
      </c>
      <c r="M143" s="25" cm="1">
        <f t="array" ref="M143">E143*$J143</f>
        <v>0.293963108244404</v>
      </c>
      <c r="N143" s="25" cm="1">
        <f t="array" ref="N143">F143*$J143</f>
        <v>2.63617846226239</v>
      </c>
      <c r="O143" s="25" cm="1">
        <f t="array" ref="O143">G143*$J143</f>
        <v>0.0393608201725957</v>
      </c>
      <c r="P143" s="2"/>
      <c r="Q143" s="25">
        <v>0.0182000000000002</v>
      </c>
      <c r="R143" s="25">
        <v>0.010209657</v>
      </c>
      <c r="S143" s="25" cm="1">
        <f t="array" ref="S143">L143/$R143</f>
        <v>14.9898079933447</v>
      </c>
      <c r="T143" s="25" cm="1">
        <f t="array" ref="T143">M143/$R143</f>
        <v>28.7926527056104</v>
      </c>
      <c r="U143" s="25" cm="1">
        <f t="array" ref="U143">N143/$R143</f>
        <v>258.204410026937</v>
      </c>
      <c r="V143" s="25" cm="1">
        <f t="array" ref="V143">O143/$R143</f>
        <v>3.85525392014597</v>
      </c>
      <c r="W143" s="2"/>
      <c r="X143" s="25" cm="1">
        <f t="array" ref="X143">S143-X$3-X$148</f>
        <v>5.98917464963765</v>
      </c>
      <c r="Y143" s="25" cm="1">
        <f t="array" ref="Y143">T143-Y$3-Y$148</f>
        <v>22.9996946343141</v>
      </c>
      <c r="Z143" s="25" cm="1">
        <f t="array" ref="Z143">U143-Z$3-Z$148</f>
        <v>250.558776893683</v>
      </c>
      <c r="AA143" s="25" cm="1">
        <f t="array" ref="AA143">V143-AA$3-AA$148</f>
        <v>9.12803549204051</v>
      </c>
      <c r="AB143" s="2"/>
      <c r="AC143" s="32" cm="1">
        <f t="array" ref="AC143">X143</f>
        <v>5.98917464963765</v>
      </c>
      <c r="AD143" s="32" cm="1">
        <f t="array" ref="AD143">Y143</f>
        <v>22.9996946343141</v>
      </c>
      <c r="AE143" s="32" cm="1">
        <f t="array" ref="AE143">Z143</f>
        <v>250.558776893683</v>
      </c>
      <c r="AF143" s="32" cm="1">
        <f t="array" ref="AF143">AA143</f>
        <v>9.12803549204051</v>
      </c>
    </row>
    <row r="144" ht="17" customHeight="1">
      <c r="A144" s="2"/>
      <c r="B144" t="s" s="24">
        <v>26</v>
      </c>
      <c r="C144" t="s" s="39">
        <v>203</v>
      </c>
      <c r="D144" s="25">
        <v>7.61863542283758</v>
      </c>
      <c r="E144" s="25">
        <v>53.2955310501237</v>
      </c>
      <c r="F144" s="25">
        <v>0.0137</v>
      </c>
      <c r="G144" s="25">
        <v>77.1576703410351</v>
      </c>
      <c r="H144" s="2"/>
      <c r="I144" s="25">
        <v>4.7</v>
      </c>
      <c r="J144" s="25" cm="1">
        <f t="array" ref="J144">I144/1000</f>
        <v>0.0047</v>
      </c>
      <c r="K144" s="2"/>
      <c r="L144" s="25" cm="1">
        <f t="array" ref="L144">D144*$J144</f>
        <v>0.0358075864873366</v>
      </c>
      <c r="M144" s="25" cm="1">
        <f t="array" ref="M144">E144*$J144</f>
        <v>0.250488995935581</v>
      </c>
      <c r="N144" s="25" cm="1">
        <f t="array" ref="N144">F144*$J144</f>
        <v>6.439e-05</v>
      </c>
      <c r="O144" s="25" cm="1">
        <f t="array" ref="O144">G144*$J144</f>
        <v>0.362641050602865</v>
      </c>
      <c r="P144" s="2"/>
      <c r="Q144" s="25">
        <v>0.0190999999999999</v>
      </c>
      <c r="R144" s="25">
        <v>0.010209657</v>
      </c>
      <c r="S144" s="25" cm="1">
        <f t="array" ref="S144">L144/$R144</f>
        <v>3.50722717593124</v>
      </c>
      <c r="T144" s="25" cm="1">
        <f t="array" ref="T144">M144/$R144</f>
        <v>24.5345162854718</v>
      </c>
      <c r="U144" s="25" cm="1">
        <f t="array" ref="U144">N144/$R144</f>
        <v>0.00630677406694466</v>
      </c>
      <c r="V144" s="25" cm="1">
        <f t="array" ref="V144">O144/$R144</f>
        <v>35.5194156476427</v>
      </c>
      <c r="W144" s="2"/>
      <c r="X144" s="25" cm="1">
        <f t="array" ref="X144">S144-X$3-X$148</f>
        <v>-5.49340616777581</v>
      </c>
      <c r="Y144" s="25" cm="1">
        <f t="array" ref="Y144">T144-Y$3-Y$148</f>
        <v>18.7415582141755</v>
      </c>
      <c r="Z144" s="25" cm="1">
        <f t="array" ref="Z144">U144-Z$3-Z$148</f>
        <v>-7.63932635918732</v>
      </c>
      <c r="AA144" s="25" cm="1">
        <f t="array" ref="AA144">V144-AA$3-AA$148</f>
        <v>40.7921972195372</v>
      </c>
      <c r="AB144" s="2"/>
      <c r="AC144" s="32" cm="1">
        <f t="array" ref="AC144">X144</f>
        <v>-5.49340616777581</v>
      </c>
      <c r="AD144" s="32" cm="1">
        <f t="array" ref="AD144">Y144</f>
        <v>18.7415582141755</v>
      </c>
      <c r="AE144" s="32" cm="1">
        <f t="array" ref="AE144">Z144</f>
        <v>-7.63932635918732</v>
      </c>
      <c r="AF144" s="32" cm="1">
        <f t="array" ref="AF144">AA144</f>
        <v>40.7921972195372</v>
      </c>
    </row>
    <row r="145" ht="17" customHeight="1">
      <c r="A145" s="2"/>
      <c r="B145" t="s" s="24">
        <v>28</v>
      </c>
      <c r="C145" t="s" s="39">
        <v>204</v>
      </c>
      <c r="D145" s="25">
        <v>210.963141467443</v>
      </c>
      <c r="E145" s="25">
        <v>15.3802304100716</v>
      </c>
      <c r="F145" s="25">
        <v>31.4259055148141</v>
      </c>
      <c r="G145" s="25">
        <v>71.30725984253399</v>
      </c>
      <c r="H145" s="2"/>
      <c r="I145" s="25">
        <v>4.7</v>
      </c>
      <c r="J145" s="25" cm="1">
        <f t="array" ref="J145">I145/1000</f>
        <v>0.0047</v>
      </c>
      <c r="K145" s="2"/>
      <c r="L145" s="25" cm="1">
        <f t="array" ref="L145">D145*$J145</f>
        <v>0.991526764896982</v>
      </c>
      <c r="M145" s="25" cm="1">
        <f t="array" ref="M145">E145*$J145</f>
        <v>0.0722870829273365</v>
      </c>
      <c r="N145" s="25" cm="1">
        <f t="array" ref="N145">F145*$J145</f>
        <v>0.147701755919626</v>
      </c>
      <c r="O145" s="25" cm="1">
        <f t="array" ref="O145">G145*$J145</f>
        <v>0.33514412125991</v>
      </c>
      <c r="P145" s="2"/>
      <c r="Q145" s="25">
        <v>0.0187000000000008</v>
      </c>
      <c r="R145" s="25">
        <v>0.010209657</v>
      </c>
      <c r="S145" s="25" cm="1">
        <f t="array" ref="S145">L145/$R145</f>
        <v>97.1165598312443</v>
      </c>
      <c r="T145" s="25" cm="1">
        <f t="array" ref="T145">M145/$R145</f>
        <v>7.08026556889585</v>
      </c>
      <c r="U145" s="25" cm="1">
        <f t="array" ref="U145">N145/$R145</f>
        <v>14.4668675862104</v>
      </c>
      <c r="V145" s="25" cm="1">
        <f t="array" ref="V145">O145/$R145</f>
        <v>32.8261881138524</v>
      </c>
      <c r="W145" s="2"/>
      <c r="X145" s="25" cm="1">
        <f t="array" ref="X145">S145-X$3-X$148</f>
        <v>88.11592648753729</v>
      </c>
      <c r="Y145" s="25" cm="1">
        <f t="array" ref="Y145">T145-Y$3-Y$148</f>
        <v>1.28730749759958</v>
      </c>
      <c r="Z145" s="25" cm="1">
        <f t="array" ref="Z145">U145-Z$3-Z$148</f>
        <v>6.82123445295614</v>
      </c>
      <c r="AA145" s="25" cm="1">
        <f t="array" ref="AA145">V145-AA$3-AA$148</f>
        <v>38.0989696857469</v>
      </c>
      <c r="AB145" s="2"/>
      <c r="AC145" s="32" cm="1">
        <f t="array" ref="AC145">X145</f>
        <v>88.11592648753729</v>
      </c>
      <c r="AD145" s="32" cm="1">
        <f t="array" ref="AD145">Y145</f>
        <v>1.28730749759958</v>
      </c>
      <c r="AE145" s="32" cm="1">
        <f t="array" ref="AE145">Z145</f>
        <v>6.82123445295614</v>
      </c>
      <c r="AF145" s="32" cm="1">
        <f t="array" ref="AF145">AA145</f>
        <v>38.0989696857469</v>
      </c>
    </row>
    <row r="146" ht="17" customHeight="1">
      <c r="A146" s="2"/>
      <c r="B146" t="s" s="24">
        <v>30</v>
      </c>
      <c r="C146" t="s" s="39">
        <v>205</v>
      </c>
      <c r="D146" s="25">
        <v>689.249010201601</v>
      </c>
      <c r="E146" s="25">
        <v>26.667969163683</v>
      </c>
      <c r="F146" s="25">
        <v>10.7901739947876</v>
      </c>
      <c r="G146" s="25">
        <v>87.4279295819572</v>
      </c>
      <c r="H146" s="2"/>
      <c r="I146" s="25">
        <v>4.7</v>
      </c>
      <c r="J146" s="25" cm="1">
        <f t="array" ref="J146">I146/1000</f>
        <v>0.0047</v>
      </c>
      <c r="K146" s="2"/>
      <c r="L146" s="25" cm="1">
        <f t="array" ref="L146">D146*$J146</f>
        <v>3.23947034794752</v>
      </c>
      <c r="M146" s="25" cm="1">
        <f t="array" ref="M146">E146*$J146</f>
        <v>0.12533945506931</v>
      </c>
      <c r="N146" s="25" cm="1">
        <f t="array" ref="N146">F146*$J146</f>
        <v>0.0507138177755017</v>
      </c>
      <c r="O146" s="25" cm="1">
        <f t="array" ref="O146">G146*$J146</f>
        <v>0.410911269035199</v>
      </c>
      <c r="P146" s="2"/>
      <c r="Q146" s="25">
        <v>0.0182000000000002</v>
      </c>
      <c r="R146" s="25">
        <v>0.010209657</v>
      </c>
      <c r="S146" s="25" cm="1">
        <f t="array" ref="S146">L146/$R146</f>
        <v>317.294728701221</v>
      </c>
      <c r="T146" s="25" cm="1">
        <f t="array" ref="T146">M146/$R146</f>
        <v>12.2765588569048</v>
      </c>
      <c r="U146" s="25" cm="1">
        <f t="array" ref="U146">N146/$R146</f>
        <v>4.96724011154358</v>
      </c>
      <c r="V146" s="25" cm="1">
        <f t="array" ref="V146">O146/$R146</f>
        <v>40.2473137966534</v>
      </c>
      <c r="W146" s="2"/>
      <c r="X146" s="25" cm="1">
        <f t="array" ref="X146">S146-X$3-X$148</f>
        <v>308.294095357514</v>
      </c>
      <c r="Y146" s="25" cm="1">
        <f t="array" ref="Y146">T146-Y$3-Y$148</f>
        <v>6.48360078560853</v>
      </c>
      <c r="Z146" s="25" cm="1">
        <f t="array" ref="Z146">U146-Z$3-Z$148</f>
        <v>-2.67839302171068</v>
      </c>
      <c r="AA146" s="25" cm="1">
        <f t="array" ref="AA146">V146-AA$3-AA$148</f>
        <v>45.5200953685479</v>
      </c>
      <c r="AB146" s="2"/>
      <c r="AC146" s="32" cm="1">
        <f t="array" ref="AC146">X146</f>
        <v>308.294095357514</v>
      </c>
      <c r="AD146" s="32" cm="1">
        <f t="array" ref="AD146">Y146</f>
        <v>6.48360078560853</v>
      </c>
      <c r="AE146" s="32" cm="1">
        <f t="array" ref="AE146">Z146</f>
        <v>-2.67839302171068</v>
      </c>
      <c r="AF146" s="32" cm="1">
        <f t="array" ref="AF146">AA146</f>
        <v>45.5200953685479</v>
      </c>
    </row>
    <row r="147" ht="17" customHeight="1">
      <c r="A147" s="2"/>
      <c r="B147" t="s" s="24">
        <v>32</v>
      </c>
      <c r="C147" t="s" s="39">
        <v>206</v>
      </c>
      <c r="D147" s="25">
        <v>28.8333574700249</v>
      </c>
      <c r="E147" s="25">
        <v>14.0951959030636</v>
      </c>
      <c r="F147" s="25">
        <v>13.2857354554077</v>
      </c>
      <c r="G147" s="25">
        <v>-17.0991004177121</v>
      </c>
      <c r="H147" s="2"/>
      <c r="I147" s="25">
        <v>4.7</v>
      </c>
      <c r="J147" s="25" cm="1">
        <f t="array" ref="J147">I147/1000</f>
        <v>0.0047</v>
      </c>
      <c r="K147" s="2"/>
      <c r="L147" s="25" cm="1">
        <f t="array" ref="L147">D147*$J147</f>
        <v>0.135516780109117</v>
      </c>
      <c r="M147" s="25" cm="1">
        <f t="array" ref="M147">E147*$J147</f>
        <v>0.0662474207443989</v>
      </c>
      <c r="N147" s="25" cm="1">
        <f t="array" ref="N147">F147*$J147</f>
        <v>0.0624429566404162</v>
      </c>
      <c r="O147" s="25" cm="1">
        <f t="array" ref="O147">G147*$J147</f>
        <v>-0.0803657719632469</v>
      </c>
      <c r="P147" s="2"/>
      <c r="Q147" s="25">
        <v>0.0182000000000002</v>
      </c>
      <c r="R147" s="25">
        <v>0.010209657</v>
      </c>
      <c r="S147" s="25" cm="1">
        <f t="array" ref="S147">L147/$R147</f>
        <v>13.273392055102</v>
      </c>
      <c r="T147" s="25" cm="1">
        <f t="array" ref="T147">M147/$R147</f>
        <v>6.48870189707636</v>
      </c>
      <c r="U147" s="25" cm="1">
        <f t="array" ref="U147">N147/$R147</f>
        <v>6.11606801682135</v>
      </c>
      <c r="V147" s="25" cm="1">
        <f t="array" ref="V147">O147/$R147</f>
        <v>-7.87154475054812</v>
      </c>
      <c r="W147" s="2"/>
      <c r="X147" s="2"/>
      <c r="Y147" s="2"/>
      <c r="Z147" s="2"/>
      <c r="AA147" s="2"/>
      <c r="AB147" s="2"/>
      <c r="AC147" s="26"/>
      <c r="AD147" s="26"/>
      <c r="AE147" s="26"/>
      <c r="AF147" s="26"/>
    </row>
    <row r="148" ht="17" customHeight="1">
      <c r="A148" s="2"/>
      <c r="B148" t="s" s="24">
        <v>34</v>
      </c>
      <c r="C148" t="s" s="39">
        <v>207</v>
      </c>
      <c r="D148" s="25">
        <v>14.5280656371525</v>
      </c>
      <c r="E148" s="25">
        <v>6.46902310302584</v>
      </c>
      <c r="F148" s="25">
        <v>7.00350279088037</v>
      </c>
      <c r="G148" s="25">
        <v>-8.763357978577339</v>
      </c>
      <c r="H148" s="2"/>
      <c r="I148" s="25">
        <v>4.7</v>
      </c>
      <c r="J148" s="25" cm="1">
        <f t="array" ref="J148">I148/1000</f>
        <v>0.0047</v>
      </c>
      <c r="K148" s="2"/>
      <c r="L148" s="25" cm="1">
        <f t="array" ref="L148">D148*$J148</f>
        <v>0.06828190849461679</v>
      </c>
      <c r="M148" s="25" cm="1">
        <f t="array" ref="M148">E148*$J148</f>
        <v>0.0304044085842214</v>
      </c>
      <c r="N148" s="25" cm="1">
        <f t="array" ref="N148">F148*$J148</f>
        <v>0.0329164631171377</v>
      </c>
      <c r="O148" s="25" cm="1">
        <f t="array" ref="O148">G148*$J148</f>
        <v>-0.0411877824993135</v>
      </c>
      <c r="P148" s="2"/>
      <c r="Q148" s="25">
        <v>0.0176999999999996</v>
      </c>
      <c r="R148" s="25">
        <v>0.010209657</v>
      </c>
      <c r="S148" s="25" cm="1">
        <f t="array" ref="S148">L148/$R148</f>
        <v>6.68797281775644</v>
      </c>
      <c r="T148" s="25" cm="1">
        <f t="array" ref="T148">M148/$R148</f>
        <v>2.97800490106782</v>
      </c>
      <c r="U148" s="25" cm="1">
        <f t="array" ref="U148">N148/$R148</f>
        <v>3.22405180870794</v>
      </c>
      <c r="V148" s="25" cm="1">
        <f t="array" ref="V148">O148/$R148</f>
        <v>-4.03419845537548</v>
      </c>
      <c r="W148" s="2"/>
      <c r="X148" s="25" cm="1">
        <f t="array" ref="X148">AVERAGE(S147:S149)</f>
        <v>9.000633343707049</v>
      </c>
      <c r="Y148" s="25" cm="1">
        <f t="array" ref="Y148">AVERAGE(T147:T149)</f>
        <v>5.79295807129627</v>
      </c>
      <c r="Z148" s="25" cm="1">
        <f t="array" ref="Z148">AVERAGE(U147:U149)</f>
        <v>7.64563313325426</v>
      </c>
      <c r="AA148" s="25" cm="1">
        <f t="array" ref="AA148">AVERAGE(V147:V149)</f>
        <v>-5.27278157189454</v>
      </c>
      <c r="AB148" s="2"/>
      <c r="AC148" s="26"/>
      <c r="AD148" s="26"/>
      <c r="AE148" s="26"/>
      <c r="AF148" s="26"/>
    </row>
    <row r="149" ht="17" customHeight="1">
      <c r="A149" s="2"/>
      <c r="B149" t="s" s="24">
        <v>36</v>
      </c>
      <c r="C149" t="s" s="39">
        <v>208</v>
      </c>
      <c r="D149" s="25">
        <v>15.2939253324049</v>
      </c>
      <c r="E149" s="25">
        <v>17.1873437109211</v>
      </c>
      <c r="F149" s="25">
        <v>29.5358416505382</v>
      </c>
      <c r="G149" s="25">
        <v>-8.49921689198553</v>
      </c>
      <c r="H149" s="2"/>
      <c r="I149" s="25">
        <v>4.7</v>
      </c>
      <c r="J149" s="25" cm="1">
        <f t="array" ref="J149">I149/1000</f>
        <v>0.0047</v>
      </c>
      <c r="K149" s="2"/>
      <c r="L149" s="25" cm="1">
        <f t="array" ref="L149">D149*$J149</f>
        <v>0.071881449062303</v>
      </c>
      <c r="M149" s="25" cm="1">
        <f t="array" ref="M149">E149*$J149</f>
        <v>0.08078051544132921</v>
      </c>
      <c r="N149" s="25" cm="1">
        <f t="array" ref="N149">F149*$J149</f>
        <v>0.13881845575753</v>
      </c>
      <c r="O149" s="25" cm="1">
        <f t="array" ref="O149">G149*$J149</f>
        <v>-0.039946319392332</v>
      </c>
      <c r="P149" s="2"/>
      <c r="Q149" s="25">
        <v>0.0179000000000009</v>
      </c>
      <c r="R149" s="25">
        <v>0.010209657</v>
      </c>
      <c r="S149" s="25" cm="1">
        <f t="array" ref="S149">L149/$R149</f>
        <v>7.04053515826271</v>
      </c>
      <c r="T149" s="25" cm="1">
        <f t="array" ref="T149">M149/$R149</f>
        <v>7.91216741574464</v>
      </c>
      <c r="U149" s="25" cm="1">
        <f t="array" ref="U149">N149/$R149</f>
        <v>13.5967795742335</v>
      </c>
      <c r="V149" s="25" cm="1">
        <f t="array" ref="V149">O149/$R149</f>
        <v>-3.91260150976002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17" customHeight="1">
      <c r="A150" s="2"/>
      <c r="B150" t="s" s="24">
        <v>38</v>
      </c>
      <c r="C150" t="s" s="39">
        <v>209</v>
      </c>
      <c r="D150" s="25">
        <v>331.815540943486</v>
      </c>
      <c r="E150" s="25">
        <v>175.803098627715</v>
      </c>
      <c r="F150" s="25">
        <v>583.477791435732</v>
      </c>
      <c r="G150" s="25">
        <v>-5.17579837652748</v>
      </c>
      <c r="H150" s="2"/>
      <c r="I150" s="25">
        <v>4.7</v>
      </c>
      <c r="J150" s="25" cm="1">
        <f t="array" ref="J150">I150/1000</f>
        <v>0.0047</v>
      </c>
      <c r="K150" s="2"/>
      <c r="L150" s="25" cm="1">
        <f t="array" ref="L150">D150*$J150</f>
        <v>1.55953304243438</v>
      </c>
      <c r="M150" s="25" cm="1">
        <f t="array" ref="M150">E150*$J150</f>
        <v>0.826274563550261</v>
      </c>
      <c r="N150" s="25" cm="1">
        <f t="array" ref="N150">F150*$J150</f>
        <v>2.74234561974794</v>
      </c>
      <c r="O150" s="25" cm="1">
        <f t="array" ref="O150">G150*$J150</f>
        <v>-0.0243262523696792</v>
      </c>
      <c r="P150" s="2"/>
      <c r="Q150" s="25">
        <v>0.0178000000000011</v>
      </c>
      <c r="R150" s="25">
        <v>0.010209657</v>
      </c>
      <c r="S150" s="25" cm="1">
        <f t="array" ref="S150">L150/$R150</f>
        <v>152.750777272378</v>
      </c>
      <c r="T150" s="25" cm="1">
        <f t="array" ref="T150">M150/$R150</f>
        <v>80.9306878331232</v>
      </c>
      <c r="U150" s="25" cm="1">
        <f t="array" ref="U150">N150/$R150</f>
        <v>268.603109756571</v>
      </c>
      <c r="V150" s="25" cm="1">
        <f t="array" ref="V150">O150/$R150</f>
        <v>-2.38267087422028</v>
      </c>
      <c r="W150" s="2"/>
      <c r="X150" s="25" cm="1">
        <f t="array" ref="X150">S150-X$3-X$157</f>
        <v>142.852853091822</v>
      </c>
      <c r="Y150" s="25" cm="1">
        <f t="array" ref="Y150">T150-Y$3-Y$157</f>
        <v>75.6345055120692</v>
      </c>
      <c r="Z150" s="25" cm="1">
        <f t="array" ref="Z150">U150-Z$3-Z$157</f>
        <v>262.943458839270</v>
      </c>
      <c r="AA150" s="25" cm="1">
        <f t="array" ref="AA150">V150-AA$3-AA$157</f>
        <v>1.56782791404059</v>
      </c>
      <c r="AB150" s="2"/>
      <c r="AC150" s="32" cm="1">
        <f t="array" ref="AC150">X150</f>
        <v>142.852853091822</v>
      </c>
      <c r="AD150" s="32" cm="1">
        <f t="array" ref="AD150">Y150</f>
        <v>75.6345055120692</v>
      </c>
      <c r="AE150" s="32" cm="1">
        <f t="array" ref="AE150">Z150</f>
        <v>262.943458839270</v>
      </c>
      <c r="AF150" s="32" cm="1">
        <f t="array" ref="AF150">AA150</f>
        <v>1.56782791404059</v>
      </c>
    </row>
    <row r="151" ht="17" customHeight="1">
      <c r="A151" s="2"/>
      <c r="B151" t="s" s="24">
        <v>40</v>
      </c>
      <c r="C151" t="s" s="39">
        <v>210</v>
      </c>
      <c r="D151" s="25">
        <v>524.100145298179</v>
      </c>
      <c r="E151" s="25">
        <v>204.700485193952</v>
      </c>
      <c r="F151" s="25">
        <v>870.734085696241</v>
      </c>
      <c r="G151" s="25">
        <v>-1.95185914051438</v>
      </c>
      <c r="H151" s="2"/>
      <c r="I151" s="25">
        <v>4.7</v>
      </c>
      <c r="J151" s="25" cm="1">
        <f t="array" ref="J151">I151/1000</f>
        <v>0.0047</v>
      </c>
      <c r="K151" s="2"/>
      <c r="L151" s="25" cm="1">
        <f t="array" ref="L151">D151*$J151</f>
        <v>2.46327068290144</v>
      </c>
      <c r="M151" s="25" cm="1">
        <f t="array" ref="M151">E151*$J151</f>
        <v>0.962092280411574</v>
      </c>
      <c r="N151" s="25" cm="1">
        <f t="array" ref="N151">F151*$J151</f>
        <v>4.09245020277233</v>
      </c>
      <c r="O151" s="25" cm="1">
        <f t="array" ref="O151">G151*$J151</f>
        <v>-0.00917373796041759</v>
      </c>
      <c r="P151" s="2"/>
      <c r="Q151" s="25">
        <v>0.0178000000000011</v>
      </c>
      <c r="R151" s="25">
        <v>0.010209657</v>
      </c>
      <c r="S151" s="25" cm="1">
        <f t="array" ref="S151">L151/$R151</f>
        <v>241.268701083831</v>
      </c>
      <c r="T151" s="25" cm="1">
        <f t="array" ref="T151">M151/$R151</f>
        <v>94.2335555848325</v>
      </c>
      <c r="U151" s="25" cm="1">
        <f t="array" ref="U151">N151/$R151</f>
        <v>400.841105903198</v>
      </c>
      <c r="V151" s="25" cm="1">
        <f t="array" ref="V151">O151/$R151</f>
        <v>-0.898535372972627</v>
      </c>
      <c r="W151" s="2"/>
      <c r="X151" s="25" cm="1">
        <f t="array" ref="X151">S151-X$3-X$157</f>
        <v>231.370776903275</v>
      </c>
      <c r="Y151" s="25" cm="1">
        <f t="array" ref="Y151">T151-Y$3-Y$157</f>
        <v>88.9373732637785</v>
      </c>
      <c r="Z151" s="25" cm="1">
        <f t="array" ref="Z151">U151-Z$3-Z$157</f>
        <v>395.181454985897</v>
      </c>
      <c r="AA151" s="25" cm="1">
        <f t="array" ref="AA151">V151-AA$3-AA$157</f>
        <v>3.05196341528824</v>
      </c>
      <c r="AB151" s="2"/>
      <c r="AC151" s="32" cm="1">
        <f t="array" ref="AC151">X151</f>
        <v>231.370776903275</v>
      </c>
      <c r="AD151" s="32" cm="1">
        <f t="array" ref="AD151">Y151</f>
        <v>88.9373732637785</v>
      </c>
      <c r="AE151" s="32" cm="1">
        <f t="array" ref="AE151">Z151</f>
        <v>395.181454985897</v>
      </c>
      <c r="AF151" s="32" cm="1">
        <f t="array" ref="AF151">AA151</f>
        <v>3.05196341528824</v>
      </c>
    </row>
    <row r="152" ht="17" customHeight="1">
      <c r="A152" s="2"/>
      <c r="B152" t="s" s="24">
        <v>42</v>
      </c>
      <c r="C152" t="s" s="39">
        <v>211</v>
      </c>
      <c r="D152" s="25">
        <v>950.773699273693</v>
      </c>
      <c r="E152" s="25">
        <v>657.230238569987</v>
      </c>
      <c r="F152" s="25">
        <v>1576.040182022180</v>
      </c>
      <c r="G152" s="25">
        <v>-5.27947163866974</v>
      </c>
      <c r="H152" s="2"/>
      <c r="I152" s="25">
        <v>4.7</v>
      </c>
      <c r="J152" s="25" cm="1">
        <f t="array" ref="J152">I152/1000</f>
        <v>0.0047</v>
      </c>
      <c r="K152" s="2"/>
      <c r="L152" s="25" cm="1">
        <f t="array" ref="L152">D152*$J152</f>
        <v>4.46863638658636</v>
      </c>
      <c r="M152" s="25" cm="1">
        <f t="array" ref="M152">E152*$J152</f>
        <v>3.08898212127894</v>
      </c>
      <c r="N152" s="25" cm="1">
        <f t="array" ref="N152">F152*$J152</f>
        <v>7.40738885550425</v>
      </c>
      <c r="O152" s="25" cm="1">
        <f t="array" ref="O152">G152*$J152</f>
        <v>-0.0248135167017478</v>
      </c>
      <c r="P152" s="2"/>
      <c r="Q152" s="25">
        <v>0.0175000000000001</v>
      </c>
      <c r="R152" s="25">
        <v>0.010209657</v>
      </c>
      <c r="S152" s="25" cm="1">
        <f t="array" ref="S152">L152/$R152</f>
        <v>437.687219716231</v>
      </c>
      <c r="T152" s="25" cm="1">
        <f t="array" ref="T152">M152/$R152</f>
        <v>302.554936104018</v>
      </c>
      <c r="U152" s="25" cm="1">
        <f t="array" ref="U152">N152/$R152</f>
        <v>725.527689667170</v>
      </c>
      <c r="V152" s="25" cm="1">
        <f t="array" ref="V152">O152/$R152</f>
        <v>-2.43039670203884</v>
      </c>
      <c r="W152" s="2"/>
      <c r="X152" s="25" cm="1">
        <f t="array" ref="X152">S152-X$3-X$157</f>
        <v>427.789295535675</v>
      </c>
      <c r="Y152" s="25" cm="1">
        <f t="array" ref="Y152">T152-Y$3-Y$157</f>
        <v>297.258753782964</v>
      </c>
      <c r="Z152" s="25" cm="1">
        <f t="array" ref="Z152">U152-Z$3-Z$157</f>
        <v>719.868038749869</v>
      </c>
      <c r="AA152" s="25" cm="1">
        <f t="array" ref="AA152">V152-AA$3-AA$157</f>
        <v>1.52010208622203</v>
      </c>
      <c r="AB152" s="2"/>
      <c r="AC152" s="32" cm="1">
        <f t="array" ref="AC152">X152</f>
        <v>427.789295535675</v>
      </c>
      <c r="AD152" s="32" cm="1">
        <f t="array" ref="AD152">Y152</f>
        <v>297.258753782964</v>
      </c>
      <c r="AE152" s="32" cm="1">
        <f t="array" ref="AE152">Z152</f>
        <v>719.868038749869</v>
      </c>
      <c r="AF152" s="32" cm="1">
        <f t="array" ref="AF152">AA152</f>
        <v>1.52010208622203</v>
      </c>
    </row>
    <row r="153" ht="17" customHeight="1">
      <c r="A153" s="2"/>
      <c r="B153" t="s" s="24">
        <v>44</v>
      </c>
      <c r="C153" t="s" s="39">
        <v>212</v>
      </c>
      <c r="D153" s="25">
        <v>1191.039854788990</v>
      </c>
      <c r="E153" s="25">
        <v>30.7887061203164</v>
      </c>
      <c r="F153" s="25">
        <v>10.0409563122282</v>
      </c>
      <c r="G153" s="25">
        <v>173.205529942910</v>
      </c>
      <c r="H153" s="2"/>
      <c r="I153" s="25">
        <v>4.7</v>
      </c>
      <c r="J153" s="25" cm="1">
        <f t="array" ref="J153">I153/1000</f>
        <v>0.0047</v>
      </c>
      <c r="K153" s="2"/>
      <c r="L153" s="25" cm="1">
        <f t="array" ref="L153">D153*$J153</f>
        <v>5.59788731750825</v>
      </c>
      <c r="M153" s="25" cm="1">
        <f t="array" ref="M153">E153*$J153</f>
        <v>0.144706918765487</v>
      </c>
      <c r="N153" s="25" cm="1">
        <f t="array" ref="N153">F153*$J153</f>
        <v>0.0471924946674725</v>
      </c>
      <c r="O153" s="25" cm="1">
        <f t="array" ref="O153">G153*$J153</f>
        <v>0.814065990731677</v>
      </c>
      <c r="P153" s="2"/>
      <c r="Q153" s="25">
        <v>0.0180000000000007</v>
      </c>
      <c r="R153" s="25">
        <v>0.010209657</v>
      </c>
      <c r="S153" s="25" cm="1">
        <f t="array" ref="S153">L153/$R153</f>
        <v>548.293377290564</v>
      </c>
      <c r="T153" s="25" cm="1">
        <f t="array" ref="T153">M153/$R153</f>
        <v>14.1735338185687</v>
      </c>
      <c r="U153" s="25" cm="1">
        <f t="array" ref="U153">N153/$R153</f>
        <v>4.62233889615219</v>
      </c>
      <c r="V153" s="25" cm="1">
        <f t="array" ref="V153">O153/$R153</f>
        <v>79.7349010580548</v>
      </c>
      <c r="W153" s="2"/>
      <c r="X153" s="25" cm="1">
        <f t="array" ref="X153">S153-X$3-X$157</f>
        <v>538.395453110008</v>
      </c>
      <c r="Y153" s="25" cm="1">
        <f t="array" ref="Y153">T153-Y$3-Y$157</f>
        <v>8.877351497514731</v>
      </c>
      <c r="Z153" s="25" cm="1">
        <f t="array" ref="Z153">U153-Z$3-Z$157</f>
        <v>-1.03731202114916</v>
      </c>
      <c r="AA153" s="25" cm="1">
        <f t="array" ref="AA153">V153-AA$3-AA$157</f>
        <v>83.6853998463157</v>
      </c>
      <c r="AB153" s="2"/>
      <c r="AC153" s="32" cm="1">
        <f t="array" ref="AC153">X153</f>
        <v>538.395453110008</v>
      </c>
      <c r="AD153" s="32" cm="1">
        <f t="array" ref="AD153">Y153</f>
        <v>8.877351497514731</v>
      </c>
      <c r="AE153" s="32" cm="1">
        <f t="array" ref="AE153">Z153</f>
        <v>-1.03731202114916</v>
      </c>
      <c r="AF153" s="32" cm="1">
        <f t="array" ref="AF153">AA153</f>
        <v>83.6853998463157</v>
      </c>
    </row>
    <row r="154" ht="17" customHeight="1">
      <c r="A154" s="2"/>
      <c r="B154" t="s" s="24">
        <v>46</v>
      </c>
      <c r="C154" t="s" s="39">
        <v>213</v>
      </c>
      <c r="D154" s="25">
        <v>4209.339376106250</v>
      </c>
      <c r="E154" s="25">
        <v>58.2864558839615</v>
      </c>
      <c r="F154" s="25">
        <v>32.9670297612392</v>
      </c>
      <c r="G154" s="25">
        <v>517.909105604347</v>
      </c>
      <c r="H154" s="2"/>
      <c r="I154" s="25">
        <v>4.7</v>
      </c>
      <c r="J154" s="25" cm="1">
        <f t="array" ref="J154">I154/1000</f>
        <v>0.0047</v>
      </c>
      <c r="K154" s="2"/>
      <c r="L154" s="25" cm="1">
        <f t="array" ref="L154">D154*$J154</f>
        <v>19.7838950676994</v>
      </c>
      <c r="M154" s="25" cm="1">
        <f t="array" ref="M154">E154*$J154</f>
        <v>0.273946342654619</v>
      </c>
      <c r="N154" s="25" cm="1">
        <f t="array" ref="N154">F154*$J154</f>
        <v>0.154945039877824</v>
      </c>
      <c r="O154" s="25" cm="1">
        <f t="array" ref="O154">G154*$J154</f>
        <v>2.43417279634043</v>
      </c>
      <c r="P154" s="2"/>
      <c r="Q154" s="25">
        <v>0.0178999999999991</v>
      </c>
      <c r="R154" s="25">
        <v>0.010209657</v>
      </c>
      <c r="S154" s="25" cm="1">
        <f t="array" ref="S154">L154/$R154</f>
        <v>1937.762950087290</v>
      </c>
      <c r="T154" s="25" cm="1">
        <f t="array" ref="T154">M154/$R154</f>
        <v>26.8320809067943</v>
      </c>
      <c r="U154" s="25" cm="1">
        <f t="array" ref="U154">N154/$R154</f>
        <v>15.1763217782756</v>
      </c>
      <c r="V154" s="25" cm="1">
        <f t="array" ref="V154">O154/$R154</f>
        <v>238.418665420438</v>
      </c>
      <c r="W154" s="2"/>
      <c r="X154" s="25" cm="1">
        <f t="array" ref="X154">S154-X$3-X$157</f>
        <v>1927.865025906730</v>
      </c>
      <c r="Y154" s="25" cm="1">
        <f t="array" ref="Y154">T154-Y$3-Y$157</f>
        <v>21.5358985857403</v>
      </c>
      <c r="Z154" s="25" cm="1">
        <f t="array" ref="Z154">U154-Z$3-Z$157</f>
        <v>9.51667086097425</v>
      </c>
      <c r="AA154" s="25" cm="1">
        <f t="array" ref="AA154">V154-AA$3-AA$157</f>
        <v>242.369164208699</v>
      </c>
      <c r="AB154" s="2"/>
      <c r="AC154" s="32" cm="1">
        <f t="array" ref="AC154">X154</f>
        <v>1927.865025906730</v>
      </c>
      <c r="AD154" s="32" cm="1">
        <f t="array" ref="AD154">Y154</f>
        <v>21.5358985857403</v>
      </c>
      <c r="AE154" s="32" cm="1">
        <f t="array" ref="AE154">Z154</f>
        <v>9.51667086097425</v>
      </c>
      <c r="AF154" s="32" cm="1">
        <f t="array" ref="AF154">AA154</f>
        <v>242.369164208699</v>
      </c>
    </row>
    <row r="155" ht="17" customHeight="1">
      <c r="A155" s="2"/>
      <c r="B155" t="s" s="24">
        <v>48</v>
      </c>
      <c r="C155" t="s" s="39">
        <v>214</v>
      </c>
      <c r="D155" s="25">
        <v>509.699552240633</v>
      </c>
      <c r="E155" s="25">
        <v>23.0957571796332</v>
      </c>
      <c r="F155" s="25">
        <v>31.104940728411</v>
      </c>
      <c r="G155" s="25">
        <v>51.9114294798486</v>
      </c>
      <c r="H155" s="2"/>
      <c r="I155" s="25">
        <v>4.7</v>
      </c>
      <c r="J155" s="25" cm="1">
        <f t="array" ref="J155">I155/1000</f>
        <v>0.0047</v>
      </c>
      <c r="K155" s="2"/>
      <c r="L155" s="25" cm="1">
        <f t="array" ref="L155">D155*$J155</f>
        <v>2.39558789553098</v>
      </c>
      <c r="M155" s="25" cm="1">
        <f t="array" ref="M155">E155*$J155</f>
        <v>0.108550058744276</v>
      </c>
      <c r="N155" s="25" cm="1">
        <f t="array" ref="N155">F155*$J155</f>
        <v>0.146193221423532</v>
      </c>
      <c r="O155" s="25" cm="1">
        <f t="array" ref="O155">G155*$J155</f>
        <v>0.243983718555288</v>
      </c>
      <c r="P155" s="2"/>
      <c r="Q155" s="25">
        <v>0.0174000000000003</v>
      </c>
      <c r="R155" s="25">
        <v>0.010209657</v>
      </c>
      <c r="S155" s="25" cm="1">
        <f t="array" ref="S155">L155/$R155</f>
        <v>234.639410073324</v>
      </c>
      <c r="T155" s="25" cm="1">
        <f t="array" ref="T155">M155/$R155</f>
        <v>10.6320965282454</v>
      </c>
      <c r="U155" s="25" cm="1">
        <f t="array" ref="U155">N155/$R155</f>
        <v>14.3191119372112</v>
      </c>
      <c r="V155" s="25" cm="1">
        <f t="array" ref="V155">O155/$R155</f>
        <v>23.8973472424478</v>
      </c>
      <c r="W155" s="2"/>
      <c r="X155" s="25" cm="1">
        <f t="array" ref="X155">S155-X$3-X$157</f>
        <v>224.741485892768</v>
      </c>
      <c r="Y155" s="25" cm="1">
        <f t="array" ref="Y155">T155-Y$3-Y$157</f>
        <v>5.33591420719143</v>
      </c>
      <c r="Z155" s="25" cm="1">
        <f t="array" ref="Z155">U155-Z$3-Z$157</f>
        <v>8.65946101990985</v>
      </c>
      <c r="AA155" s="25" cm="1">
        <f t="array" ref="AA155">V155-AA$3-AA$157</f>
        <v>27.8478460307087</v>
      </c>
      <c r="AB155" s="2"/>
      <c r="AC155" s="32" cm="1">
        <f t="array" ref="AC155">X155</f>
        <v>224.741485892768</v>
      </c>
      <c r="AD155" s="32" cm="1">
        <f t="array" ref="AD155">Y155</f>
        <v>5.33591420719143</v>
      </c>
      <c r="AE155" s="32" cm="1">
        <f t="array" ref="AE155">Z155</f>
        <v>8.65946101990985</v>
      </c>
      <c r="AF155" s="32" cm="1">
        <f t="array" ref="AF155">AA155</f>
        <v>27.8478460307087</v>
      </c>
    </row>
    <row r="156" ht="17" customHeight="1">
      <c r="A156" s="2"/>
      <c r="B156" t="s" s="24">
        <v>50</v>
      </c>
      <c r="C156" t="s" s="39">
        <v>215</v>
      </c>
      <c r="D156" s="25">
        <v>18.4791684067489</v>
      </c>
      <c r="E156" s="25">
        <v>13.1013155318566</v>
      </c>
      <c r="F156" s="25">
        <v>9.21437986158419</v>
      </c>
      <c r="G156" s="25">
        <v>-8.67922169516093</v>
      </c>
      <c r="H156" s="2"/>
      <c r="I156" s="25">
        <v>4.7</v>
      </c>
      <c r="J156" s="25" cm="1">
        <f t="array" ref="J156">I156/1000</f>
        <v>0.0047</v>
      </c>
      <c r="K156" s="2"/>
      <c r="L156" s="25" cm="1">
        <f t="array" ref="L156">D156*$J156</f>
        <v>0.0868520915117198</v>
      </c>
      <c r="M156" s="25" cm="1">
        <f t="array" ref="M156">E156*$J156</f>
        <v>0.061576182999726</v>
      </c>
      <c r="N156" s="25" cm="1">
        <f t="array" ref="N156">F156*$J156</f>
        <v>0.0433075853494457</v>
      </c>
      <c r="O156" s="25" cm="1">
        <f t="array" ref="O156">G156*$J156</f>
        <v>-0.0407923419672564</v>
      </c>
      <c r="P156" s="2"/>
      <c r="Q156" s="25">
        <v>0.0182000000000002</v>
      </c>
      <c r="R156" s="25">
        <v>0.010209657</v>
      </c>
      <c r="S156" s="25" cm="1">
        <f t="array" ref="S156">L156/$R156</f>
        <v>8.50685694061219</v>
      </c>
      <c r="T156" s="25" cm="1">
        <f t="array" ref="T156">M156/$R156</f>
        <v>6.03117058680091</v>
      </c>
      <c r="U156" s="25" cm="1">
        <f t="array" ref="U156">N156/$R156</f>
        <v>4.24182569007418</v>
      </c>
      <c r="V156" s="25" cm="1">
        <f t="array" ref="V156">O156/$R156</f>
        <v>-3.99546644586164</v>
      </c>
      <c r="W156" s="2"/>
      <c r="X156" s="2"/>
      <c r="Y156" s="2"/>
      <c r="Z156" s="2"/>
      <c r="AA156" s="2"/>
      <c r="AB156" s="2"/>
      <c r="AC156" s="26"/>
      <c r="AD156" s="26"/>
      <c r="AE156" s="26"/>
      <c r="AF156" s="26"/>
    </row>
    <row r="157" ht="17" customHeight="1">
      <c r="A157" s="2"/>
      <c r="B157" t="s" s="24">
        <v>52</v>
      </c>
      <c r="C157" t="s" s="39">
        <v>216</v>
      </c>
      <c r="D157" s="25">
        <v>18.6201239118382</v>
      </c>
      <c r="E157" s="25">
        <v>10.8945469666495</v>
      </c>
      <c r="F157" s="25">
        <v>9.41346869594434</v>
      </c>
      <c r="G157" s="25">
        <v>-8.63903384141206</v>
      </c>
      <c r="H157" s="2"/>
      <c r="I157" s="25">
        <v>4.7</v>
      </c>
      <c r="J157" s="25" cm="1">
        <f t="array" ref="J157">I157/1000</f>
        <v>0.0047</v>
      </c>
      <c r="K157" s="2"/>
      <c r="L157" s="25" cm="1">
        <f t="array" ref="L157">D157*$J157</f>
        <v>0.0875145823856395</v>
      </c>
      <c r="M157" s="25" cm="1">
        <f t="array" ref="M157">E157*$J157</f>
        <v>0.0512043707432527</v>
      </c>
      <c r="N157" s="25" cm="1">
        <f t="array" ref="N157">F157*$J157</f>
        <v>0.0442433028709384</v>
      </c>
      <c r="O157" s="25" cm="1">
        <f t="array" ref="O157">G157*$J157</f>
        <v>-0.0406034590546367</v>
      </c>
      <c r="P157" s="2"/>
      <c r="Q157" s="25">
        <v>0.0180000000000007</v>
      </c>
      <c r="R157" s="25">
        <v>0.010209657</v>
      </c>
      <c r="S157" s="25" cm="1">
        <f t="array" ref="S157">L157/$R157</f>
        <v>8.571745592005639</v>
      </c>
      <c r="T157" s="25" cm="1">
        <f t="array" ref="T157">M157/$R157</f>
        <v>5.01528804966246</v>
      </c>
      <c r="U157" s="25" cm="1">
        <f t="array" ref="U157">N157/$R157</f>
        <v>4.33347593077205</v>
      </c>
      <c r="V157" s="25" cm="1">
        <f t="array" ref="V157">O157/$R157</f>
        <v>-3.97696602879379</v>
      </c>
      <c r="W157" s="2"/>
      <c r="X157" s="25" cm="1">
        <f t="array" ref="X157">AVERAGE(S156:S158)</f>
        <v>9.89792418055581</v>
      </c>
      <c r="Y157" s="25" cm="1">
        <f t="array" ref="Y157">AVERAGE(T156:T158)</f>
        <v>5.29618232105397</v>
      </c>
      <c r="Z157" s="25" cm="1">
        <f t="array" ref="Z157">AVERAGE(U156:U158)</f>
        <v>5.65965091730135</v>
      </c>
      <c r="AA157" s="25" cm="1">
        <f t="array" ref="AA157">AVERAGE(V156:V158)</f>
        <v>-3.95049878826087</v>
      </c>
      <c r="AB157" s="2"/>
      <c r="AC157" s="26"/>
      <c r="AD157" s="26"/>
      <c r="AE157" s="26"/>
      <c r="AF157" s="26"/>
    </row>
    <row r="158" ht="17" customHeight="1">
      <c r="A158" s="2"/>
      <c r="B158" t="s" s="24">
        <v>54</v>
      </c>
      <c r="C158" t="s" s="39">
        <v>217</v>
      </c>
      <c r="D158" s="25">
        <v>27.4035231466135</v>
      </c>
      <c r="E158" s="25">
        <v>10.5183108466587</v>
      </c>
      <c r="F158" s="25">
        <v>18.2549777863324</v>
      </c>
      <c r="G158" s="25">
        <v>-8.42636421261369</v>
      </c>
      <c r="H158" s="2"/>
      <c r="I158" s="25">
        <v>4.7</v>
      </c>
      <c r="J158" s="25" cm="1">
        <f t="array" ref="J158">I158/1000</f>
        <v>0.0047</v>
      </c>
      <c r="K158" s="2"/>
      <c r="L158" s="25" cm="1">
        <f t="array" ref="L158">D158*$J158</f>
        <v>0.128796558789083</v>
      </c>
      <c r="M158" s="25" cm="1">
        <f t="array" ref="M158">E158*$J158</f>
        <v>0.0494360609792959</v>
      </c>
      <c r="N158" s="25" cm="1">
        <f t="array" ref="N158">F158*$J158</f>
        <v>0.0857983955957623</v>
      </c>
      <c r="O158" s="25" cm="1">
        <f t="array" ref="O158">G158*$J158</f>
        <v>-0.0396039117992843</v>
      </c>
      <c r="P158" s="2"/>
      <c r="Q158" s="25">
        <v>0.0185999999999993</v>
      </c>
      <c r="R158" s="25">
        <v>0.010209657</v>
      </c>
      <c r="S158" s="25" cm="1">
        <f t="array" ref="S158">L158/$R158</f>
        <v>12.6151700090496</v>
      </c>
      <c r="T158" s="25" cm="1">
        <f t="array" ref="T158">M158/$R158</f>
        <v>4.84208832669853</v>
      </c>
      <c r="U158" s="25" cm="1">
        <f t="array" ref="U158">N158/$R158</f>
        <v>8.40365113105781</v>
      </c>
      <c r="V158" s="25" cm="1">
        <f t="array" ref="V158">O158/$R158</f>
        <v>-3.87906389012719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17" customHeight="1">
      <c r="A159" s="2"/>
      <c r="B159" t="s" s="24">
        <v>56</v>
      </c>
      <c r="C159" t="s" s="39">
        <v>218</v>
      </c>
      <c r="D159" s="25">
        <v>14258.7491069623</v>
      </c>
      <c r="E159" s="25">
        <v>81305.0064040413</v>
      </c>
      <c r="F159" s="25">
        <v>30400.656091747</v>
      </c>
      <c r="G159" s="25">
        <v>26.0550880504886</v>
      </c>
      <c r="H159" s="2"/>
      <c r="I159" s="25">
        <v>4.7</v>
      </c>
      <c r="J159" s="25" cm="1">
        <f t="array" ref="J159">I159/1000</f>
        <v>0.0047</v>
      </c>
      <c r="K159" s="2"/>
      <c r="L159" s="25" cm="1">
        <f t="array" ref="L159">D159*$J159</f>
        <v>67.0161208027228</v>
      </c>
      <c r="M159" s="25" cm="1">
        <f t="array" ref="M159">E159*$J159</f>
        <v>382.133530098994</v>
      </c>
      <c r="N159" s="25" cm="1">
        <f t="array" ref="N159">F159*$J159</f>
        <v>142.883083631211</v>
      </c>
      <c r="O159" s="25" cm="1">
        <f t="array" ref="O159">G159*$J159</f>
        <v>0.122458913837296</v>
      </c>
      <c r="P159" s="2"/>
      <c r="Q159" s="25">
        <v>0.0189000000000004</v>
      </c>
      <c r="R159" s="25">
        <v>0.010209657</v>
      </c>
      <c r="S159" s="25" cm="1">
        <f t="array" ref="S159">L159/$R159</f>
        <v>6563.993364588330</v>
      </c>
      <c r="T159" s="25" cm="1">
        <f t="array" ref="T159">M159/$R159</f>
        <v>37428.635467283</v>
      </c>
      <c r="U159" s="25" cm="1">
        <f t="array" ref="U159">N159/$R159</f>
        <v>13994.8955808418</v>
      </c>
      <c r="V159" s="25" cm="1">
        <f t="array" ref="V159">O159/$R159</f>
        <v>11.9944199729037</v>
      </c>
      <c r="W159" s="2"/>
      <c r="X159" s="25" cm="1">
        <f t="array" ref="X159">S159-X$3-X$166</f>
        <v>6542.987085094660</v>
      </c>
      <c r="Y159" s="25" cm="1">
        <f t="array" ref="Y159">T159-Y$3-Y$166</f>
        <v>37419.9185672882</v>
      </c>
      <c r="Z159" s="25" cm="1">
        <f t="array" ref="Z159">U159-Z$3-Z$166</f>
        <v>13989.5532381421</v>
      </c>
      <c r="AA159" s="25" cm="1">
        <f t="array" ref="AA159">V159-AA$3-AA$166</f>
        <v>15.8397599702198</v>
      </c>
      <c r="AB159" s="2"/>
      <c r="AC159" s="32" cm="1">
        <f t="array" ref="AC159">X159</f>
        <v>6542.987085094660</v>
      </c>
      <c r="AD159" s="32" cm="1">
        <f t="array" ref="AD159">Y159</f>
        <v>37419.9185672882</v>
      </c>
      <c r="AE159" s="32" cm="1">
        <f t="array" ref="AE159">Z159</f>
        <v>13989.5532381421</v>
      </c>
      <c r="AF159" s="32" cm="1">
        <f t="array" ref="AF159">AA159</f>
        <v>15.8397599702198</v>
      </c>
    </row>
    <row r="160" ht="17" customHeight="1">
      <c r="A160" s="2"/>
      <c r="B160" t="s" s="24">
        <v>58</v>
      </c>
      <c r="C160" t="s" s="39">
        <v>219</v>
      </c>
      <c r="D160" s="25">
        <v>6381.5152337221</v>
      </c>
      <c r="E160" s="25">
        <v>57080.2442309391</v>
      </c>
      <c r="F160" s="25">
        <v>20287.9670161353</v>
      </c>
      <c r="G160" s="25">
        <v>14.7613658248872</v>
      </c>
      <c r="H160" s="2"/>
      <c r="I160" s="25">
        <v>4.7</v>
      </c>
      <c r="J160" s="25" cm="1">
        <f t="array" ref="J160">I160/1000</f>
        <v>0.0047</v>
      </c>
      <c r="K160" s="2"/>
      <c r="L160" s="25" cm="1">
        <f t="array" ref="L160">D160*$J160</f>
        <v>29.9931215984939</v>
      </c>
      <c r="M160" s="25" cm="1">
        <f t="array" ref="M160">E160*$J160</f>
        <v>268.277147885414</v>
      </c>
      <c r="N160" s="25" cm="1">
        <f t="array" ref="N160">F160*$J160</f>
        <v>95.3534449758359</v>
      </c>
      <c r="O160" s="25" cm="1">
        <f t="array" ref="O160">G160*$J160</f>
        <v>0.0693784193769698</v>
      </c>
      <c r="P160" s="2"/>
      <c r="Q160" s="25">
        <v>0.0185999999999993</v>
      </c>
      <c r="R160" s="25">
        <v>0.010209657</v>
      </c>
      <c r="S160" s="25" cm="1">
        <f t="array" ref="S160">L160/$R160</f>
        <v>2937.7207871424</v>
      </c>
      <c r="T160" s="25" cm="1">
        <f t="array" ref="T160">M160/$R160</f>
        <v>26276.8032153689</v>
      </c>
      <c r="U160" s="25" cm="1">
        <f t="array" ref="U160">N160/$R160</f>
        <v>9339.534616670850</v>
      </c>
      <c r="V160" s="25" cm="1">
        <f t="array" ref="V160">O160/$R160</f>
        <v>6.79537220270669</v>
      </c>
      <c r="W160" s="2"/>
      <c r="X160" s="25" cm="1">
        <f t="array" ref="X160">S160-X$3-X$166</f>
        <v>2916.714507648730</v>
      </c>
      <c r="Y160" s="25" cm="1">
        <f t="array" ref="Y160">T160-Y$3-Y$166</f>
        <v>26268.0863153741</v>
      </c>
      <c r="Z160" s="25" cm="1">
        <f t="array" ref="Z160">U160-Z$3-Z$166</f>
        <v>9334.192273971121</v>
      </c>
      <c r="AA160" s="25" cm="1">
        <f t="array" ref="AA160">V160-AA$3-AA$166</f>
        <v>10.6407122000228</v>
      </c>
      <c r="AB160" s="2"/>
      <c r="AC160" s="32" cm="1">
        <f t="array" ref="AC160">X160</f>
        <v>2916.714507648730</v>
      </c>
      <c r="AD160" s="32" cm="1">
        <f t="array" ref="AD160">Y160</f>
        <v>26268.0863153741</v>
      </c>
      <c r="AE160" s="32" cm="1">
        <f t="array" ref="AE160">Z160</f>
        <v>9334.192273971121</v>
      </c>
      <c r="AF160" s="32" cm="1">
        <f t="array" ref="AF160">AA160</f>
        <v>10.6407122000228</v>
      </c>
    </row>
    <row r="161" ht="17" customHeight="1">
      <c r="A161" s="2"/>
      <c r="B161" t="s" s="24">
        <v>60</v>
      </c>
      <c r="C161" t="s" s="39">
        <v>220</v>
      </c>
      <c r="D161" s="25">
        <v>48227.355358988</v>
      </c>
      <c r="E161" s="25">
        <v>63495.1800273953</v>
      </c>
      <c r="F161" s="25">
        <v>31456.6200360716</v>
      </c>
      <c r="G161" s="25">
        <v>-9.557322251987779</v>
      </c>
      <c r="H161" s="2"/>
      <c r="I161" s="25">
        <v>4.7</v>
      </c>
      <c r="J161" s="25" cm="1">
        <f t="array" ref="J161">I161/1000</f>
        <v>0.0047</v>
      </c>
      <c r="K161" s="2"/>
      <c r="L161" s="25" cm="1">
        <f t="array" ref="L161">D161*$J161</f>
        <v>226.668570187244</v>
      </c>
      <c r="M161" s="25" cm="1">
        <f t="array" ref="M161">E161*$J161</f>
        <v>298.427346128758</v>
      </c>
      <c r="N161" s="25" cm="1">
        <f t="array" ref="N161">F161*$J161</f>
        <v>147.846114169537</v>
      </c>
      <c r="O161" s="25" cm="1">
        <f t="array" ref="O161">G161*$J161</f>
        <v>-0.0449194145843426</v>
      </c>
      <c r="P161" s="2"/>
      <c r="Q161" s="25">
        <v>0.0187000000000008</v>
      </c>
      <c r="R161" s="25">
        <v>0.010209657</v>
      </c>
      <c r="S161" s="25" cm="1">
        <f t="array" ref="S161">L161/$R161</f>
        <v>22201.3893500285</v>
      </c>
      <c r="T161" s="25" cm="1">
        <f t="array" ref="T161">M161/$R161</f>
        <v>29229.9091075007</v>
      </c>
      <c r="U161" s="25" cm="1">
        <f t="array" ref="U161">N161/$R161</f>
        <v>14481.0069691408</v>
      </c>
      <c r="V161" s="25" cm="1">
        <f t="array" ref="V161">O161/$R161</f>
        <v>-4.39969869549414</v>
      </c>
      <c r="W161" s="2"/>
      <c r="X161" s="25" cm="1">
        <f t="array" ref="X161">S161-X$3-X$166</f>
        <v>22180.3830705348</v>
      </c>
      <c r="Y161" s="25" cm="1">
        <f t="array" ref="Y161">T161-Y$3-Y$166</f>
        <v>29221.1922075059</v>
      </c>
      <c r="Z161" s="25" cm="1">
        <f t="array" ref="Z161">U161-Z$3-Z$166</f>
        <v>14475.6646264411</v>
      </c>
      <c r="AA161" s="25" cm="1">
        <f t="array" ref="AA161">V161-AA$3-AA$166</f>
        <v>-0.5543586981780499</v>
      </c>
      <c r="AB161" s="2"/>
      <c r="AC161" s="32" cm="1">
        <f t="array" ref="AC161">X161</f>
        <v>22180.3830705348</v>
      </c>
      <c r="AD161" s="32" cm="1">
        <f t="array" ref="AD161">Y161</f>
        <v>29221.1922075059</v>
      </c>
      <c r="AE161" s="32" cm="1">
        <f t="array" ref="AE161">Z161</f>
        <v>14475.6646264411</v>
      </c>
      <c r="AF161" s="32" cm="1">
        <f t="array" ref="AF161">AA161</f>
        <v>-0.5543586981780499</v>
      </c>
    </row>
    <row r="162" ht="17" customHeight="1">
      <c r="A162" s="2"/>
      <c r="B162" t="s" s="24">
        <v>62</v>
      </c>
      <c r="C162" t="s" s="39">
        <v>221</v>
      </c>
      <c r="D162" s="25">
        <v>5762.925352506980</v>
      </c>
      <c r="E162" s="25">
        <v>29.527185703330</v>
      </c>
      <c r="F162" s="25">
        <v>15.441138830382</v>
      </c>
      <c r="G162" s="25">
        <v>580.602580622472</v>
      </c>
      <c r="H162" s="2"/>
      <c r="I162" s="25">
        <v>4.7</v>
      </c>
      <c r="J162" s="25" cm="1">
        <f t="array" ref="J162">I162/1000</f>
        <v>0.0047</v>
      </c>
      <c r="K162" s="2"/>
      <c r="L162" s="25" cm="1">
        <f t="array" ref="L162">D162*$J162</f>
        <v>27.0857491567828</v>
      </c>
      <c r="M162" s="25" cm="1">
        <f t="array" ref="M162">E162*$J162</f>
        <v>0.138777772805651</v>
      </c>
      <c r="N162" s="25" cm="1">
        <f t="array" ref="N162">F162*$J162</f>
        <v>0.0725733525027954</v>
      </c>
      <c r="O162" s="25" cm="1">
        <f t="array" ref="O162">G162*$J162</f>
        <v>2.72883212892562</v>
      </c>
      <c r="P162" s="2"/>
      <c r="Q162" s="25">
        <v>0.0175000000000001</v>
      </c>
      <c r="R162" s="25">
        <v>0.010209657</v>
      </c>
      <c r="S162" s="25" cm="1">
        <f t="array" ref="S162">L162/$R162</f>
        <v>2652.953880505760</v>
      </c>
      <c r="T162" s="25" cm="1">
        <f t="array" ref="T162">M162/$R162</f>
        <v>13.5927948221621</v>
      </c>
      <c r="U162" s="25" cm="1">
        <f t="array" ref="U162">N162/$R162</f>
        <v>7.1083046671201</v>
      </c>
      <c r="V162" s="25" cm="1">
        <f t="array" ref="V162">O162/$R162</f>
        <v>267.279510851894</v>
      </c>
      <c r="W162" s="2"/>
      <c r="X162" s="25" cm="1">
        <f t="array" ref="X162">S162-X$3-X$166</f>
        <v>2631.947601012090</v>
      </c>
      <c r="Y162" s="25" cm="1">
        <f t="array" ref="Y162">T162-Y$3-Y$166</f>
        <v>4.87589482736564</v>
      </c>
      <c r="Z162" s="25" cm="1">
        <f t="array" ref="Z162">U162-Z$3-Z$166</f>
        <v>1.76596196738743</v>
      </c>
      <c r="AA162" s="25" cm="1">
        <f t="array" ref="AA162">V162-AA$3-AA$166</f>
        <v>271.124850849210</v>
      </c>
      <c r="AB162" s="2"/>
      <c r="AC162" s="32" cm="1">
        <f t="array" ref="AC162">X162</f>
        <v>2631.947601012090</v>
      </c>
      <c r="AD162" s="32" cm="1">
        <f t="array" ref="AD162">Y162</f>
        <v>4.87589482736564</v>
      </c>
      <c r="AE162" s="32" cm="1">
        <f t="array" ref="AE162">Z162</f>
        <v>1.76596196738743</v>
      </c>
      <c r="AF162" s="32" cm="1">
        <f t="array" ref="AF162">AA162</f>
        <v>271.124850849210</v>
      </c>
    </row>
    <row r="163" ht="17" customHeight="1">
      <c r="A163" s="2"/>
      <c r="B163" t="s" s="24">
        <v>64</v>
      </c>
      <c r="C163" t="s" s="39">
        <v>222</v>
      </c>
      <c r="D163" s="25">
        <v>19872.4582723317</v>
      </c>
      <c r="E163" s="25">
        <v>43.0962908668287</v>
      </c>
      <c r="F163" s="25">
        <v>21.0071826597285</v>
      </c>
      <c r="G163" s="25">
        <v>1000.729745794650</v>
      </c>
      <c r="H163" s="2"/>
      <c r="I163" s="25">
        <v>4.7</v>
      </c>
      <c r="J163" s="25" cm="1">
        <f t="array" ref="J163">I163/1000</f>
        <v>0.0047</v>
      </c>
      <c r="K163" s="2"/>
      <c r="L163" s="25" cm="1">
        <f t="array" ref="L163">D163*$J163</f>
        <v>93.40055387995901</v>
      </c>
      <c r="M163" s="25" cm="1">
        <f t="array" ref="M163">E163*$J163</f>
        <v>0.202552567074095</v>
      </c>
      <c r="N163" s="25" cm="1">
        <f t="array" ref="N163">F163*$J163</f>
        <v>0.09873375850072399</v>
      </c>
      <c r="O163" s="25" cm="1">
        <f t="array" ref="O163">G163*$J163</f>
        <v>4.70342980523486</v>
      </c>
      <c r="P163" s="2"/>
      <c r="Q163" s="25">
        <v>0.0183</v>
      </c>
      <c r="R163" s="25">
        <v>0.010209657</v>
      </c>
      <c r="S163" s="25" cm="1">
        <f t="array" ref="S163">L163/$R163</f>
        <v>9148.255801341709</v>
      </c>
      <c r="T163" s="25" cm="1">
        <f t="array" ref="T163">M163/$R163</f>
        <v>19.8393116511255</v>
      </c>
      <c r="U163" s="25" cm="1">
        <f t="array" ref="U163">N163/$R163</f>
        <v>9.67062443926608</v>
      </c>
      <c r="V163" s="25" cm="1">
        <f t="array" ref="V163">O163/$R163</f>
        <v>460.684409401301</v>
      </c>
      <c r="W163" s="2"/>
      <c r="X163" s="25" cm="1">
        <f t="array" ref="X163">S163-X$3-X$166</f>
        <v>9127.249521848040</v>
      </c>
      <c r="Y163" s="25" cm="1">
        <f t="array" ref="Y163">T163-Y$3-Y$166</f>
        <v>11.122411656329</v>
      </c>
      <c r="Z163" s="25" cm="1">
        <f t="array" ref="Z163">U163-Z$3-Z$166</f>
        <v>4.32828173953341</v>
      </c>
      <c r="AA163" s="25" cm="1">
        <f t="array" ref="AA163">V163-AA$3-AA$166</f>
        <v>464.529749398617</v>
      </c>
      <c r="AB163" s="2"/>
      <c r="AC163" s="32" cm="1">
        <f t="array" ref="AC163">X163</f>
        <v>9127.249521848040</v>
      </c>
      <c r="AD163" s="32" cm="1">
        <f t="array" ref="AD163">Y163</f>
        <v>11.122411656329</v>
      </c>
      <c r="AE163" s="32" cm="1">
        <f t="array" ref="AE163">Z163</f>
        <v>4.32828173953341</v>
      </c>
      <c r="AF163" s="32" cm="1">
        <f t="array" ref="AF163">AA163</f>
        <v>464.529749398617</v>
      </c>
    </row>
    <row r="164" ht="17" customHeight="1">
      <c r="A164" s="2"/>
      <c r="B164" t="s" s="24">
        <v>66</v>
      </c>
      <c r="C164" t="s" s="39">
        <v>223</v>
      </c>
      <c r="D164" s="25">
        <v>3121.225718782410</v>
      </c>
      <c r="E164" s="25">
        <v>26.2993457767846</v>
      </c>
      <c r="F164" s="25">
        <v>14.1063871888825</v>
      </c>
      <c r="G164" s="25">
        <v>752.891059308177</v>
      </c>
      <c r="H164" s="2"/>
      <c r="I164" s="25">
        <v>4.7</v>
      </c>
      <c r="J164" s="25" cm="1">
        <f t="array" ref="J164">I164/1000</f>
        <v>0.0047</v>
      </c>
      <c r="K164" s="2"/>
      <c r="L164" s="25" cm="1">
        <f t="array" ref="L164">D164*$J164</f>
        <v>14.6697608782773</v>
      </c>
      <c r="M164" s="25" cm="1">
        <f t="array" ref="M164">E164*$J164</f>
        <v>0.123606925150888</v>
      </c>
      <c r="N164" s="25" cm="1">
        <f t="array" ref="N164">F164*$J164</f>
        <v>0.0663000197877478</v>
      </c>
      <c r="O164" s="25" cm="1">
        <f t="array" ref="O164">G164*$J164</f>
        <v>3.53858797874843</v>
      </c>
      <c r="P164" s="2"/>
      <c r="Q164" s="25">
        <v>0.0184999999999995</v>
      </c>
      <c r="R164" s="25">
        <v>0.010209657</v>
      </c>
      <c r="S164" s="25" cm="1">
        <f t="array" ref="S164">L164/$R164</f>
        <v>1436.851490532670</v>
      </c>
      <c r="T164" s="25" cm="1">
        <f t="array" ref="T164">M164/$R164</f>
        <v>12.106863643988</v>
      </c>
      <c r="U164" s="25" cm="1">
        <f t="array" ref="U164">N164/$R164</f>
        <v>6.49385378840325</v>
      </c>
      <c r="V164" s="25" cm="1">
        <f t="array" ref="V164">O164/$R164</f>
        <v>346.592248764912</v>
      </c>
      <c r="W164" s="2"/>
      <c r="X164" s="25" cm="1">
        <f t="array" ref="X164">S164-X$3-X$166</f>
        <v>1415.845211039</v>
      </c>
      <c r="Y164" s="25" cm="1">
        <f t="array" ref="Y164">T164-Y$3-Y$166</f>
        <v>3.38996364919154</v>
      </c>
      <c r="Z164" s="25" cm="1">
        <f t="array" ref="Z164">U164-Z$3-Z$166</f>
        <v>1.15151108867058</v>
      </c>
      <c r="AA164" s="25" cm="1">
        <f t="array" ref="AA164">V164-AA$3-AA$166</f>
        <v>350.437588762228</v>
      </c>
      <c r="AB164" s="2"/>
      <c r="AC164" s="32" cm="1">
        <f t="array" ref="AC164">X164</f>
        <v>1415.845211039</v>
      </c>
      <c r="AD164" s="32" cm="1">
        <f t="array" ref="AD164">Y164</f>
        <v>3.38996364919154</v>
      </c>
      <c r="AE164" s="32" cm="1">
        <f t="array" ref="AE164">Z164</f>
        <v>1.15151108867058</v>
      </c>
      <c r="AF164" s="32" cm="1">
        <f t="array" ref="AF164">AA164</f>
        <v>350.437588762228</v>
      </c>
    </row>
    <row r="165" ht="17" customHeight="1">
      <c r="A165" s="2"/>
      <c r="B165" t="s" s="24">
        <v>68</v>
      </c>
      <c r="C165" t="s" s="39">
        <v>224</v>
      </c>
      <c r="D165" s="25">
        <v>35.7787286934015</v>
      </c>
      <c r="E165" s="25">
        <v>24.6911082242802</v>
      </c>
      <c r="F165" s="25">
        <v>10.6491551703899</v>
      </c>
      <c r="G165" s="25">
        <v>-8.18115168814322</v>
      </c>
      <c r="H165" s="2"/>
      <c r="I165" s="25">
        <v>4.7</v>
      </c>
      <c r="J165" s="25" cm="1">
        <f t="array" ref="J165">I165/1000</f>
        <v>0.0047</v>
      </c>
      <c r="K165" s="2"/>
      <c r="L165" s="25" cm="1">
        <f t="array" ref="L165">D165*$J165</f>
        <v>0.168160024858987</v>
      </c>
      <c r="M165" s="25" cm="1">
        <f t="array" ref="M165">E165*$J165</f>
        <v>0.116048208654117</v>
      </c>
      <c r="N165" s="25" cm="1">
        <f t="array" ref="N165">F165*$J165</f>
        <v>0.0500510293008325</v>
      </c>
      <c r="O165" s="25" cm="1">
        <f t="array" ref="O165">G165*$J165</f>
        <v>-0.0384514129342731</v>
      </c>
      <c r="P165" s="2"/>
      <c r="Q165" s="25">
        <v>0.0182000000000002</v>
      </c>
      <c r="R165" s="25">
        <v>0.010209657</v>
      </c>
      <c r="S165" s="25" cm="1">
        <f t="array" ref="S165">L165/$R165</f>
        <v>16.4706830855324</v>
      </c>
      <c r="T165" s="25" cm="1">
        <f t="array" ref="T165">M165/$R165</f>
        <v>11.3665139440157</v>
      </c>
      <c r="U165" s="25" cm="1">
        <f t="array" ref="U165">N165/$R165</f>
        <v>4.90232231120326</v>
      </c>
      <c r="V165" s="25" cm="1">
        <f t="array" ref="V165">O165/$R165</f>
        <v>-3.7661806791622</v>
      </c>
      <c r="W165" s="2"/>
      <c r="X165" s="2"/>
      <c r="Y165" s="2"/>
      <c r="Z165" s="2"/>
      <c r="AA165" s="2"/>
      <c r="AB165" s="2"/>
      <c r="AC165" s="26"/>
      <c r="AD165" s="26"/>
      <c r="AE165" s="26"/>
      <c r="AF165" s="26"/>
    </row>
    <row r="166" ht="17" customHeight="1">
      <c r="A166" s="2"/>
      <c r="B166" t="s" s="24">
        <v>70</v>
      </c>
      <c r="C166" t="s" s="39">
        <v>225</v>
      </c>
      <c r="D166" s="25">
        <v>85.35833424681149</v>
      </c>
      <c r="E166" s="25">
        <v>17.8190477530814</v>
      </c>
      <c r="F166" s="25">
        <v>12.8522005241509</v>
      </c>
      <c r="G166" s="25">
        <v>-8.39345090643463</v>
      </c>
      <c r="H166" s="2"/>
      <c r="I166" s="25">
        <v>4.7</v>
      </c>
      <c r="J166" s="25" cm="1">
        <f t="array" ref="J166">I166/1000</f>
        <v>0.0047</v>
      </c>
      <c r="K166" s="2"/>
      <c r="L166" s="25" cm="1">
        <f t="array" ref="L166">D166*$J166</f>
        <v>0.401184170960014</v>
      </c>
      <c r="M166" s="25" cm="1">
        <f t="array" ref="M166">E166*$J166</f>
        <v>0.08374952443948259</v>
      </c>
      <c r="N166" s="25" cm="1">
        <f t="array" ref="N166">F166*$J166</f>
        <v>0.0604053424635092</v>
      </c>
      <c r="O166" s="25" cm="1">
        <f t="array" ref="O166">G166*$J166</f>
        <v>-0.0394492192602428</v>
      </c>
      <c r="P166" s="2"/>
      <c r="Q166" s="25">
        <v>0.0179000000000009</v>
      </c>
      <c r="R166" s="25">
        <v>0.010209657</v>
      </c>
      <c r="S166" s="25" cm="1">
        <f t="array" ref="S166">L166/$R166</f>
        <v>39.2945787463785</v>
      </c>
      <c r="T166" s="25" cm="1">
        <f t="array" ref="T166">M166/$R166</f>
        <v>8.20297140633447</v>
      </c>
      <c r="U166" s="25" cm="1">
        <f t="array" ref="U166">N166/$R166</f>
        <v>5.91649087364142</v>
      </c>
      <c r="V166" s="25" cm="1">
        <f t="array" ref="V166">O166/$R166</f>
        <v>-3.86391229991789</v>
      </c>
      <c r="W166" s="2"/>
      <c r="X166" s="25" cm="1">
        <f t="array" ref="X166">AVERAGE(S165:S167)</f>
        <v>21.0062794936744</v>
      </c>
      <c r="Y166" s="25" cm="1">
        <f t="array" ref="Y166">AVERAGE(T165:T167)</f>
        <v>8.71689999479646</v>
      </c>
      <c r="Z166" s="25" cm="1">
        <f t="array" ref="Z166">AVERAGE(U165:U167)</f>
        <v>5.34234269973267</v>
      </c>
      <c r="AA166" s="25" cm="1">
        <f t="array" ref="AA166">AVERAGE(V165:V167)</f>
        <v>-3.84533999731609</v>
      </c>
      <c r="AB166" s="2"/>
      <c r="AC166" s="26"/>
      <c r="AD166" s="26"/>
      <c r="AE166" s="26"/>
      <c r="AF166" s="26"/>
    </row>
    <row r="167" ht="17" customHeight="1">
      <c r="A167" s="2"/>
      <c r="B167" t="s" s="36">
        <v>72</v>
      </c>
      <c r="C167" t="s" s="39">
        <v>226</v>
      </c>
      <c r="D167" s="25">
        <v>15.7567084277969</v>
      </c>
      <c r="E167" s="25">
        <v>14.2961583099832</v>
      </c>
      <c r="F167" s="25">
        <v>11.3136357144323</v>
      </c>
      <c r="G167" s="25">
        <v>-8.484718099663541</v>
      </c>
      <c r="H167" s="2"/>
      <c r="I167" s="25">
        <v>4.7</v>
      </c>
      <c r="J167" s="25" cm="1">
        <f t="array" ref="J167">I167/1000</f>
        <v>0.0047</v>
      </c>
      <c r="K167" s="2"/>
      <c r="L167" s="25" cm="1">
        <f t="array" ref="L167">D167*$J167</f>
        <v>0.07405652961064541</v>
      </c>
      <c r="M167" s="25" cm="1">
        <f t="array" ref="M167">E167*$J167</f>
        <v>0.067191944056921</v>
      </c>
      <c r="N167" s="25" cm="1">
        <f t="array" ref="N167">F167*$J167</f>
        <v>0.0531740878578318</v>
      </c>
      <c r="O167" s="25" cm="1">
        <f t="array" ref="O167">G167*$J167</f>
        <v>-0.0398781750684186</v>
      </c>
      <c r="P167" s="2"/>
      <c r="Q167" s="25">
        <v>0.0178999999999991</v>
      </c>
      <c r="R167" s="25">
        <v>0.010209657</v>
      </c>
      <c r="S167" s="25" cm="1">
        <f t="array" ref="S167">L167/$R167</f>
        <v>7.25357664911225</v>
      </c>
      <c r="T167" s="25" cm="1">
        <f t="array" ref="T167">M167/$R167</f>
        <v>6.58121463403922</v>
      </c>
      <c r="U167" s="25" cm="1">
        <f t="array" ref="U167">N167/$R167</f>
        <v>5.20821491435332</v>
      </c>
      <c r="V167" s="25" cm="1">
        <f t="array" ref="V167">O167/$R167</f>
        <v>-3.90592701286817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17" customHeight="1">
      <c r="A168" s="2"/>
      <c r="B168" t="s" s="19">
        <v>74</v>
      </c>
      <c r="C168" t="s" s="39">
        <v>227</v>
      </c>
      <c r="D168" s="25">
        <v>9.919593324239541</v>
      </c>
      <c r="E168" s="25">
        <v>64.9090611277679</v>
      </c>
      <c r="F168" s="25">
        <v>30.9329607816013</v>
      </c>
      <c r="G168" s="25">
        <v>-9.546797005341009</v>
      </c>
      <c r="H168" s="2"/>
      <c r="I168" s="25">
        <v>4.7</v>
      </c>
      <c r="J168" s="25" cm="1">
        <f t="array" ref="J168">I168/1000</f>
        <v>0.0047</v>
      </c>
      <c r="K168" s="2"/>
      <c r="L168" s="25" cm="1">
        <f t="array" ref="L168">D168*$J168</f>
        <v>0.0466220886239258</v>
      </c>
      <c r="M168" s="25" cm="1">
        <f t="array" ref="M168">E168*$J168</f>
        <v>0.305072587300509</v>
      </c>
      <c r="N168" s="25" cm="1">
        <f t="array" ref="N168">F168*$J168</f>
        <v>0.145384915673526</v>
      </c>
      <c r="O168" s="25" cm="1">
        <f t="array" ref="O168">G168*$J168</f>
        <v>-0.0448699459251027</v>
      </c>
      <c r="P168" s="2"/>
      <c r="Q168" s="25">
        <v>0.0143000000000004</v>
      </c>
      <c r="R168" s="25">
        <v>0.010209657</v>
      </c>
      <c r="S168" s="25" cm="1">
        <f t="array" ref="S168">L168/$R168</f>
        <v>4.56646963006943</v>
      </c>
      <c r="T168" s="25" cm="1">
        <f t="array" ref="T168">M168/$R168</f>
        <v>29.8807871117031</v>
      </c>
      <c r="U168" s="25" cm="1">
        <f t="array" ref="U168">N168/$R168</f>
        <v>14.2399412314758</v>
      </c>
      <c r="V168" s="25" cm="1">
        <f t="array" ref="V168">O168/$R168</f>
        <v>-4.39485341428245</v>
      </c>
      <c r="W168" s="2"/>
      <c r="X168" s="25" cm="1">
        <f t="array" ref="X168">S168-X$3-X$175</f>
        <v>-2.50735037309658</v>
      </c>
      <c r="Y168" s="25" cm="1">
        <f t="array" ref="Y168">T168-Y$3-Y$175</f>
        <v>28.7995919184701</v>
      </c>
      <c r="Z168" s="25" cm="1">
        <f t="array" ref="Z168">U168-Z$3-Z$175</f>
        <v>10.3375116900928</v>
      </c>
      <c r="AA168" s="25" cm="1">
        <f t="array" ref="AA168">V168-AA$3-AA$175</f>
        <v>1.83446830258556</v>
      </c>
      <c r="AB168" s="2"/>
      <c r="AC168" s="32" cm="1">
        <f t="array" ref="AC168">X168</f>
        <v>-2.50735037309658</v>
      </c>
      <c r="AD168" s="32" cm="1">
        <f t="array" ref="AD168">Y168</f>
        <v>28.7995919184701</v>
      </c>
      <c r="AE168" s="32" cm="1">
        <f t="array" ref="AE168">Z168</f>
        <v>10.3375116900928</v>
      </c>
      <c r="AF168" s="32" cm="1">
        <f t="array" ref="AF168">AA168</f>
        <v>1.83446830258556</v>
      </c>
    </row>
    <row r="169" ht="17" customHeight="1">
      <c r="A169" s="2"/>
      <c r="B169" t="s" s="24">
        <v>76</v>
      </c>
      <c r="C169" t="s" s="39">
        <v>228</v>
      </c>
      <c r="D169" s="25">
        <v>24.3878434296226</v>
      </c>
      <c r="E169" s="25">
        <v>37.8626856494575</v>
      </c>
      <c r="F169" s="25">
        <v>41.7189801910705</v>
      </c>
      <c r="G169" s="25">
        <v>9.50338116397219</v>
      </c>
      <c r="H169" s="2"/>
      <c r="I169" s="25">
        <v>4.7</v>
      </c>
      <c r="J169" s="25" cm="1">
        <f t="array" ref="J169">I169/1000</f>
        <v>0.0047</v>
      </c>
      <c r="K169" s="2"/>
      <c r="L169" s="25" cm="1">
        <f t="array" ref="L169">D169*$J169</f>
        <v>0.114622864119226</v>
      </c>
      <c r="M169" s="25" cm="1">
        <f t="array" ref="M169">E169*$J169</f>
        <v>0.17795462255245</v>
      </c>
      <c r="N169" s="25" cm="1">
        <f t="array" ref="N169">F169*$J169</f>
        <v>0.196079206898031</v>
      </c>
      <c r="O169" s="25" cm="1">
        <f t="array" ref="O169">G169*$J169</f>
        <v>0.0446658914706693</v>
      </c>
      <c r="P169" s="2"/>
      <c r="Q169" s="25">
        <v>0.0180000000000007</v>
      </c>
      <c r="R169" s="25">
        <v>0.010209657</v>
      </c>
      <c r="S169" s="25" cm="1">
        <f t="array" ref="S169">L169/$R169</f>
        <v>11.2269064591715</v>
      </c>
      <c r="T169" s="25" cm="1">
        <f t="array" ref="T169">M169/$R169</f>
        <v>17.4300294860493</v>
      </c>
      <c r="U169" s="25" cm="1">
        <f t="array" ref="U169">N169/$R169</f>
        <v>19.2052687860161</v>
      </c>
      <c r="V169" s="25" cm="1">
        <f t="array" ref="V169">O169/$R169</f>
        <v>4.374866998046</v>
      </c>
      <c r="W169" s="2"/>
      <c r="X169" s="25" cm="1">
        <f t="array" ref="X169">S169-X$3-X$175</f>
        <v>4.15308645600549</v>
      </c>
      <c r="Y169" s="25" cm="1">
        <f t="array" ref="Y169">T169-Y$3-Y$175</f>
        <v>16.3488342928163</v>
      </c>
      <c r="Z169" s="25" cm="1">
        <f t="array" ref="Z169">U169-Z$3-Z$175</f>
        <v>15.3028392446331</v>
      </c>
      <c r="AA169" s="25" cm="1">
        <f t="array" ref="AA169">V169-AA$3-AA$175</f>
        <v>10.604188714914</v>
      </c>
      <c r="AB169" s="2"/>
      <c r="AC169" s="32" cm="1">
        <f t="array" ref="AC169">X169</f>
        <v>4.15308645600549</v>
      </c>
      <c r="AD169" s="32" cm="1">
        <f t="array" ref="AD169">Y169</f>
        <v>16.3488342928163</v>
      </c>
      <c r="AE169" s="32" cm="1">
        <f t="array" ref="AE169">Z169</f>
        <v>15.3028392446331</v>
      </c>
      <c r="AF169" s="32" cm="1">
        <f t="array" ref="AF169">AA169</f>
        <v>10.604188714914</v>
      </c>
    </row>
    <row r="170" ht="17" customHeight="1">
      <c r="A170" s="2"/>
      <c r="B170" t="s" s="24">
        <v>78</v>
      </c>
      <c r="C170" t="s" s="39">
        <v>229</v>
      </c>
      <c r="D170" s="25">
        <v>15.4032358409747</v>
      </c>
      <c r="E170" s="25">
        <v>40.1039046146161</v>
      </c>
      <c r="F170" s="25">
        <v>58.2553959836553</v>
      </c>
      <c r="G170" s="25">
        <v>-8.550576230979781</v>
      </c>
      <c r="H170" s="2"/>
      <c r="I170" s="25">
        <v>4.7</v>
      </c>
      <c r="J170" s="25" cm="1">
        <f t="array" ref="J170">I170/1000</f>
        <v>0.0047</v>
      </c>
      <c r="K170" s="2"/>
      <c r="L170" s="25" cm="1">
        <f t="array" ref="L170">D170*$J170</f>
        <v>0.0723952084525811</v>
      </c>
      <c r="M170" s="25" cm="1">
        <f t="array" ref="M170">E170*$J170</f>
        <v>0.188488351688696</v>
      </c>
      <c r="N170" s="25" cm="1">
        <f t="array" ref="N170">F170*$J170</f>
        <v>0.27380036112318</v>
      </c>
      <c r="O170" s="25" cm="1">
        <f t="array" ref="O170">G170*$J170</f>
        <v>-0.040187708285605</v>
      </c>
      <c r="P170" s="2"/>
      <c r="Q170" s="25">
        <v>0.0186000000000011</v>
      </c>
      <c r="R170" s="25">
        <v>0.010209657</v>
      </c>
      <c r="S170" s="25" cm="1">
        <f t="array" ref="S170">L170/$R170</f>
        <v>7.09085608386071</v>
      </c>
      <c r="T170" s="25" cm="1">
        <f t="array" ref="T170">M170/$R170</f>
        <v>18.4617712121667</v>
      </c>
      <c r="U170" s="25" cm="1">
        <f t="array" ref="U170">N170/$R170</f>
        <v>26.8177825291467</v>
      </c>
      <c r="V170" s="25" cm="1">
        <f t="array" ref="V170">O170/$R170</f>
        <v>-3.936244702991</v>
      </c>
      <c r="W170" s="2"/>
      <c r="X170" s="25" cm="1">
        <f t="array" ref="X170">S170-X$3-X$175</f>
        <v>0.0170360806947</v>
      </c>
      <c r="Y170" s="25" cm="1">
        <f t="array" ref="Y170">T170-Y$3-Y$175</f>
        <v>17.3805760189337</v>
      </c>
      <c r="Z170" s="25" cm="1">
        <f t="array" ref="Z170">U170-Z$3-Z$175</f>
        <v>22.9153529877637</v>
      </c>
      <c r="AA170" s="25" cm="1">
        <f t="array" ref="AA170">V170-AA$3-AA$175</f>
        <v>2.29307701387701</v>
      </c>
      <c r="AB170" s="2"/>
      <c r="AC170" s="32" cm="1">
        <f t="array" ref="AC170">X170</f>
        <v>0.0170360806947</v>
      </c>
      <c r="AD170" s="32" cm="1">
        <f t="array" ref="AD170">Y170</f>
        <v>17.3805760189337</v>
      </c>
      <c r="AE170" s="32" cm="1">
        <f t="array" ref="AE170">Z170</f>
        <v>22.9153529877637</v>
      </c>
      <c r="AF170" s="32" cm="1">
        <f t="array" ref="AF170">AA170</f>
        <v>2.29307701387701</v>
      </c>
    </row>
    <row r="171" ht="17" customHeight="1">
      <c r="A171" s="2"/>
      <c r="B171" t="s" s="24">
        <v>80</v>
      </c>
      <c r="C171" t="s" s="39">
        <v>230</v>
      </c>
      <c r="D171" s="25">
        <v>14.6622903619256</v>
      </c>
      <c r="E171" s="25">
        <v>46.7139955912032</v>
      </c>
      <c r="F171" s="25">
        <v>3.22409834305072</v>
      </c>
      <c r="G171" s="25">
        <v>37.0112354029525</v>
      </c>
      <c r="H171" s="2"/>
      <c r="I171" s="25">
        <v>4.7</v>
      </c>
      <c r="J171" s="25" cm="1">
        <f t="array" ref="J171">I171/1000</f>
        <v>0.0047</v>
      </c>
      <c r="K171" s="2"/>
      <c r="L171" s="25" cm="1">
        <f t="array" ref="L171">D171*$J171</f>
        <v>0.0689127647010503</v>
      </c>
      <c r="M171" s="25" cm="1">
        <f t="array" ref="M171">E171*$J171</f>
        <v>0.219555779278655</v>
      </c>
      <c r="N171" s="25" cm="1">
        <f t="array" ref="N171">F171*$J171</f>
        <v>0.0151532622123384</v>
      </c>
      <c r="O171" s="25" cm="1">
        <f t="array" ref="O171">G171*$J171</f>
        <v>0.173952806393877</v>
      </c>
      <c r="P171" s="2"/>
      <c r="Q171" s="25">
        <v>0.0179000000000009</v>
      </c>
      <c r="R171" s="25">
        <v>0.010209657</v>
      </c>
      <c r="S171" s="25" cm="1">
        <f t="array" ref="S171">L171/$R171</f>
        <v>6.74976296471569</v>
      </c>
      <c r="T171" s="25" cm="1">
        <f t="array" ref="T171">M171/$R171</f>
        <v>21.5047164932823</v>
      </c>
      <c r="U171" s="25" cm="1">
        <f t="array" ref="U171">N171/$R171</f>
        <v>1.48420874592931</v>
      </c>
      <c r="V171" s="25" cm="1">
        <f t="array" ref="V171">O171/$R171</f>
        <v>17.0380656660529</v>
      </c>
      <c r="W171" s="2"/>
      <c r="X171" s="25" cm="1">
        <f t="array" ref="X171">S171-X$3-X$175</f>
        <v>-0.32405703845032</v>
      </c>
      <c r="Y171" s="25" cm="1">
        <f t="array" ref="Y171">T171-Y$3-Y$175</f>
        <v>20.4235213000493</v>
      </c>
      <c r="Z171" s="25" cm="1">
        <f t="array" ref="Z171">U171-Z$3-Z$175</f>
        <v>-2.41822079545366</v>
      </c>
      <c r="AA171" s="25" cm="1">
        <f t="array" ref="AA171">V171-AA$3-AA$175</f>
        <v>23.2673873829209</v>
      </c>
      <c r="AB171" s="2"/>
      <c r="AC171" s="32" cm="1">
        <f t="array" ref="AC171">X171</f>
        <v>-0.32405703845032</v>
      </c>
      <c r="AD171" s="32" cm="1">
        <f t="array" ref="AD171">Y171</f>
        <v>20.4235213000493</v>
      </c>
      <c r="AE171" s="32" cm="1">
        <f t="array" ref="AE171">Z171</f>
        <v>-2.41822079545366</v>
      </c>
      <c r="AF171" s="32" cm="1">
        <f t="array" ref="AF171">AA171</f>
        <v>23.2673873829209</v>
      </c>
    </row>
    <row r="172" ht="17" customHeight="1">
      <c r="A172" s="2"/>
      <c r="B172" t="s" s="24">
        <v>82</v>
      </c>
      <c r="C172" t="s" s="39">
        <v>231</v>
      </c>
      <c r="D172" s="25">
        <v>43.0243391325257</v>
      </c>
      <c r="E172" s="25">
        <v>24.0788138496298</v>
      </c>
      <c r="F172" s="25">
        <v>0.0166</v>
      </c>
      <c r="G172" s="25">
        <v>50.0961800232857</v>
      </c>
      <c r="H172" s="2"/>
      <c r="I172" s="25">
        <v>4.7</v>
      </c>
      <c r="J172" s="25" cm="1">
        <f t="array" ref="J172">I172/1000</f>
        <v>0.0047</v>
      </c>
      <c r="K172" s="2"/>
      <c r="L172" s="25" cm="1">
        <f t="array" ref="L172">D172*$J172</f>
        <v>0.202214393922871</v>
      </c>
      <c r="M172" s="25" cm="1">
        <f t="array" ref="M172">E172*$J172</f>
        <v>0.11317042509326</v>
      </c>
      <c r="N172" s="25" cm="1">
        <f t="array" ref="N172">F172*$J172</f>
        <v>7.802e-05</v>
      </c>
      <c r="O172" s="25" cm="1">
        <f t="array" ref="O172">G172*$J172</f>
        <v>0.235452046109443</v>
      </c>
      <c r="P172" s="2"/>
      <c r="Q172" s="25">
        <v>0.0189000000000004</v>
      </c>
      <c r="R172" s="25">
        <v>0.010209657</v>
      </c>
      <c r="S172" s="25" cm="1">
        <f t="array" ref="S172">L172/$R172</f>
        <v>19.8061887801785</v>
      </c>
      <c r="T172" s="25" cm="1">
        <f t="array" ref="T172">M172/$R172</f>
        <v>11.0846451642068</v>
      </c>
      <c r="U172" s="25" cm="1">
        <f t="array" ref="U172">N172/$R172</f>
        <v>0.00764178463585995</v>
      </c>
      <c r="V172" s="25" cm="1">
        <f t="array" ref="V172">O172/$R172</f>
        <v>23.0616999287481</v>
      </c>
      <c r="W172" s="2"/>
      <c r="X172" s="25" cm="1">
        <f t="array" ref="X172">S172-X$3-X$175</f>
        <v>12.7323687770125</v>
      </c>
      <c r="Y172" s="25" cm="1">
        <f t="array" ref="Y172">T172-Y$3-Y$175</f>
        <v>10.0034499709738</v>
      </c>
      <c r="Z172" s="25" cm="1">
        <f t="array" ref="Z172">U172-Z$3-Z$175</f>
        <v>-3.89478775674711</v>
      </c>
      <c r="AA172" s="25" cm="1">
        <f t="array" ref="AA172">V172-AA$3-AA$175</f>
        <v>29.2910216456161</v>
      </c>
      <c r="AB172" s="2"/>
      <c r="AC172" s="32" cm="1">
        <f t="array" ref="AC172">X172</f>
        <v>12.7323687770125</v>
      </c>
      <c r="AD172" s="32" cm="1">
        <f t="array" ref="AD172">Y172</f>
        <v>10.0034499709738</v>
      </c>
      <c r="AE172" s="32" cm="1">
        <f t="array" ref="AE172">Z172</f>
        <v>-3.89478775674711</v>
      </c>
      <c r="AF172" s="32" cm="1">
        <f t="array" ref="AF172">AA172</f>
        <v>29.2910216456161</v>
      </c>
    </row>
    <row r="173" ht="17" customHeight="1">
      <c r="A173" s="2"/>
      <c r="B173" t="s" s="24">
        <v>84</v>
      </c>
      <c r="C173" t="s" s="39">
        <v>232</v>
      </c>
      <c r="D173" s="25">
        <v>36.7956320990339</v>
      </c>
      <c r="E173" s="25">
        <v>25.2087420323628</v>
      </c>
      <c r="F173" s="25">
        <v>12.6043134646619</v>
      </c>
      <c r="G173" s="25">
        <v>-3.71022186537243</v>
      </c>
      <c r="H173" s="2"/>
      <c r="I173" s="25">
        <v>4.7</v>
      </c>
      <c r="J173" s="25" cm="1">
        <f t="array" ref="J173">I173/1000</f>
        <v>0.0047</v>
      </c>
      <c r="K173" s="2"/>
      <c r="L173" s="25" cm="1">
        <f t="array" ref="L173">D173*$J173</f>
        <v>0.172939470865459</v>
      </c>
      <c r="M173" s="25" cm="1">
        <f t="array" ref="M173">E173*$J173</f>
        <v>0.118481087552105</v>
      </c>
      <c r="N173" s="25" cm="1">
        <f t="array" ref="N173">F173*$J173</f>
        <v>0.0592402732839109</v>
      </c>
      <c r="O173" s="25" cm="1">
        <f t="array" ref="O173">G173*$J173</f>
        <v>-0.0174380427672504</v>
      </c>
      <c r="P173" s="2"/>
      <c r="Q173" s="25">
        <v>0.0178999999999991</v>
      </c>
      <c r="R173" s="25">
        <v>0.010209657</v>
      </c>
      <c r="S173" s="25" cm="1">
        <f t="array" ref="S173">L173/$R173</f>
        <v>16.9388130145272</v>
      </c>
      <c r="T173" s="25" cm="1">
        <f t="array" ref="T173">M173/$R173</f>
        <v>11.6048058766426</v>
      </c>
      <c r="U173" s="25" cm="1">
        <f t="array" ref="U173">N173/$R173</f>
        <v>5.80237644456723</v>
      </c>
      <c r="V173" s="25" cm="1">
        <f t="array" ref="V173">O173/$R173</f>
        <v>-1.70799496665269</v>
      </c>
      <c r="W173" s="2"/>
      <c r="X173" s="25" cm="1">
        <f t="array" ref="X173">S173-X$3-X$175</f>
        <v>9.864993011361189</v>
      </c>
      <c r="Y173" s="25" cm="1">
        <f t="array" ref="Y173">T173-Y$3-Y$175</f>
        <v>10.5236106834096</v>
      </c>
      <c r="Z173" s="25" cm="1">
        <f t="array" ref="Z173">U173-Z$3-Z$175</f>
        <v>1.89994690318426</v>
      </c>
      <c r="AA173" s="25" cm="1">
        <f t="array" ref="AA173">V173-AA$3-AA$175</f>
        <v>4.52132675021532</v>
      </c>
      <c r="AB173" s="2"/>
      <c r="AC173" s="32" cm="1">
        <f t="array" ref="AC173">X173</f>
        <v>9.864993011361189</v>
      </c>
      <c r="AD173" s="32" cm="1">
        <f t="array" ref="AD173">Y173</f>
        <v>10.5236106834096</v>
      </c>
      <c r="AE173" s="32" cm="1">
        <f t="array" ref="AE173">Z173</f>
        <v>1.89994690318426</v>
      </c>
      <c r="AF173" s="32" cm="1">
        <f t="array" ref="AF173">AA173</f>
        <v>4.52132675021532</v>
      </c>
    </row>
    <row r="174" ht="17" customHeight="1">
      <c r="A174" s="2"/>
      <c r="B174" t="s" s="24">
        <v>86</v>
      </c>
      <c r="C174" t="s" s="39">
        <v>233</v>
      </c>
      <c r="D174" s="25">
        <v>21.7116992569553</v>
      </c>
      <c r="E174" s="25">
        <v>7.04263536571751</v>
      </c>
      <c r="F174" s="25">
        <v>14.8624201048655</v>
      </c>
      <c r="G174" s="25">
        <v>-13.469393735295</v>
      </c>
      <c r="H174" s="2"/>
      <c r="I174" s="25">
        <v>4.7</v>
      </c>
      <c r="J174" s="25" cm="1">
        <f t="array" ref="J174">I174/1000</f>
        <v>0.0047</v>
      </c>
      <c r="K174" s="2"/>
      <c r="L174" s="25" cm="1">
        <f t="array" ref="L174">D174*$J174</f>
        <v>0.10204498650769</v>
      </c>
      <c r="M174" s="25" cm="1">
        <f t="array" ref="M174">E174*$J174</f>
        <v>0.0331003862188723</v>
      </c>
      <c r="N174" s="25" cm="1">
        <f t="array" ref="N174">F174*$J174</f>
        <v>0.0698533744928679</v>
      </c>
      <c r="O174" s="25" cm="1">
        <f t="array" ref="O174">G174*$J174</f>
        <v>-0.0633061505558865</v>
      </c>
      <c r="P174" s="2"/>
      <c r="Q174" s="25">
        <v>0.0184999999999995</v>
      </c>
      <c r="R174" s="25">
        <v>0.010209657</v>
      </c>
      <c r="S174" s="25" cm="1">
        <f t="array" ref="S174">L174/$R174</f>
        <v>9.994947578326091</v>
      </c>
      <c r="T174" s="25" cm="1">
        <f t="array" ref="T174">M174/$R174</f>
        <v>3.2420664297412</v>
      </c>
      <c r="U174" s="25" cm="1">
        <f t="array" ref="U174">N174/$R174</f>
        <v>6.84189238608779</v>
      </c>
      <c r="V174" s="25" cm="1">
        <f t="array" ref="V174">O174/$R174</f>
        <v>-6.20061482534492</v>
      </c>
      <c r="W174" s="2"/>
      <c r="X174" s="2"/>
      <c r="Y174" s="2"/>
      <c r="Z174" s="2"/>
      <c r="AA174" s="2"/>
      <c r="AB174" s="2"/>
      <c r="AC174" s="26"/>
      <c r="AD174" s="26"/>
      <c r="AE174" s="26"/>
      <c r="AF174" s="26"/>
    </row>
    <row r="175" ht="17" customHeight="1">
      <c r="A175" s="2"/>
      <c r="B175" t="s" s="24">
        <v>88</v>
      </c>
      <c r="C175" t="s" s="39">
        <v>234</v>
      </c>
      <c r="D175" s="25">
        <v>11.9815746757683</v>
      </c>
      <c r="E175" s="25">
        <v>0.00165</v>
      </c>
      <c r="F175" s="25">
        <v>3.6380868593289</v>
      </c>
      <c r="G175" s="25">
        <v>-13.5635608326396</v>
      </c>
      <c r="H175" s="2"/>
      <c r="I175" s="25">
        <v>4.7</v>
      </c>
      <c r="J175" s="25" cm="1">
        <f t="array" ref="J175">I175/1000</f>
        <v>0.0047</v>
      </c>
      <c r="K175" s="2"/>
      <c r="L175" s="25" cm="1">
        <f t="array" ref="L175">D175*$J175</f>
        <v>0.056313400976111</v>
      </c>
      <c r="M175" s="25" cm="1">
        <f t="array" ref="M175">E175*$J175</f>
        <v>7.754999999999999e-06</v>
      </c>
      <c r="N175" s="25" cm="1">
        <f t="array" ref="N175">F175*$J175</f>
        <v>0.0170990082388458</v>
      </c>
      <c r="O175" s="25" cm="1">
        <f t="array" ref="O175">G175*$J175</f>
        <v>-0.0637487359134061</v>
      </c>
      <c r="P175" s="2"/>
      <c r="Q175" s="25">
        <v>0.0186000000000011</v>
      </c>
      <c r="R175" s="25">
        <v>0.010209657</v>
      </c>
      <c r="S175" s="25" cm="1">
        <f t="array" ref="S175">L175/$R175</f>
        <v>5.51569959462017</v>
      </c>
      <c r="T175" s="25" cm="1">
        <f t="array" ref="T175">M175/$R175</f>
        <v>0.000759574978865598</v>
      </c>
      <c r="U175" s="25" cm="1">
        <f t="array" ref="U175">N175/$R175</f>
        <v>1.67478772683997</v>
      </c>
      <c r="V175" s="25" cm="1">
        <f t="array" ref="V175">O175/$R175</f>
        <v>-6.24396450472392</v>
      </c>
      <c r="W175" s="2"/>
      <c r="X175" s="25" cm="1">
        <f t="array" ref="X175">AVERAGE(S174:S176)</f>
        <v>7.07382000316601</v>
      </c>
      <c r="Y175" s="25" cm="1">
        <f t="array" ref="Y175">AVERAGE(T174:T176)</f>
        <v>1.08119519323298</v>
      </c>
      <c r="Z175" s="25" cm="1">
        <f t="array" ref="Z175">AVERAGE(U174:U176)</f>
        <v>3.90242954138297</v>
      </c>
      <c r="AA175" s="25" cm="1">
        <f t="array" ref="AA175">AVERAGE(V174:V176)</f>
        <v>-6.22932171686801</v>
      </c>
      <c r="AB175" s="2"/>
      <c r="AC175" s="26"/>
      <c r="AD175" s="26"/>
      <c r="AE175" s="26"/>
      <c r="AF175" s="26"/>
    </row>
    <row r="176" ht="17" customHeight="1">
      <c r="A176" s="2"/>
      <c r="B176" t="s" s="36">
        <v>90</v>
      </c>
      <c r="C176" t="s" s="39">
        <v>235</v>
      </c>
      <c r="D176" s="25">
        <v>12.4054128196576</v>
      </c>
      <c r="E176" s="25">
        <v>0.00165</v>
      </c>
      <c r="F176" s="25">
        <v>6.93085500443585</v>
      </c>
      <c r="G176" s="25">
        <v>-13.5623037758144</v>
      </c>
      <c r="H176" s="2"/>
      <c r="I176" s="25">
        <v>4.7</v>
      </c>
      <c r="J176" s="25" cm="1">
        <f t="array" ref="J176">I176/1000</f>
        <v>0.0047</v>
      </c>
      <c r="K176" s="2"/>
      <c r="L176" s="25" cm="1">
        <f t="array" ref="L176">D176*$J176</f>
        <v>0.0583054402523907</v>
      </c>
      <c r="M176" s="25" cm="1">
        <f t="array" ref="M176">E176*$J176</f>
        <v>7.754999999999999e-06</v>
      </c>
      <c r="N176" s="25" cm="1">
        <f t="array" ref="N176">F176*$J176</f>
        <v>0.0325750185208485</v>
      </c>
      <c r="O176" s="25" cm="1">
        <f t="array" ref="O176">G176*$J176</f>
        <v>-0.0637428277463277</v>
      </c>
      <c r="P176" s="2"/>
      <c r="Q176" s="25">
        <v>0.017199999999999</v>
      </c>
      <c r="R176" s="25">
        <v>0.010209657</v>
      </c>
      <c r="S176" s="25" cm="1">
        <f t="array" ref="S176">L176/$R176</f>
        <v>5.71081283655178</v>
      </c>
      <c r="T176" s="25" cm="1">
        <f t="array" ref="T176">M176/$R176</f>
        <v>0.000759574978865598</v>
      </c>
      <c r="U176" s="25" cm="1">
        <f t="array" ref="U176">N176/$R176</f>
        <v>3.19060851122114</v>
      </c>
      <c r="V176" s="25" cm="1">
        <f t="array" ref="V176">O176/$R176</f>
        <v>-6.24338582053518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17" customHeight="1">
      <c r="A177" s="2"/>
      <c r="B177" t="s" s="19">
        <v>92</v>
      </c>
      <c r="C177" t="s" s="39">
        <v>236</v>
      </c>
      <c r="D177" s="25">
        <v>81.8493259804732</v>
      </c>
      <c r="E177" s="25">
        <v>105.475117436710</v>
      </c>
      <c r="F177" s="25">
        <v>927.684340448786</v>
      </c>
      <c r="G177" s="25">
        <v>-7.15023924877325</v>
      </c>
      <c r="H177" s="2"/>
      <c r="I177" s="25">
        <v>4.7</v>
      </c>
      <c r="J177" s="25" cm="1">
        <f t="array" ref="J177">I177/1000</f>
        <v>0.0047</v>
      </c>
      <c r="K177" s="2"/>
      <c r="L177" s="25" cm="1">
        <f t="array" ref="L177">D177*$J177</f>
        <v>0.384691832108224</v>
      </c>
      <c r="M177" s="25" cm="1">
        <f t="array" ref="M177">E177*$J177</f>
        <v>0.495733051952537</v>
      </c>
      <c r="N177" s="25" cm="1">
        <f t="array" ref="N177">F177*$J177</f>
        <v>4.36011640010929</v>
      </c>
      <c r="O177" s="25" cm="1">
        <f t="array" ref="O177">G177*$J177</f>
        <v>-0.0336061244692343</v>
      </c>
      <c r="P177" s="2"/>
      <c r="Q177" s="25">
        <v>0.0184999999999995</v>
      </c>
      <c r="R177" s="25">
        <v>0.010209657</v>
      </c>
      <c r="S177" s="25" cm="1">
        <f t="array" ref="S177">L177/$R177</f>
        <v>37.6792121525947</v>
      </c>
      <c r="T177" s="25" cm="1">
        <f t="array" ref="T177">M177/$R177</f>
        <v>48.5553091502033</v>
      </c>
      <c r="U177" s="25" cm="1">
        <f t="array" ref="U177">N177/$R177</f>
        <v>427.058068660807</v>
      </c>
      <c r="V177" s="25" cm="1">
        <f t="array" ref="V177">O177/$R177</f>
        <v>-3.29160171289146</v>
      </c>
      <c r="W177" s="2"/>
      <c r="X177" s="25" cm="1">
        <f t="array" ref="X177">S177-X$3-X$184</f>
        <v>31.458826975295</v>
      </c>
      <c r="Y177" s="25" cm="1">
        <f t="array" ref="Y177">T177-Y$3-Y$184</f>
        <v>40.2439296957281</v>
      </c>
      <c r="Z177" s="25" cm="1">
        <f t="array" ref="Z177">U177-Z$3-Z$184</f>
        <v>417.818736700715</v>
      </c>
      <c r="AA177" s="25" cm="1">
        <f t="array" ref="AA177">V177-AA$3-AA$184</f>
        <v>2.89159231883121</v>
      </c>
      <c r="AB177" s="2"/>
      <c r="AC177" s="32" cm="1">
        <f t="array" ref="AC177">X177</f>
        <v>31.458826975295</v>
      </c>
      <c r="AD177" s="32" cm="1">
        <f t="array" ref="AD177">Y177</f>
        <v>40.2439296957281</v>
      </c>
      <c r="AE177" s="32" cm="1">
        <f t="array" ref="AE177">Z177</f>
        <v>417.818736700715</v>
      </c>
      <c r="AF177" s="32" cm="1">
        <f t="array" ref="AF177">AA177</f>
        <v>2.89159231883121</v>
      </c>
    </row>
    <row r="178" ht="17" customHeight="1">
      <c r="A178" s="2"/>
      <c r="B178" t="s" s="24">
        <v>94</v>
      </c>
      <c r="C178" t="s" s="39">
        <v>237</v>
      </c>
      <c r="D178" s="25">
        <v>13.2996790143879</v>
      </c>
      <c r="E178" s="25">
        <v>84.139545171148</v>
      </c>
      <c r="F178" s="25">
        <v>1211.592151202520</v>
      </c>
      <c r="G178" s="25">
        <v>-6.21924826608436</v>
      </c>
      <c r="H178" s="2"/>
      <c r="I178" s="25">
        <v>4.7</v>
      </c>
      <c r="J178" s="25" cm="1">
        <f t="array" ref="J178">I178/1000</f>
        <v>0.0047</v>
      </c>
      <c r="K178" s="2"/>
      <c r="L178" s="25" cm="1">
        <f t="array" ref="L178">D178*$J178</f>
        <v>0.0625084913676231</v>
      </c>
      <c r="M178" s="25" cm="1">
        <f t="array" ref="M178">E178*$J178</f>
        <v>0.395455862304396</v>
      </c>
      <c r="N178" s="25" cm="1">
        <f t="array" ref="N178">F178*$J178</f>
        <v>5.69448311065184</v>
      </c>
      <c r="O178" s="25" cm="1">
        <f t="array" ref="O178">G178*$J178</f>
        <v>-0.0292304668505965</v>
      </c>
      <c r="P178" s="2"/>
      <c r="Q178" s="25">
        <v>0.0198</v>
      </c>
      <c r="R178" s="25">
        <v>0.010209657</v>
      </c>
      <c r="S178" s="25" cm="1">
        <f t="array" ref="S178">L178/$R178</f>
        <v>6.12248691289268</v>
      </c>
      <c r="T178" s="25" cm="1">
        <f t="array" ref="T178">M178/$R178</f>
        <v>38.7335110576581</v>
      </c>
      <c r="U178" s="25" cm="1">
        <f t="array" ref="U178">N178/$R178</f>
        <v>557.7545955414409</v>
      </c>
      <c r="V178" s="25" cm="1">
        <f t="array" ref="V178">O178/$R178</f>
        <v>-2.86302143652784</v>
      </c>
      <c r="W178" s="2"/>
      <c r="X178" s="25" cm="1">
        <f t="array" ref="X178">S178-X$3-X$184</f>
        <v>-0.09789826440703001</v>
      </c>
      <c r="Y178" s="25" cm="1">
        <f t="array" ref="Y178">T178-Y$3-Y$184</f>
        <v>30.4221316031829</v>
      </c>
      <c r="Z178" s="25" cm="1">
        <f t="array" ref="Z178">U178-Z$3-Z$184</f>
        <v>548.515263581349</v>
      </c>
      <c r="AA178" s="25" cm="1">
        <f t="array" ref="AA178">V178-AA$3-AA$184</f>
        <v>3.32017259519483</v>
      </c>
      <c r="AB178" s="2"/>
      <c r="AC178" s="32" cm="1">
        <f t="array" ref="AC178">X178</f>
        <v>-0.09789826440703001</v>
      </c>
      <c r="AD178" s="32" cm="1">
        <f t="array" ref="AD178">Y178</f>
        <v>30.4221316031829</v>
      </c>
      <c r="AE178" s="32" cm="1">
        <f t="array" ref="AE178">Z178</f>
        <v>548.515263581349</v>
      </c>
      <c r="AF178" s="32" cm="1">
        <f t="array" ref="AF178">AA178</f>
        <v>3.32017259519483</v>
      </c>
    </row>
    <row r="179" ht="17" customHeight="1">
      <c r="A179" s="2"/>
      <c r="B179" t="s" s="24">
        <v>96</v>
      </c>
      <c r="C179" t="s" s="39">
        <v>238</v>
      </c>
      <c r="D179" s="25">
        <v>101.383580791575</v>
      </c>
      <c r="E179" s="25">
        <v>101.657848448238</v>
      </c>
      <c r="F179" s="25">
        <v>1189.209587926210</v>
      </c>
      <c r="G179" s="25">
        <v>-7.98393149739222</v>
      </c>
      <c r="H179" s="2"/>
      <c r="I179" s="25">
        <v>4.7</v>
      </c>
      <c r="J179" s="25" cm="1">
        <f t="array" ref="J179">I179/1000</f>
        <v>0.0047</v>
      </c>
      <c r="K179" s="2"/>
      <c r="L179" s="25" cm="1">
        <f t="array" ref="L179">D179*$J179</f>
        <v>0.476502829720403</v>
      </c>
      <c r="M179" s="25" cm="1">
        <f t="array" ref="M179">E179*$J179</f>
        <v>0.477791887706719</v>
      </c>
      <c r="N179" s="25" cm="1">
        <f t="array" ref="N179">F179*$J179</f>
        <v>5.58928506325319</v>
      </c>
      <c r="O179" s="25" cm="1">
        <f t="array" ref="O179">G179*$J179</f>
        <v>-0.0375244780377434</v>
      </c>
      <c r="P179" s="2"/>
      <c r="Q179" s="25">
        <v>0.0188000000000006</v>
      </c>
      <c r="R179" s="25">
        <v>0.010209657</v>
      </c>
      <c r="S179" s="25" cm="1">
        <f t="array" ref="S179">L179/$R179</f>
        <v>46.6717765073208</v>
      </c>
      <c r="T179" s="25" cm="1">
        <f t="array" ref="T179">M179/$R179</f>
        <v>46.7980352039955</v>
      </c>
      <c r="U179" s="25" cm="1">
        <f t="array" ref="U179">N179/$R179</f>
        <v>547.450816736859</v>
      </c>
      <c r="V179" s="25" cm="1">
        <f t="array" ref="V179">O179/$R179</f>
        <v>-3.67539066569459</v>
      </c>
      <c r="W179" s="2"/>
      <c r="X179" s="25" cm="1">
        <f t="array" ref="X179">S179-X$3-X$184</f>
        <v>40.4513913300211</v>
      </c>
      <c r="Y179" s="25" cm="1">
        <f t="array" ref="Y179">T179-Y$3-Y$184</f>
        <v>38.4866557495203</v>
      </c>
      <c r="Z179" s="25" cm="1">
        <f t="array" ref="Z179">U179-Z$3-Z$184</f>
        <v>538.211484776767</v>
      </c>
      <c r="AA179" s="25" cm="1">
        <f t="array" ref="AA179">V179-AA$3-AA$184</f>
        <v>2.50780336602808</v>
      </c>
      <c r="AB179" s="2"/>
      <c r="AC179" s="32" cm="1">
        <f t="array" ref="AC179">X179</f>
        <v>40.4513913300211</v>
      </c>
      <c r="AD179" s="32" cm="1">
        <f t="array" ref="AD179">Y179</f>
        <v>38.4866557495203</v>
      </c>
      <c r="AE179" s="32" cm="1">
        <f t="array" ref="AE179">Z179</f>
        <v>538.211484776767</v>
      </c>
      <c r="AF179" s="32" cm="1">
        <f t="array" ref="AF179">AA179</f>
        <v>2.50780336602808</v>
      </c>
    </row>
    <row r="180" ht="17" customHeight="1">
      <c r="A180" s="2"/>
      <c r="B180" t="s" s="24">
        <v>98</v>
      </c>
      <c r="C180" t="s" s="39">
        <v>239</v>
      </c>
      <c r="D180" s="25">
        <v>19.8207334780966</v>
      </c>
      <c r="E180" s="25">
        <v>8.2403248613403</v>
      </c>
      <c r="F180" s="25">
        <v>14.8966188786541</v>
      </c>
      <c r="G180" s="25">
        <v>74.418936936891</v>
      </c>
      <c r="H180" s="2"/>
      <c r="I180" s="25">
        <v>4.7</v>
      </c>
      <c r="J180" s="25" cm="1">
        <f t="array" ref="J180">I180/1000</f>
        <v>0.0047</v>
      </c>
      <c r="K180" s="2"/>
      <c r="L180" s="25" cm="1">
        <f t="array" ref="L180">D180*$J180</f>
        <v>0.093157447347054</v>
      </c>
      <c r="M180" s="25" cm="1">
        <f t="array" ref="M180">E180*$J180</f>
        <v>0.0387295268482994</v>
      </c>
      <c r="N180" s="25" cm="1">
        <f t="array" ref="N180">F180*$J180</f>
        <v>0.0700141087296743</v>
      </c>
      <c r="O180" s="25" cm="1">
        <f t="array" ref="O180">G180*$J180</f>
        <v>0.349769003603388</v>
      </c>
      <c r="P180" s="2"/>
      <c r="Q180" s="25">
        <v>0.0183</v>
      </c>
      <c r="R180" s="25">
        <v>0.010209657</v>
      </c>
      <c r="S180" s="25" cm="1">
        <f t="array" ref="S180">L180/$R180</f>
        <v>9.124444371349011</v>
      </c>
      <c r="T180" s="25" cm="1">
        <f t="array" ref="T180">M180/$R180</f>
        <v>3.79342095902922</v>
      </c>
      <c r="U180" s="25" cm="1">
        <f t="array" ref="U180">N180/$R180</f>
        <v>6.857635739347</v>
      </c>
      <c r="V180" s="25" cm="1">
        <f t="array" ref="V180">O180/$R180</f>
        <v>34.2586439097208</v>
      </c>
      <c r="W180" s="2"/>
      <c r="X180" s="25" cm="1">
        <f t="array" ref="X180">S180-X$3-X$184</f>
        <v>2.9040591940493</v>
      </c>
      <c r="Y180" s="25" cm="1">
        <f t="array" ref="Y180">T180-Y$3-Y$184</f>
        <v>-4.517958495446</v>
      </c>
      <c r="Z180" s="25" cm="1">
        <f t="array" ref="Z180">U180-Z$3-Z$184</f>
        <v>-2.38169622074473</v>
      </c>
      <c r="AA180" s="25" cm="1">
        <f t="array" ref="AA180">V180-AA$3-AA$184</f>
        <v>40.4418379414435</v>
      </c>
      <c r="AB180" s="2"/>
      <c r="AC180" s="32" cm="1">
        <f t="array" ref="AC180">X180</f>
        <v>2.9040591940493</v>
      </c>
      <c r="AD180" s="32" cm="1">
        <f t="array" ref="AD180">Y180</f>
        <v>-4.517958495446</v>
      </c>
      <c r="AE180" s="32" cm="1">
        <f t="array" ref="AE180">Z180</f>
        <v>-2.38169622074473</v>
      </c>
      <c r="AF180" s="32" cm="1">
        <f t="array" ref="AF180">AA180</f>
        <v>40.4418379414435</v>
      </c>
    </row>
    <row r="181" ht="17" customHeight="1">
      <c r="A181" s="2"/>
      <c r="B181" t="s" s="24">
        <v>100</v>
      </c>
      <c r="C181" t="s" s="39">
        <v>240</v>
      </c>
      <c r="D181" s="25">
        <v>11.6227756402206</v>
      </c>
      <c r="E181" s="25">
        <v>8.61112095467279</v>
      </c>
      <c r="F181" s="25">
        <v>14.5226215555287</v>
      </c>
      <c r="G181" s="25">
        <v>58.3469987646554</v>
      </c>
      <c r="H181" s="2"/>
      <c r="I181" s="25">
        <v>4.7</v>
      </c>
      <c r="J181" s="25" cm="1">
        <f t="array" ref="J181">I181/1000</f>
        <v>0.0047</v>
      </c>
      <c r="K181" s="2"/>
      <c r="L181" s="25" cm="1">
        <f t="array" ref="L181">D181*$J181</f>
        <v>0.0546270455090368</v>
      </c>
      <c r="M181" s="25" cm="1">
        <f t="array" ref="M181">E181*$J181</f>
        <v>0.0404722684869621</v>
      </c>
      <c r="N181" s="25" cm="1">
        <f t="array" ref="N181">F181*$J181</f>
        <v>0.0682563213109849</v>
      </c>
      <c r="O181" s="25" cm="1">
        <f t="array" ref="O181">G181*$J181</f>
        <v>0.27423089419388</v>
      </c>
      <c r="P181" s="2"/>
      <c r="Q181" s="25">
        <v>0.0175000000000001</v>
      </c>
      <c r="R181" s="25">
        <v>0.010209657</v>
      </c>
      <c r="S181" s="25" cm="1">
        <f t="array" ref="S181">L181/$R181</f>
        <v>5.35052700683645</v>
      </c>
      <c r="T181" s="25" cm="1">
        <f t="array" ref="T181">M181/$R181</f>
        <v>3.96411637403314</v>
      </c>
      <c r="U181" s="25" cm="1">
        <f t="array" ref="U181">N181/$R181</f>
        <v>6.68546664309926</v>
      </c>
      <c r="V181" s="25" cm="1">
        <f t="array" ref="V181">O181/$R181</f>
        <v>26.8599517294146</v>
      </c>
      <c r="W181" s="2"/>
      <c r="X181" s="25" cm="1">
        <f t="array" ref="X181">S181-X$3-X$184</f>
        <v>-0.86985817046326</v>
      </c>
      <c r="Y181" s="25" cm="1">
        <f t="array" ref="Y181">T181-Y$3-Y$184</f>
        <v>-4.34726308044208</v>
      </c>
      <c r="Z181" s="25" cm="1">
        <f t="array" ref="Z181">U181-Z$3-Z$184</f>
        <v>-2.55386531699247</v>
      </c>
      <c r="AA181" s="25" cm="1">
        <f t="array" ref="AA181">V181-AA$3-AA$184</f>
        <v>33.0431457611373</v>
      </c>
      <c r="AB181" s="2"/>
      <c r="AC181" s="32" cm="1">
        <f t="array" ref="AC181">X181</f>
        <v>-0.86985817046326</v>
      </c>
      <c r="AD181" s="32" cm="1">
        <f t="array" ref="AD181">Y181</f>
        <v>-4.34726308044208</v>
      </c>
      <c r="AE181" s="32" cm="1">
        <f t="array" ref="AE181">Z181</f>
        <v>-2.55386531699247</v>
      </c>
      <c r="AF181" s="32" cm="1">
        <f t="array" ref="AF181">AA181</f>
        <v>33.0431457611373</v>
      </c>
    </row>
    <row r="182" ht="17" customHeight="1">
      <c r="A182" s="2"/>
      <c r="B182" t="s" s="24">
        <v>102</v>
      </c>
      <c r="C182" t="s" s="39">
        <v>241</v>
      </c>
      <c r="D182" s="25">
        <v>26.0966990217233</v>
      </c>
      <c r="E182" s="25">
        <v>21.666702151561</v>
      </c>
      <c r="F182" s="25">
        <v>11.0560921929246</v>
      </c>
      <c r="G182" s="25">
        <v>75.8622078615424</v>
      </c>
      <c r="H182" s="2"/>
      <c r="I182" s="25">
        <v>4.7</v>
      </c>
      <c r="J182" s="25" cm="1">
        <f t="array" ref="J182">I182/1000</f>
        <v>0.0047</v>
      </c>
      <c r="K182" s="2"/>
      <c r="L182" s="25" cm="1">
        <f t="array" ref="L182">D182*$J182</f>
        <v>0.1226544854021</v>
      </c>
      <c r="M182" s="25" cm="1">
        <f t="array" ref="M182">E182*$J182</f>
        <v>0.101833500112337</v>
      </c>
      <c r="N182" s="25" cm="1">
        <f t="array" ref="N182">F182*$J182</f>
        <v>0.0519636333067456</v>
      </c>
      <c r="O182" s="25" cm="1">
        <f t="array" ref="O182">G182*$J182</f>
        <v>0.356552376949249</v>
      </c>
      <c r="P182" s="2"/>
      <c r="Q182" s="25">
        <v>0.0183999999999997</v>
      </c>
      <c r="R182" s="25">
        <v>0.010209657</v>
      </c>
      <c r="S182" s="25" cm="1">
        <f t="array" ref="S182">L182/$R182</f>
        <v>12.0135755199318</v>
      </c>
      <c r="T182" s="25" cm="1">
        <f t="array" ref="T182">M182/$R182</f>
        <v>9.974233229611629</v>
      </c>
      <c r="U182" s="25" cm="1">
        <f t="array" ref="U182">N182/$R182</f>
        <v>5.08965514774351</v>
      </c>
      <c r="V182" s="25" cm="1">
        <f t="array" ref="V182">O182/$R182</f>
        <v>34.9230514746234</v>
      </c>
      <c r="W182" s="2"/>
      <c r="X182" s="25" cm="1">
        <f t="array" ref="X182">S182-X$3-X$184</f>
        <v>5.79319034263209</v>
      </c>
      <c r="Y182" s="25" cm="1">
        <f t="array" ref="Y182">T182-Y$3-Y$184</f>
        <v>1.66285377513641</v>
      </c>
      <c r="Z182" s="25" cm="1">
        <f t="array" ref="Z182">U182-Z$3-Z$184</f>
        <v>-4.14967681234822</v>
      </c>
      <c r="AA182" s="25" cm="1">
        <f t="array" ref="AA182">V182-AA$3-AA$184</f>
        <v>41.1062455063461</v>
      </c>
      <c r="AB182" s="2"/>
      <c r="AC182" s="32" cm="1">
        <f t="array" ref="AC182">X182</f>
        <v>5.79319034263209</v>
      </c>
      <c r="AD182" s="32" cm="1">
        <f t="array" ref="AD182">Y182</f>
        <v>1.66285377513641</v>
      </c>
      <c r="AE182" s="32" cm="1">
        <f t="array" ref="AE182">Z182</f>
        <v>-4.14967681234822</v>
      </c>
      <c r="AF182" s="32" cm="1">
        <f t="array" ref="AF182">AA182</f>
        <v>41.1062455063461</v>
      </c>
    </row>
    <row r="183" ht="17" customHeight="1">
      <c r="A183" s="2"/>
      <c r="B183" t="s" s="24">
        <v>104</v>
      </c>
      <c r="C183" t="s" s="39">
        <v>242</v>
      </c>
      <c r="D183" s="25">
        <v>9.05112932285491</v>
      </c>
      <c r="E183" s="25">
        <v>7.70564472293078</v>
      </c>
      <c r="F183" s="25">
        <v>22.811000944459</v>
      </c>
      <c r="G183" s="25">
        <v>-13.4882496935573</v>
      </c>
      <c r="H183" s="2"/>
      <c r="I183" s="25">
        <v>4.7</v>
      </c>
      <c r="J183" s="25" cm="1">
        <f t="array" ref="J183">I183/1000</f>
        <v>0.0047</v>
      </c>
      <c r="K183" s="2"/>
      <c r="L183" s="25" cm="1">
        <f t="array" ref="L183">D183*$J183</f>
        <v>0.0425403078174181</v>
      </c>
      <c r="M183" s="25" cm="1">
        <f t="array" ref="M183">E183*$J183</f>
        <v>0.0362165301977747</v>
      </c>
      <c r="N183" s="25" cm="1">
        <f t="array" ref="N183">F183*$J183</f>
        <v>0.107211704438957</v>
      </c>
      <c r="O183" s="25" cm="1">
        <f t="array" ref="O183">G183*$J183</f>
        <v>-0.0633947735597193</v>
      </c>
      <c r="P183" s="2"/>
      <c r="Q183" s="25">
        <v>0.0183999999999997</v>
      </c>
      <c r="R183" s="25">
        <v>0.010209657</v>
      </c>
      <c r="S183" s="25" cm="1">
        <f t="array" ref="S183">L183/$R183</f>
        <v>4.16667355401049</v>
      </c>
      <c r="T183" s="25" cm="1">
        <f t="array" ref="T183">M183/$R183</f>
        <v>3.5472817742824</v>
      </c>
      <c r="U183" s="25" cm="1">
        <f t="array" ref="U183">N183/$R183</f>
        <v>10.5010094304791</v>
      </c>
      <c r="V183" s="25" cm="1">
        <f t="array" ref="V183">O183/$R183</f>
        <v>-6.20929513691981</v>
      </c>
      <c r="W183" s="2"/>
      <c r="X183" s="2"/>
      <c r="Y183" s="2"/>
      <c r="Z183" s="2"/>
      <c r="AA183" s="2"/>
      <c r="AB183" s="2"/>
      <c r="AC183" s="26"/>
      <c r="AD183" s="26"/>
      <c r="AE183" s="26"/>
      <c r="AF183" s="26"/>
    </row>
    <row r="184" ht="17" customHeight="1">
      <c r="A184" s="2"/>
      <c r="B184" t="s" s="24">
        <v>106</v>
      </c>
      <c r="C184" t="s" s="39">
        <v>243</v>
      </c>
      <c r="D184" s="25">
        <v>12.2971950781543</v>
      </c>
      <c r="E184" s="25">
        <v>1.54320799761299</v>
      </c>
      <c r="F184" s="25">
        <v>6.30932376726879</v>
      </c>
      <c r="G184" s="25">
        <v>-13.503059091611</v>
      </c>
      <c r="H184" s="2"/>
      <c r="I184" s="25">
        <v>4.7</v>
      </c>
      <c r="J184" s="25" cm="1">
        <f t="array" ref="J184">I184/1000</f>
        <v>0.0047</v>
      </c>
      <c r="K184" s="2"/>
      <c r="L184" s="25" cm="1">
        <f t="array" ref="L184">D184*$J184</f>
        <v>0.0577968168673252</v>
      </c>
      <c r="M184" s="25" cm="1">
        <f t="array" ref="M184">E184*$J184</f>
        <v>0.00725307758878105</v>
      </c>
      <c r="N184" s="25" cm="1">
        <f t="array" ref="N184">F184*$J184</f>
        <v>0.0296538217061633</v>
      </c>
      <c r="O184" s="25" cm="1">
        <f t="array" ref="O184">G184*$J184</f>
        <v>-0.0634643777305717</v>
      </c>
      <c r="P184" s="2"/>
      <c r="Q184" s="25">
        <v>0.0153999999999996</v>
      </c>
      <c r="R184" s="25">
        <v>0.010209657</v>
      </c>
      <c r="S184" s="25" cm="1">
        <f t="array" ref="S184">L184/$R184</f>
        <v>5.66099496460314</v>
      </c>
      <c r="T184" s="25" cm="1">
        <f t="array" ref="T184">M184/$R184</f>
        <v>0.7104134437406709</v>
      </c>
      <c r="U184" s="25" cm="1">
        <f t="array" ref="U184">N184/$R184</f>
        <v>2.9044875558663</v>
      </c>
      <c r="V184" s="25" cm="1">
        <f t="array" ref="V184">O184/$R184</f>
        <v>-6.21611262068566</v>
      </c>
      <c r="W184" s="2"/>
      <c r="X184" s="25" cm="1">
        <f t="array" ref="X184">AVERAGE(S183:S185)</f>
        <v>6.22038517729971</v>
      </c>
      <c r="Y184" s="25" cm="1">
        <f t="array" ref="Y184">AVERAGE(T183:T185)</f>
        <v>8.311379454475221</v>
      </c>
      <c r="Z184" s="25" cm="1">
        <f t="array" ref="Z184">AVERAGE(U183:U185)</f>
        <v>9.239331960091731</v>
      </c>
      <c r="AA184" s="25" cm="1">
        <f t="array" ref="AA184">AVERAGE(V183:V185)</f>
        <v>-6.18319403172267</v>
      </c>
      <c r="AB184" s="2"/>
      <c r="AC184" s="26"/>
      <c r="AD184" s="26"/>
      <c r="AE184" s="26"/>
      <c r="AF184" s="26"/>
    </row>
    <row r="185" ht="17" customHeight="1">
      <c r="A185" s="2"/>
      <c r="B185" t="s" s="24">
        <v>108</v>
      </c>
      <c r="C185" t="s" s="39">
        <v>244</v>
      </c>
      <c r="D185" s="25">
        <v>19.1886962807658</v>
      </c>
      <c r="E185" s="25">
        <v>44.9147643605452</v>
      </c>
      <c r="F185" s="25">
        <v>31.0905754297665</v>
      </c>
      <c r="G185" s="25">
        <v>-13.3033445520672</v>
      </c>
      <c r="H185" s="2"/>
      <c r="I185" s="25">
        <v>4.7</v>
      </c>
      <c r="J185" s="25" cm="1">
        <f t="array" ref="J185">I185/1000</f>
        <v>0.0047</v>
      </c>
      <c r="K185" s="2"/>
      <c r="L185" s="25" cm="1">
        <f t="array" ref="L185">D185*$J185</f>
        <v>0.0901868725195993</v>
      </c>
      <c r="M185" s="25" cm="1">
        <f t="array" ref="M185">E185*$J185</f>
        <v>0.211099392494562</v>
      </c>
      <c r="N185" s="25" cm="1">
        <f t="array" ref="N185">F185*$J185</f>
        <v>0.146125704519903</v>
      </c>
      <c r="O185" s="25" cm="1">
        <f t="array" ref="O185">G185*$J185</f>
        <v>-0.0625257193947158</v>
      </c>
      <c r="P185" s="2"/>
      <c r="Q185" s="25">
        <v>0.0183999999999997</v>
      </c>
      <c r="R185" s="25">
        <v>0.010209657</v>
      </c>
      <c r="S185" s="25" cm="1">
        <f t="array" ref="S185">L185/$R185</f>
        <v>8.83348701328549</v>
      </c>
      <c r="T185" s="25" cm="1">
        <f t="array" ref="T185">M185/$R185</f>
        <v>20.6764431454026</v>
      </c>
      <c r="U185" s="25" cm="1">
        <f t="array" ref="U185">N185/$R185</f>
        <v>14.3124988939298</v>
      </c>
      <c r="V185" s="25" cm="1">
        <f t="array" ref="V185">O185/$R185</f>
        <v>-6.12417433756254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17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5" cm="1">
        <f t="array" ref="S186">S187/S185</f>
        <v>1</v>
      </c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17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5">
        <v>0.010209657</v>
      </c>
      <c r="S187" s="25" cm="1">
        <f t="array" ref="S187">L185/R187</f>
        <v>8.83348701328549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17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5" cm="1">
        <f t="array" ref="R188">R187*10000</f>
        <v>102.09657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17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5" cm="1">
        <f t="array" ref="R189">R188/R187</f>
        <v>10000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