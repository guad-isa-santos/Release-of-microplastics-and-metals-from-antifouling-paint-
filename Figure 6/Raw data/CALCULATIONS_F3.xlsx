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rmalized all" sheetId="1" r:id="rId5"/>
    <sheet name="Normalized all ug m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<sst xmlns="http://schemas.openxmlformats.org/spreadsheetml/2006/main" uniqueCount="247">
  <si>
    <t>original ICP-MS</t>
  </si>
  <si>
    <t>multiplied by L (ug/L*L)</t>
  </si>
  <si>
    <t>concentration minus average blank (ug)</t>
  </si>
  <si>
    <t>divided by g of paint (ug/g paint)</t>
  </si>
  <si>
    <t>Sample</t>
  </si>
  <si>
    <t>Timepoint</t>
  </si>
  <si>
    <t>Sample abbrev.</t>
  </si>
  <si>
    <t>Fe 56/72
Oxygen DRC
(ug/L)</t>
  </si>
  <si>
    <t>Cu 63/63
Oxygen DRC
(ug/L)</t>
  </si>
  <si>
    <t>Zn 66/66
Oxygen DRC
(ug/L)</t>
  </si>
  <si>
    <t>Ba 138/138
(ug/L)</t>
  </si>
  <si>
    <t>Vf/Vi (acidified/original)</t>
  </si>
  <si>
    <t>volume of leachate (mL)</t>
  </si>
  <si>
    <t>volume of leachate (L)</t>
  </si>
  <si>
    <t>Fe 56/72
Oxygen DRC
(ug)</t>
  </si>
  <si>
    <t>Cu 63/63
Oxygen DRC
(ug)</t>
  </si>
  <si>
    <t>Zn 66/66
Oxygen DRC
(ug)</t>
  </si>
  <si>
    <t>Ba 138/138
(ug)</t>
  </si>
  <si>
    <t>Weight of paint (AF + BC)</t>
  </si>
  <si>
    <t>filter blank 1</t>
  </si>
  <si>
    <t>filter blank 2</t>
  </si>
  <si>
    <t>filter blank 3</t>
  </si>
  <si>
    <t>H1-1</t>
  </si>
  <si>
    <t>0-1</t>
  </si>
  <si>
    <t>H1-2</t>
  </si>
  <si>
    <t>0-2</t>
  </si>
  <si>
    <t>H1-3</t>
  </si>
  <si>
    <t>0-3</t>
  </si>
  <si>
    <t>H2-1</t>
  </si>
  <si>
    <t>0-4</t>
  </si>
  <si>
    <t>H2-2</t>
  </si>
  <si>
    <t>0-5</t>
  </si>
  <si>
    <t>H2-3</t>
  </si>
  <si>
    <t>0-6</t>
  </si>
  <si>
    <t>H3-1</t>
  </si>
  <si>
    <t>0-7</t>
  </si>
  <si>
    <t>H3-2</t>
  </si>
  <si>
    <t>0-8</t>
  </si>
  <si>
    <t>H3-3</t>
  </si>
  <si>
    <t>0-9</t>
  </si>
  <si>
    <t>FT1-1</t>
  </si>
  <si>
    <t>0-10</t>
  </si>
  <si>
    <t>FT1-2</t>
  </si>
  <si>
    <t>0-11</t>
  </si>
  <si>
    <t>FT1-3</t>
  </si>
  <si>
    <t>0-12</t>
  </si>
  <si>
    <t>FT2-1</t>
  </si>
  <si>
    <t>0-13</t>
  </si>
  <si>
    <t>FT2-2</t>
  </si>
  <si>
    <t>0-14</t>
  </si>
  <si>
    <t>FT2-3</t>
  </si>
  <si>
    <t>0-15</t>
  </si>
  <si>
    <t>FT3-1</t>
  </si>
  <si>
    <t>0-16</t>
  </si>
  <si>
    <t>FT3-2</t>
  </si>
  <si>
    <t>0-17</t>
  </si>
  <si>
    <t>FT3-3</t>
  </si>
  <si>
    <t>0-18</t>
  </si>
  <si>
    <t>UVFT1-1</t>
  </si>
  <si>
    <t>0-19</t>
  </si>
  <si>
    <t>UVFT1-2</t>
  </si>
  <si>
    <t>0-20</t>
  </si>
  <si>
    <t>UVFT1-3</t>
  </si>
  <si>
    <t>0-21</t>
  </si>
  <si>
    <t>UVFT2-1</t>
  </si>
  <si>
    <t>0-22</t>
  </si>
  <si>
    <t>UVFT2-2</t>
  </si>
  <si>
    <t>0-23</t>
  </si>
  <si>
    <t>UVFT2-3</t>
  </si>
  <si>
    <t>0-24</t>
  </si>
  <si>
    <t>UVFT3-1</t>
  </si>
  <si>
    <t>0-25</t>
  </si>
  <si>
    <t>UVFT3-2</t>
  </si>
  <si>
    <t>0-26</t>
  </si>
  <si>
    <t>UVFT3-3</t>
  </si>
  <si>
    <t>0-27</t>
  </si>
  <si>
    <t>C1-1</t>
  </si>
  <si>
    <t>0-28</t>
  </si>
  <si>
    <t>C1-2</t>
  </si>
  <si>
    <t>0-29</t>
  </si>
  <si>
    <t>C1-3</t>
  </si>
  <si>
    <t>0-30</t>
  </si>
  <si>
    <t>C2-1</t>
  </si>
  <si>
    <t>0-31</t>
  </si>
  <si>
    <t>C2-2</t>
  </si>
  <si>
    <t>0-32</t>
  </si>
  <si>
    <t>C2-3</t>
  </si>
  <si>
    <t>0-33</t>
  </si>
  <si>
    <t>C3-1</t>
  </si>
  <si>
    <t>0-34</t>
  </si>
  <si>
    <t>C3-2</t>
  </si>
  <si>
    <t>0-35</t>
  </si>
  <si>
    <t>C3-3</t>
  </si>
  <si>
    <t>0-36</t>
  </si>
  <si>
    <t>UV1-1</t>
  </si>
  <si>
    <t>0-37</t>
  </si>
  <si>
    <t>UV1-2</t>
  </si>
  <si>
    <t>0-38</t>
  </si>
  <si>
    <t>UV1-3</t>
  </si>
  <si>
    <t>0-39</t>
  </si>
  <si>
    <t>UV2-1</t>
  </si>
  <si>
    <t>0-40</t>
  </si>
  <si>
    <t>UV2-2</t>
  </si>
  <si>
    <t>0-41</t>
  </si>
  <si>
    <t>UV2-3</t>
  </si>
  <si>
    <t>0-42</t>
  </si>
  <si>
    <t>UV3-1</t>
  </si>
  <si>
    <t>0-43</t>
  </si>
  <si>
    <t>UV3-2</t>
  </si>
  <si>
    <t>0-44</t>
  </si>
  <si>
    <t>UV3-3</t>
  </si>
  <si>
    <t>0-45</t>
  </si>
  <si>
    <t>2-1</t>
  </si>
  <si>
    <t>2-2</t>
  </si>
  <si>
    <t>2-3</t>
  </si>
  <si>
    <t>2-9</t>
  </si>
  <si>
    <t>2-5</t>
  </si>
  <si>
    <t>2-4</t>
  </si>
  <si>
    <t>2-7</t>
  </si>
  <si>
    <t>2-8</t>
  </si>
  <si>
    <t>2-6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</si>
  <si>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</si>
  <si>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</si>
  <si>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</si>
  <si>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</si>
  <si>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</si>
  <si>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</si>
  <si>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</si>
  <si>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</si>
  <si>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</si>
  <si>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</si>
  <si>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</si>
  <si>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</si>
  <si>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</si>
  <si>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</si>
  <si>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</si>
  <si>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</si>
  <si>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</si>
  <si>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</si>
  <si>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</si>
  <si>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</si>
  <si>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</si>
  <si>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</si>
  <si>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</si>
  <si>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</si>
  <si>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</si>
  <si>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</si>
  <si>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</si>
  <si>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</si>
  <si>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</si>
  <si>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</si>
  <si>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</si>
  <si>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</si>
  <si>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</si>
  <si>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</si>
  <si>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</si>
  <si>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</si>
  <si>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</si>
  <si>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</si>
  <si>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</si>
  <si>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</si>
  <si>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</si>
  <si>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</si>
  <si>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</si>
  <si>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</si>
  <si>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</si>
  <si>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</si>
  <si>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</si>
  <si>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</si>
  <si>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</si>
  <si>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</si>
  <si>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</si>
  <si>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</si>
  <si>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</si>
  <si>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</si>
  <si>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</si>
  <si>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</si>
  <si>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</si>
  <si>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</si>
  <si>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</si>
  <si>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</si>
  <si>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</si>
  <si>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</si>
  <si>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</si>
  <si>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</si>
  <si>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</si>
  <si>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</si>
  <si>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</si>
  <si>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</si>
  <si>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</si>
  <si>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</si>
  <si>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</si>
  <si>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</si>
  <si>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</si>
  <si>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</si>
  <si>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</si>
  <si>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</si>
  <si>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</si>
  <si>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</si>
  <si>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</si>
  <si>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</si>
  <si>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</si>
  <si>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</si>
  <si>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</si>
  <si>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</si>
  <si>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</si>
  <si>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</si>
  <si>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</si>
  <si>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</si>
  <si>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</si>
  <si>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</si>
  <si>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</si>
  <si>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</si>
  <si>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</si>
  <si>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</si>
  <si>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</si>
  <si>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</si>
  <si>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</si>
  <si>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</si>
  <si>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</si>
  <si>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</si>
  <si>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</si>
  <si>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</si>
  <si>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</si>
  <si>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</si>
  <si>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</si>
  <si>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</si>
  <si>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</si>
  <si>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</si>
  <si>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</si>
  <si>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</si>
  <si>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</si>
  <si>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</si>
  <si>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</si>
  <si>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</si>
  <si>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</si>
  <si>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</si>
  <si>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</si>
  <si>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6-37</t>
  </si>
  <si>
    <t>6-38</t>
  </si>
  <si>
    <t>6-39</t>
  </si>
  <si>
    <t>6-40</t>
  </si>
  <si>
    <t>6-41</t>
  </si>
  <si>
    <t>6-42</t>
  </si>
  <si>
    <t>6-43</t>
  </si>
  <si>
    <t>6-44</t>
  </si>
  <si>
    <t>6-45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</si>
</sst>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7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b val="1"/>
      <sz val="8"/>
      <color indexed="12"/>
      <name val="Tahoma"/>
    </font>
    <font>
      <sz val="8"/>
      <color indexed="8"/>
      <name val="Tahoma"/>
    </font>
    <font>
      <sz val="12"/>
      <color indexed="16"/>
      <name val="Aptos Narrow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4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 wrapText="1"/>
    </xf>
    <xf numFmtId="49" fontId="4" fillId="4" borderId="10" applyNumberFormat="1" applyFont="1" applyFill="1" applyBorder="1" applyAlignment="1" applyProtection="0">
      <alignment horizontal="center" vertical="center" wrapText="1"/>
    </xf>
    <xf numFmtId="49" fontId="4" fillId="3" borderId="11" applyNumberFormat="1" applyFont="1" applyFill="1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vertical="bottom"/>
    </xf>
    <xf numFmtId="49" fontId="4" fillId="4" borderId="13" applyNumberFormat="1" applyFont="1" applyFill="1" applyBorder="1" applyAlignment="1" applyProtection="0">
      <alignment horizontal="center" vertical="center" wrapText="1"/>
    </xf>
    <xf numFmtId="0" fontId="0" borderId="14" applyNumberFormat="0" applyFont="1" applyFill="0" applyBorder="1" applyAlignment="1" applyProtection="0">
      <alignment vertical="bottom"/>
    </xf>
    <xf numFmtId="0" fontId="4" fillId="3" borderId="15" applyNumberFormat="0" applyFont="1" applyFill="1" applyBorder="1" applyAlignment="1" applyProtection="0">
      <alignment horizontal="center" vertical="center" wrapText="1"/>
    </xf>
    <xf numFmtId="0" fontId="4" fillId="3" borderId="13" applyNumberFormat="0" applyFont="1" applyFill="1" applyBorder="1" applyAlignment="1" applyProtection="0">
      <alignment horizontal="center" vertical="center" wrapText="1"/>
    </xf>
    <xf numFmtId="0" fontId="4" fillId="4" borderId="15" applyNumberFormat="0" applyFont="1" applyFill="1" applyBorder="1" applyAlignment="1" applyProtection="0">
      <alignment horizontal="center" vertical="center" wrapText="1"/>
    </xf>
    <xf numFmtId="49" fontId="4" fillId="3" borderId="16" applyNumberFormat="1" applyFont="1" applyFill="1" applyBorder="1" applyAlignment="1" applyProtection="0">
      <alignment horizontal="center" vertical="center" wrapText="1"/>
    </xf>
    <xf numFmtId="0" fontId="3" borderId="17" applyNumberFormat="0" applyFont="1" applyFill="0" applyBorder="1" applyAlignment="1" applyProtection="0">
      <alignment vertical="bottom"/>
    </xf>
    <xf numFmtId="49" fontId="0" borderId="17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vertical="bottom" wrapText="1"/>
    </xf>
    <xf numFmtId="0" fontId="0" borderId="18" applyNumberFormat="0" applyFont="1" applyFill="0" applyBorder="1" applyAlignment="1" applyProtection="0">
      <alignment vertical="bottom"/>
    </xf>
    <xf numFmtId="0" fontId="0" borderId="18" applyNumberFormat="1" applyFont="1" applyFill="0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 wrapText="1"/>
    </xf>
    <xf numFmtId="0" fontId="0" borderId="5" applyNumberFormat="1" applyFont="1" applyFill="0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1" applyFont="1" applyFill="0" applyBorder="1" applyAlignment="1" applyProtection="0">
      <alignment vertical="bottom"/>
    </xf>
    <xf numFmtId="59" fontId="5" fillId="3" borderId="21" applyNumberFormat="1" applyFont="1" applyFill="1" applyBorder="1" applyAlignment="1" applyProtection="0">
      <alignment horizontal="left" vertical="center"/>
    </xf>
    <xf numFmtId="59" fontId="5" fillId="3" borderId="22" applyNumberFormat="1" applyFont="1" applyFill="1" applyBorder="1" applyAlignment="1" applyProtection="0">
      <alignment horizontal="left" vertical="center"/>
    </xf>
    <xf numFmtId="0" fontId="0" borderId="23" applyNumberFormat="1" applyFont="1" applyFill="0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59" fontId="5" fillId="3" borderId="24" applyNumberFormat="1" applyFont="1" applyFill="1" applyBorder="1" applyAlignment="1" applyProtection="0">
      <alignment horizontal="left" vertical="center"/>
    </xf>
    <xf numFmtId="59" fontId="5" fillId="5" borderId="21" applyNumberFormat="1" applyFont="1" applyFill="1" applyBorder="1" applyAlignment="1" applyProtection="0">
      <alignment horizontal="left" vertical="center"/>
    </xf>
    <xf numFmtId="0" fontId="0" borderId="4" applyNumberFormat="1" applyFont="1" applyFill="0" applyBorder="1" applyAlignment="1" applyProtection="0">
      <alignment vertical="bottom"/>
    </xf>
    <xf numFmtId="0" fontId="0" borderId="17" applyNumberFormat="1" applyFont="1" applyFill="0" applyBorder="1" applyAlignment="1" applyProtection="0">
      <alignment vertical="bottom"/>
    </xf>
    <xf numFmtId="59" fontId="5" fillId="5" borderId="22" applyNumberFormat="1" applyFont="1" applyFill="1" applyBorder="1" applyAlignment="1" applyProtection="0">
      <alignment horizontal="left" vertical="center"/>
    </xf>
    <xf numFmtId="49" fontId="0" borderId="25" applyNumberFormat="1" applyFont="1" applyFill="0" applyBorder="1" applyAlignment="1" applyProtection="0">
      <alignment vertical="bottom"/>
    </xf>
    <xf numFmtId="0" fontId="0" borderId="26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25" applyNumberFormat="1" applyFont="1" applyFill="0" applyBorder="1" applyAlignment="1" applyProtection="0">
      <alignment vertical="bottom"/>
    </xf>
    <xf numFmtId="0" fontId="0" fillId="3" borderId="25" applyNumberFormat="0" applyFont="1" applyFill="1" applyBorder="1" applyAlignment="1" applyProtection="0">
      <alignment vertical="bottom"/>
    </xf>
    <xf numFmtId="49" fontId="0" borderId="27" applyNumberFormat="1" applyFont="1" applyFill="0" applyBorder="1" applyAlignment="1" applyProtection="0">
      <alignment vertical="bottom"/>
    </xf>
    <xf numFmtId="49" fontId="0" borderId="28" applyNumberFormat="1" applyFont="1" applyFill="0" applyBorder="1" applyAlignment="1" applyProtection="0">
      <alignment vertical="bottom"/>
    </xf>
    <xf numFmtId="0" fontId="0" borderId="29" applyNumberFormat="1" applyFont="1" applyFill="0" applyBorder="1" applyAlignment="1" applyProtection="0">
      <alignment vertical="bottom"/>
    </xf>
    <xf numFmtId="0" fontId="0" borderId="30" applyNumberFormat="1" applyFont="1" applyFill="0" applyBorder="1" applyAlignment="1" applyProtection="0">
      <alignment vertical="bottom"/>
    </xf>
    <xf numFmtId="0" fontId="0" borderId="27" applyNumberFormat="1" applyFont="1" applyFill="0" applyBorder="1" applyAlignment="1" applyProtection="0">
      <alignment vertical="bottom"/>
    </xf>
    <xf numFmtId="0" fontId="6" fillId="3" borderId="17" applyNumberFormat="1" applyFont="1" applyFill="1" applyBorder="1" applyAlignment="1" applyProtection="0">
      <alignment vertical="bottom"/>
    </xf>
    <xf numFmtId="0" fontId="6" fillId="3" borderId="17" applyNumberFormat="0" applyFont="1" applyFill="1" applyBorder="1" applyAlignment="1" applyProtection="0">
      <alignment vertical="bottom"/>
    </xf>
    <xf numFmtId="0" fontId="6" fillId="3" borderId="27" applyNumberFormat="1" applyFont="1" applyFill="1" applyBorder="1" applyAlignment="1" applyProtection="0">
      <alignment vertical="bottom"/>
    </xf>
    <xf numFmtId="59" fontId="5" fillId="6" borderId="22" applyNumberFormat="1" applyFont="1" applyFill="1" applyBorder="1" applyAlignment="1" applyProtection="0">
      <alignment horizontal="left" vertical="center"/>
    </xf>
    <xf numFmtId="59" fontId="5" fillId="7" borderId="21" applyNumberFormat="1" applyFont="1" applyFill="1" applyBorder="1" applyAlignment="1" applyProtection="0">
      <alignment horizontal="left" vertical="center"/>
    </xf>
    <xf numFmtId="49" fontId="0" fillId="3" borderId="17" applyNumberFormat="1" applyFont="1" applyFill="1" applyBorder="1" applyAlignment="1" applyProtection="0">
      <alignment vertical="bottom" wrapText="1"/>
    </xf>
    <xf numFmtId="49" fontId="0" fillId="3" borderId="5" applyNumberFormat="1" applyFont="1" applyFill="1" applyBorder="1" applyAlignment="1" applyProtection="0">
      <alignment vertical="bottom" wrapText="1"/>
    </xf>
    <xf numFmtId="49" fontId="0" fillId="3" borderId="4" applyNumberFormat="1" applyFont="1" applyFill="1" applyBorder="1" applyAlignment="1" applyProtection="0">
      <alignment vertical="bottom" wrapText="1"/>
    </xf>
    <xf numFmtId="0" fontId="0" fillId="3" borderId="6" applyNumberFormat="1" applyFont="1" applyFill="1" applyBorder="1" applyAlignment="1" applyProtection="0">
      <alignment vertical="bottom"/>
    </xf>
    <xf numFmtId="0" fontId="0" fillId="3" borderId="31" applyNumberFormat="1" applyFont="1" applyFill="1" applyBorder="1" applyAlignment="1" applyProtection="0">
      <alignment vertical="bottom"/>
    </xf>
    <xf numFmtId="0" fontId="0" fillId="5" borderId="13" applyNumberFormat="1" applyFont="1" applyFill="1" applyBorder="1" applyAlignment="1" applyProtection="0">
      <alignment vertical="bottom"/>
    </xf>
    <xf numFmtId="59" fontId="0" fillId="3" borderId="23" applyNumberFormat="1" applyFont="1" applyFill="1" applyBorder="1" applyAlignment="1" applyProtection="0">
      <alignment vertical="bottom"/>
    </xf>
    <xf numFmtId="0" fontId="0" fillId="3" borderId="18" applyNumberFormat="1" applyFont="1" applyFill="1" applyBorder="1" applyAlignment="1" applyProtection="0">
      <alignment vertical="bottom"/>
    </xf>
    <xf numFmtId="59" fontId="5" fillId="3" borderId="32" applyNumberFormat="1" applyFont="1" applyFill="1" applyBorder="1" applyAlignment="1" applyProtection="0">
      <alignment horizontal="left" vertical="center"/>
    </xf>
    <xf numFmtId="59" fontId="5" fillId="3" borderId="33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0" fontId="0" fillId="3" borderId="25" applyNumberFormat="1" applyFont="1" applyFill="1" applyBorder="1" applyAlignment="1" applyProtection="0">
      <alignment vertical="bottom"/>
    </xf>
    <xf numFmtId="0" fontId="0" fillId="3" borderId="27" applyNumberFormat="1" applyFont="1" applyFill="1" applyBorder="1" applyAlignment="1" applyProtection="0">
      <alignment vertical="bottom"/>
    </xf>
    <xf numFmtId="59" fontId="6" fillId="3" borderId="27" applyNumberFormat="1" applyFont="1" applyFill="1" applyBorder="1" applyAlignment="1" applyProtection="0">
      <alignment vertical="bottom"/>
    </xf>
    <xf numFmtId="59" fontId="0" fillId="3" borderId="6" applyNumberFormat="1" applyFont="1" applyFill="1" applyBorder="1" applyAlignment="1" applyProtection="0">
      <alignment vertical="bottom"/>
    </xf>
    <xf numFmtId="59" fontId="0" fillId="5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6c6ac"/>
      <rgbColor rgb="ffaaaaaa"/>
      <rgbColor rgb="ffffffff"/>
      <rgbColor rgb="ffff0000"/>
      <rgbColor rgb="ffffffe0"/>
      <rgbColor rgb="ffa9a9a9"/>
      <rgbColor rgb="ffffff00"/>
      <rgbColor rgb="ff4a5d70"/>
      <rgbColor rgb="ffffc000"/>
      <rgbColor rgb="ffceeb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I185"/>
  <sheetViews>
    <sheetView workbookViewId="0" showGridLines="0" defaultGridColor="1"/>
  </sheetViews>
  <sheetFormatPr defaultColWidth="10.8333" defaultRowHeight="16" customHeight="1" outlineLevelRow="0" outlineLevelCol="0"/>
  <cols>
    <col min="1" max="8" width="10.8516" style="1" customWidth="1"/>
    <col min="9" max="9" width="7" style="1" customWidth="1"/>
    <col min="10" max="10" width="12.8516" style="1" customWidth="1"/>
    <col min="11" max="11" width="4.5" style="1" customWidth="1"/>
    <col min="12" max="15" width="10.8516" style="1" customWidth="1"/>
    <col min="16" max="16" width="7" style="1" customWidth="1"/>
    <col min="17" max="18" width="10.8516" style="1" customWidth="1"/>
    <col min="19" max="19" width="7" style="1" customWidth="1"/>
    <col min="20" max="30" width="10.8516" style="1" customWidth="1"/>
    <col min="31" max="31" width="4" style="1" customWidth="1"/>
    <col min="32" max="35" width="10.8516" style="1" customWidth="1"/>
    <col min="36" max="16384" width="10.8516" style="1" customWidth="1"/>
  </cols>
  <sheetData>
    <row r="1" ht="17" customHeight="1">
      <c r="A1" s="2"/>
      <c r="B1" s="3"/>
      <c r="C1" s="3"/>
      <c r="D1" s="3"/>
      <c r="E1" t="s" s="4">
        <v>0</v>
      </c>
      <c r="F1" s="5"/>
      <c r="G1" s="5"/>
      <c r="H1" s="5"/>
      <c r="I1" s="6"/>
      <c r="J1" s="7"/>
      <c r="K1" s="6"/>
      <c r="L1" s="5"/>
      <c r="M1" s="5"/>
      <c r="N1" s="5"/>
      <c r="O1" s="5"/>
      <c r="P1" s="6"/>
      <c r="Q1" s="7"/>
      <c r="R1" s="7"/>
      <c r="S1" s="6"/>
      <c r="T1" t="s" s="8">
        <v>1</v>
      </c>
      <c r="U1" s="5"/>
      <c r="V1" s="5"/>
      <c r="W1" s="5"/>
      <c r="X1" s="7"/>
      <c r="Y1" t="s" s="8">
        <v>2</v>
      </c>
      <c r="Z1" s="5"/>
      <c r="AA1" s="5"/>
      <c r="AB1" s="5"/>
      <c r="AC1" s="7"/>
      <c r="AD1" t="s" s="9">
        <v>3</v>
      </c>
      <c r="AE1" s="10"/>
      <c r="AF1" s="11"/>
      <c r="AG1" s="11"/>
      <c r="AH1" s="11"/>
      <c r="AI1" s="11"/>
    </row>
    <row r="2" ht="36" customHeight="1">
      <c r="A2" s="12"/>
      <c r="B2" t="s" s="13">
        <v>4</v>
      </c>
      <c r="C2" t="s" s="13">
        <v>5</v>
      </c>
      <c r="D2" t="s" s="14">
        <v>6</v>
      </c>
      <c r="E2" t="s" s="15">
        <v>7</v>
      </c>
      <c r="F2" t="s" s="15">
        <v>8</v>
      </c>
      <c r="G2" t="s" s="15">
        <v>9</v>
      </c>
      <c r="H2" t="s" s="16">
        <v>10</v>
      </c>
      <c r="I2" s="17"/>
      <c r="J2" t="s" s="18">
        <v>11</v>
      </c>
      <c r="K2" s="19"/>
      <c r="L2" t="s" s="15">
        <v>7</v>
      </c>
      <c r="M2" t="s" s="15">
        <v>8</v>
      </c>
      <c r="N2" t="s" s="15">
        <v>9</v>
      </c>
      <c r="O2" t="s" s="16">
        <v>10</v>
      </c>
      <c r="P2" s="17"/>
      <c r="Q2" t="s" s="18">
        <v>12</v>
      </c>
      <c r="R2" t="s" s="18">
        <v>13</v>
      </c>
      <c r="S2" s="19"/>
      <c r="T2" t="s" s="15">
        <v>14</v>
      </c>
      <c r="U2" t="s" s="15">
        <v>15</v>
      </c>
      <c r="V2" t="s" s="15">
        <v>16</v>
      </c>
      <c r="W2" t="s" s="16">
        <v>17</v>
      </c>
      <c r="X2" s="20"/>
      <c r="Y2" t="s" s="15">
        <v>14</v>
      </c>
      <c r="Z2" t="s" s="15">
        <v>15</v>
      </c>
      <c r="AA2" t="s" s="15">
        <v>16</v>
      </c>
      <c r="AB2" t="s" s="16">
        <v>17</v>
      </c>
      <c r="AC2" s="21"/>
      <c r="AD2" t="s" s="18">
        <v>18</v>
      </c>
      <c r="AE2" s="22"/>
      <c r="AF2" t="s" s="15">
        <v>14</v>
      </c>
      <c r="AG2" t="s" s="15">
        <v>15</v>
      </c>
      <c r="AH2" t="s" s="15">
        <v>16</v>
      </c>
      <c r="AI2" t="s" s="23">
        <v>17</v>
      </c>
    </row>
    <row r="3" ht="17" customHeight="1">
      <c r="A3" s="24"/>
      <c r="B3" t="s" s="25">
        <v>19</v>
      </c>
      <c r="C3" s="26"/>
      <c r="D3" s="27"/>
      <c r="E3" s="28"/>
      <c r="F3" s="28"/>
      <c r="G3" s="28"/>
      <c r="H3" s="28"/>
      <c r="I3" s="6"/>
      <c r="J3" s="28"/>
      <c r="K3" s="6"/>
      <c r="L3" s="28"/>
      <c r="M3" s="28"/>
      <c r="N3" s="28"/>
      <c r="O3" s="28"/>
      <c r="P3" s="6"/>
      <c r="Q3" s="29">
        <v>14.519</v>
      </c>
      <c r="R3" s="29" cm="1">
        <f t="array" ref="R3">Q3/1000</f>
        <v>0.014519</v>
      </c>
      <c r="S3" s="6"/>
      <c r="T3" s="29" cm="1">
        <f t="array" ref="T3">$R3*E3</f>
        <v>0</v>
      </c>
      <c r="U3" s="29" cm="1">
        <f t="array" ref="U3">$R3*F3</f>
        <v>0</v>
      </c>
      <c r="V3" s="29" cm="1">
        <f t="array" ref="V3">$R3*G3</f>
        <v>0</v>
      </c>
      <c r="W3" s="29" cm="1">
        <f t="array" ref="W3">$R3*H3</f>
        <v>0</v>
      </c>
      <c r="X3" s="28"/>
      <c r="Y3" s="29" cm="1">
        <f t="array" ref="Y3">AVERAGE(T3:T5)</f>
        <v>0</v>
      </c>
      <c r="Z3" s="29" cm="1">
        <f t="array" ref="Z3">AVERAGE(U3:U5)</f>
        <v>0</v>
      </c>
      <c r="AA3" s="29" cm="1">
        <f t="array" ref="AA3">AVERAGE(V3:V5)</f>
        <v>0</v>
      </c>
      <c r="AB3" s="29" cm="1">
        <f t="array" ref="AB3">AVERAGE(W3:W5)</f>
        <v>0</v>
      </c>
      <c r="AC3" s="28"/>
      <c r="AD3" s="30"/>
      <c r="AE3" s="30"/>
      <c r="AF3" s="30"/>
      <c r="AG3" s="30"/>
      <c r="AH3" s="30"/>
      <c r="AI3" s="30"/>
    </row>
    <row r="4" ht="17" customHeight="1">
      <c r="A4" s="31"/>
      <c r="B4" t="s" s="32">
        <v>20</v>
      </c>
      <c r="C4" s="6"/>
      <c r="D4" s="3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4">
        <v>14.519</v>
      </c>
      <c r="R4" s="34" cm="1">
        <f t="array" ref="R4">Q4/1000</f>
        <v>0.014519</v>
      </c>
      <c r="S4" s="6"/>
      <c r="T4" s="6"/>
      <c r="U4" s="6"/>
      <c r="V4" s="34" cm="1">
        <f t="array" ref="V4">$R4*G4</f>
        <v>0</v>
      </c>
      <c r="W4" s="6"/>
      <c r="X4" s="6"/>
      <c r="Y4" s="6"/>
      <c r="Z4" s="6"/>
      <c r="AA4" s="6"/>
      <c r="AB4" s="6"/>
      <c r="AC4" s="6"/>
      <c r="AD4" s="35"/>
      <c r="AE4" s="35"/>
      <c r="AF4" s="35"/>
      <c r="AG4" s="35"/>
      <c r="AH4" s="35"/>
      <c r="AI4" s="35"/>
    </row>
    <row r="5" ht="17" customHeight="1">
      <c r="A5" s="31"/>
      <c r="B5" t="s" s="32">
        <v>21</v>
      </c>
      <c r="C5" s="6"/>
      <c r="D5" s="33"/>
      <c r="E5" s="6"/>
      <c r="F5" s="36"/>
      <c r="G5" s="36"/>
      <c r="H5" s="6"/>
      <c r="I5" s="6"/>
      <c r="J5" s="6"/>
      <c r="K5" s="6"/>
      <c r="L5" s="6"/>
      <c r="M5" s="6"/>
      <c r="N5" s="6"/>
      <c r="O5" s="6"/>
      <c r="P5" s="6"/>
      <c r="Q5" s="34">
        <v>14.519</v>
      </c>
      <c r="R5" s="34" cm="1">
        <f t="array" ref="R5">Q5/1000</f>
        <v>0.014519</v>
      </c>
      <c r="S5" s="6"/>
      <c r="T5" s="6"/>
      <c r="U5" s="6"/>
      <c r="V5" s="34" cm="1">
        <f t="array" ref="V5">$R5*G5</f>
        <v>0</v>
      </c>
      <c r="W5" s="6"/>
      <c r="X5" s="6"/>
      <c r="Y5" s="6"/>
      <c r="Z5" s="6"/>
      <c r="AA5" s="6"/>
      <c r="AB5" s="6"/>
      <c r="AC5" s="6"/>
      <c r="AD5" s="35"/>
      <c r="AE5" s="35"/>
      <c r="AF5" s="35"/>
      <c r="AG5" s="35"/>
      <c r="AH5" s="35"/>
      <c r="AI5" s="35"/>
    </row>
    <row r="6" ht="17" customHeight="1">
      <c r="A6" s="34">
        <v>0</v>
      </c>
      <c r="B6" t="s" s="32">
        <v>22</v>
      </c>
      <c r="C6" s="34">
        <v>0</v>
      </c>
      <c r="D6" t="s" s="32">
        <v>23</v>
      </c>
      <c r="E6" s="37">
        <v>5.38480587999696</v>
      </c>
      <c r="F6" s="38">
        <v>4.54865607711344</v>
      </c>
      <c r="G6" s="39">
        <v>13.4354721166714</v>
      </c>
      <c r="H6" s="40">
        <v>-5.17241613894938</v>
      </c>
      <c r="I6" s="6"/>
      <c r="J6" s="34">
        <v>1.02930581999691</v>
      </c>
      <c r="K6" s="6"/>
      <c r="L6" s="34" cm="1">
        <f t="array" ref="L6">E6*$J6</f>
        <v>5.54261203183445</v>
      </c>
      <c r="M6" s="34" cm="1">
        <f t="array" ref="M6">F6*$J6</f>
        <v>4.68195817333718</v>
      </c>
      <c r="N6" s="34" cm="1">
        <f t="array" ref="N6">G6*$J6</f>
        <v>13.8292096440961</v>
      </c>
      <c r="O6" s="34" cm="1">
        <f t="array" ref="O6">H6*$J6</f>
        <v>-5.32399803526654</v>
      </c>
      <c r="P6" s="6"/>
      <c r="Q6" s="34">
        <v>271.121</v>
      </c>
      <c r="R6" s="34" cm="1">
        <f t="array" ref="R6">Q6/1000</f>
        <v>0.271121</v>
      </c>
      <c r="S6" s="6"/>
      <c r="T6" s="34" cm="1">
        <f t="array" ref="T6">$R6*L6</f>
        <v>1.50271851668299</v>
      </c>
      <c r="U6" s="34" cm="1">
        <f t="array" ref="U6">$R6*M6</f>
        <v>1.26937718191335</v>
      </c>
      <c r="V6" s="34" cm="1">
        <f t="array" ref="V6">$R6*N6</f>
        <v>3.74938914791698</v>
      </c>
      <c r="W6" s="34" cm="1">
        <f t="array" ref="W6">$R6*O6</f>
        <v>-1.4434476713195</v>
      </c>
      <c r="X6" s="6"/>
      <c r="Y6" s="34" cm="1">
        <f t="array" ref="Y6">T6-Y$12-Y$3</f>
        <v>1.36507071061917</v>
      </c>
      <c r="Z6" s="34" cm="1">
        <f t="array" ref="Z6">U6-Z$12-Z$3</f>
        <v>0.529179331985272</v>
      </c>
      <c r="AA6" s="34" cm="1">
        <f t="array" ref="AA6">V6-AA$12-AA$3</f>
        <v>-7.62100659143272</v>
      </c>
      <c r="AB6" s="34" cm="1">
        <f t="array" ref="AB6">W6-AB$12-AB$3</f>
        <v>4.27354504772644</v>
      </c>
      <c r="AC6" s="6"/>
      <c r="AD6" s="41">
        <v>4.151</v>
      </c>
      <c r="AE6" s="35"/>
      <c r="AF6" s="41" cm="1">
        <f t="array" ref="AF6">Y6/$AD6</f>
        <v>0.328853459556533</v>
      </c>
      <c r="AG6" s="41" cm="1">
        <f t="array" ref="AG6">Z6/$AD6</f>
        <v>0.127482373400451</v>
      </c>
      <c r="AH6" s="41" cm="1">
        <f t="array" ref="AH6">AA6/$AD6</f>
        <v>-1.83594473414424</v>
      </c>
      <c r="AI6" s="41" cm="1">
        <f t="array" ref="AI6">AB6/$AD6</f>
        <v>1.029521813473</v>
      </c>
    </row>
    <row r="7" ht="17" customHeight="1">
      <c r="A7" s="6"/>
      <c r="B7" t="s" s="32">
        <v>24</v>
      </c>
      <c r="C7" s="34">
        <v>0</v>
      </c>
      <c r="D7" t="s" s="32">
        <v>25</v>
      </c>
      <c r="E7" s="37">
        <v>-0.06327160585979651</v>
      </c>
      <c r="F7" s="38">
        <v>0.399283108021467</v>
      </c>
      <c r="G7" s="42">
        <v>15.3527781681808</v>
      </c>
      <c r="H7" s="34">
        <v>-5.26740722213101</v>
      </c>
      <c r="I7" s="6"/>
      <c r="J7" s="34">
        <v>1.02883468284387</v>
      </c>
      <c r="K7" s="6"/>
      <c r="L7" s="34" cm="1">
        <f t="array" ref="L7">E7*$J7</f>
        <v>-0.0650960225477861</v>
      </c>
      <c r="M7" s="34" cm="1">
        <f t="array" ref="M7">F7*$J7</f>
        <v>0.410796309806181</v>
      </c>
      <c r="N7" s="34" cm="1">
        <f t="array" ref="N7">G7*$J7</f>
        <v>15.7954706574326</v>
      </c>
      <c r="O7" s="34" cm="1">
        <f t="array" ref="O7">H7*$J7</f>
        <v>-5.41929123879067</v>
      </c>
      <c r="P7" s="6"/>
      <c r="Q7" s="34">
        <v>266.5276</v>
      </c>
      <c r="R7" s="34" cm="1">
        <f t="array" ref="R7">Q7/1000</f>
        <v>0.2665276</v>
      </c>
      <c r="S7" s="6"/>
      <c r="T7" s="34" cm="1">
        <f t="array" ref="T7">$R7*L7</f>
        <v>-0.0173498866592073</v>
      </c>
      <c r="U7" s="34" cm="1">
        <f t="array" ref="U7">$R7*M7</f>
        <v>0.109488554541498</v>
      </c>
      <c r="V7" s="34" cm="1">
        <f t="array" ref="V7">$R7*N7</f>
        <v>4.20992888519593</v>
      </c>
      <c r="W7" s="34" cm="1">
        <f t="array" ref="W7">$R7*O7</f>
        <v>-1.4443906875759</v>
      </c>
      <c r="X7" s="6"/>
      <c r="Y7" s="34" cm="1">
        <f t="array" ref="Y7">T7-Y$12-Y$3</f>
        <v>-0.154997692723027</v>
      </c>
      <c r="Z7" s="34" cm="1">
        <f t="array" ref="Z7">U7-Z$12-Z$3</f>
        <v>-0.63070929538658</v>
      </c>
      <c r="AA7" s="34" cm="1">
        <f t="array" ref="AA7">V7-AA$12-AA$3</f>
        <v>-7.16046685415377</v>
      </c>
      <c r="AB7" s="34" cm="1">
        <f t="array" ref="AB7">W7-AB$12-AB$3</f>
        <v>4.27260203147004</v>
      </c>
      <c r="AC7" s="6"/>
      <c r="AD7" s="41">
        <v>4.2742</v>
      </c>
      <c r="AE7" s="35"/>
      <c r="AF7" s="41" cm="1">
        <f t="array" ref="AF7">Y7/$AD7</f>
        <v>-0.036263556390208</v>
      </c>
      <c r="AG7" s="41" cm="1">
        <f t="array" ref="AG7">Z7/$AD7</f>
        <v>-0.147561952034668</v>
      </c>
      <c r="AH7" s="41" cm="1">
        <f t="array" ref="AH7">AA7/$AD7</f>
        <v>-1.67527650885634</v>
      </c>
      <c r="AI7" s="41" cm="1">
        <f t="array" ref="AI7">AB7/$AD7</f>
        <v>0.999626136229011</v>
      </c>
    </row>
    <row r="8" ht="17" customHeight="1">
      <c r="A8" s="6"/>
      <c r="B8" t="s" s="32">
        <v>26</v>
      </c>
      <c r="C8" s="34">
        <v>0</v>
      </c>
      <c r="D8" t="s" s="32">
        <v>27</v>
      </c>
      <c r="E8" s="37">
        <v>-0.7832468146517</v>
      </c>
      <c r="F8" s="38">
        <v>1.43230262356281</v>
      </c>
      <c r="G8" s="39">
        <v>11.3761102115693</v>
      </c>
      <c r="H8" s="40">
        <v>-5.29095912797663</v>
      </c>
      <c r="I8" s="6"/>
      <c r="J8" s="34">
        <v>1.02834854433284</v>
      </c>
      <c r="K8" s="6"/>
      <c r="L8" s="34" cm="1">
        <f t="array" ref="L8">E8*$J8</f>
        <v>-0.805450721700409</v>
      </c>
      <c r="M8" s="34" cm="1">
        <f t="array" ref="M8">F8*$J8</f>
        <v>1.47290631798492</v>
      </c>
      <c r="N8" s="34" cm="1">
        <f t="array" ref="N8">G8*$J8</f>
        <v>11.6986063762372</v>
      </c>
      <c r="O8" s="34" cm="1">
        <f t="array" ref="O8">H8*$J8</f>
        <v>-5.44095011737932</v>
      </c>
      <c r="P8" s="6"/>
      <c r="Q8" s="34">
        <v>266.9158</v>
      </c>
      <c r="R8" s="34" cm="1">
        <f t="array" ref="R8">Q8/1000</f>
        <v>0.2669158</v>
      </c>
      <c r="S8" s="6"/>
      <c r="T8" s="34" cm="1">
        <f t="array" ref="T8">$R8*L8</f>
        <v>-0.214987523743242</v>
      </c>
      <c r="U8" s="34" cm="1">
        <f t="array" ref="U8">$R8*M8</f>
        <v>0.393141968189999</v>
      </c>
      <c r="V8" s="34" cm="1">
        <f t="array" ref="V8">$R8*N8</f>
        <v>3.12254287979845</v>
      </c>
      <c r="W8" s="34" cm="1">
        <f t="array" ref="W8">$R8*O8</f>
        <v>-1.4522755533404</v>
      </c>
      <c r="X8" s="6"/>
      <c r="Y8" s="34" cm="1">
        <f t="array" ref="Y8">T8-Y$12-Y$3</f>
        <v>-0.352635329807062</v>
      </c>
      <c r="Z8" s="34" cm="1">
        <f t="array" ref="Z8">U8-Z$12-Z$3</f>
        <v>-0.347055881738079</v>
      </c>
      <c r="AA8" s="34" cm="1">
        <f t="array" ref="AA8">V8-AA$12-AA$3</f>
        <v>-8.24785285955125</v>
      </c>
      <c r="AB8" s="34" cm="1">
        <f t="array" ref="AB8">W8-AB$12-AB$3</f>
        <v>4.26471716570554</v>
      </c>
      <c r="AC8" s="6"/>
      <c r="AD8" s="41">
        <v>4.4778</v>
      </c>
      <c r="AE8" s="35"/>
      <c r="AF8" s="41" cm="1">
        <f t="array" ref="AF8">Y8/$AD8</f>
        <v>-0.07875191607643529</v>
      </c>
      <c r="AG8" s="41" cm="1">
        <f t="array" ref="AG8">Z8/$AD8</f>
        <v>-0.077505891674054</v>
      </c>
      <c r="AH8" s="41" cm="1">
        <f t="array" ref="AH8">AA8/$AD8</f>
        <v>-1.84194311035581</v>
      </c>
      <c r="AI8" s="41" cm="1">
        <f t="array" ref="AI8">AB8/$AD8</f>
        <v>0.952413498973947</v>
      </c>
    </row>
    <row r="9" ht="17" customHeight="1">
      <c r="A9" s="6"/>
      <c r="B9" t="s" s="32">
        <v>28</v>
      </c>
      <c r="C9" s="34">
        <v>0</v>
      </c>
      <c r="D9" t="s" s="32">
        <v>29</v>
      </c>
      <c r="E9" s="37">
        <v>-0.00564053573193738</v>
      </c>
      <c r="F9" s="38">
        <v>2.18033308146914</v>
      </c>
      <c r="G9" s="42">
        <v>8.698670436457819</v>
      </c>
      <c r="H9" s="34">
        <v>-2.71139956947437</v>
      </c>
      <c r="I9" s="6"/>
      <c r="J9" s="34">
        <v>1.02897592964441</v>
      </c>
      <c r="K9" s="6"/>
      <c r="L9" s="34" cm="1">
        <f t="array" ref="L9">E9*$J9</f>
        <v>-0.00580397549846278</v>
      </c>
      <c r="M9" s="34" cm="1">
        <f t="array" ref="M9">F9*$J9</f>
        <v>2.24351025943917</v>
      </c>
      <c r="N9" s="34" cm="1">
        <f t="array" ref="N9">G9*$J9</f>
        <v>8.950722499024531</v>
      </c>
      <c r="O9" s="34" cm="1">
        <f t="array" ref="O9">H9*$J9</f>
        <v>-2.78996489263734</v>
      </c>
      <c r="P9" s="6"/>
      <c r="Q9" s="34">
        <v>266.947</v>
      </c>
      <c r="R9" s="34" cm="1">
        <f t="array" ref="R9">Q9/1000</f>
        <v>0.266947</v>
      </c>
      <c r="S9" s="6"/>
      <c r="T9" s="34" cm="1">
        <f t="array" ref="T9">$R9*L9</f>
        <v>-0.00154935384738814</v>
      </c>
      <c r="U9" s="34" cm="1">
        <f t="array" ref="U9">$R9*M9</f>
        <v>0.598898333226508</v>
      </c>
      <c r="V9" s="34" cm="1">
        <f t="array" ref="V9">$R9*N9</f>
        <v>2.3893685189471</v>
      </c>
      <c r="W9" s="34" cm="1">
        <f t="array" ref="W9">$R9*O9</f>
        <v>-0.74477275819486</v>
      </c>
      <c r="X9" s="6"/>
      <c r="Y9" s="34" cm="1">
        <f t="array" ref="Y9">T9-Y$12-Y$3</f>
        <v>-0.139197159911208</v>
      </c>
      <c r="Z9" s="34" cm="1">
        <f t="array" ref="Z9">U9-Z$12-Z$3</f>
        <v>-0.14129951670157</v>
      </c>
      <c r="AA9" s="34" cm="1">
        <f t="array" ref="AA9">V9-AA$12-AA$3</f>
        <v>-8.9810272204026</v>
      </c>
      <c r="AB9" s="34" cm="1">
        <f t="array" ref="AB9">W9-AB$12-AB$3</f>
        <v>4.97221996085108</v>
      </c>
      <c r="AC9" s="6"/>
      <c r="AD9" s="41">
        <v>2.4186</v>
      </c>
      <c r="AE9" s="35"/>
      <c r="AF9" s="41" cm="1">
        <f t="array" ref="AF9">Y9/$AD9</f>
        <v>-0.0575527825647929</v>
      </c>
      <c r="AG9" s="41" cm="1">
        <f t="array" ref="AG9">Z9/$AD9</f>
        <v>-0.0584220279093567</v>
      </c>
      <c r="AH9" s="41" cm="1">
        <f t="array" ref="AH9">AA9/$AD9</f>
        <v>-3.71331647250583</v>
      </c>
      <c r="AI9" s="41" cm="1">
        <f t="array" ref="AI9">AB9/$AD9</f>
        <v>2.05582566809356</v>
      </c>
    </row>
    <row r="10" ht="17" customHeight="1">
      <c r="A10" s="6"/>
      <c r="B10" t="s" s="32">
        <v>30</v>
      </c>
      <c r="C10" s="34">
        <v>0</v>
      </c>
      <c r="D10" t="s" s="32">
        <v>31</v>
      </c>
      <c r="E10" s="37">
        <v>2.78695063605843</v>
      </c>
      <c r="F10" s="43">
        <v>0.000898014361638009</v>
      </c>
      <c r="G10" s="39">
        <v>198.849509718236</v>
      </c>
      <c r="H10" s="40">
        <v>-48.3174085970069</v>
      </c>
      <c r="I10" s="6"/>
      <c r="J10" s="34">
        <v>1.02948287965057</v>
      </c>
      <c r="K10" s="6"/>
      <c r="L10" s="34" cm="1">
        <f t="array" ref="L10">E10*$J10</f>
        <v>2.86911796625342</v>
      </c>
      <c r="M10" s="34" cm="1">
        <f t="array" ref="M10">F10*$J10</f>
        <v>0.000924490410986666</v>
      </c>
      <c r="N10" s="34" cm="1">
        <f t="array" ref="N10">G10*$J10</f>
        <v>204.712165881834</v>
      </c>
      <c r="O10" s="34" cm="1">
        <f t="array" ref="O10">H10*$J10</f>
        <v>-49.7419449396999</v>
      </c>
      <c r="P10" s="6"/>
      <c r="Q10" s="34">
        <v>264.108</v>
      </c>
      <c r="R10" s="34" cm="1">
        <f t="array" ref="R10">Q10/1000</f>
        <v>0.264108</v>
      </c>
      <c r="S10" s="6"/>
      <c r="T10" s="34" cm="1">
        <f t="array" ref="T10">$R10*L10</f>
        <v>0.757757007831258</v>
      </c>
      <c r="U10" s="34" cm="1">
        <f t="array" ref="U10">$R10*M10</f>
        <v>0.000244165313464866</v>
      </c>
      <c r="V10" s="34" cm="1">
        <f t="array" ref="V10">$R10*N10</f>
        <v>54.0661207067194</v>
      </c>
      <c r="W10" s="34" cm="1">
        <f t="array" ref="W10">$R10*O10</f>
        <v>-13.1372455941343</v>
      </c>
      <c r="X10" s="6"/>
      <c r="Y10" s="34" cm="1">
        <f t="array" ref="Y10">T10-Y$12-Y$3</f>
        <v>0.620109201767438</v>
      </c>
      <c r="Z10" s="34" cm="1">
        <f t="array" ref="Z10">U10-Z$12-Z$3</f>
        <v>-0.739953684614613</v>
      </c>
      <c r="AA10" s="34" cm="1">
        <f t="array" ref="AA10">V10-AA$12-AA$3</f>
        <v>42.6957249673697</v>
      </c>
      <c r="AB10" s="34" cm="1">
        <f t="array" ref="AB10">W10-AB$12-AB$3</f>
        <v>-7.42025287508836</v>
      </c>
      <c r="AC10" s="6"/>
      <c r="AD10" s="41">
        <v>2.5692</v>
      </c>
      <c r="AE10" s="35"/>
      <c r="AF10" s="41" cm="1">
        <f t="array" ref="AF10">Y10/$AD10</f>
        <v>0.241362759523368</v>
      </c>
      <c r="AG10" s="41" cm="1">
        <f t="array" ref="AG10">Z10/$AD10</f>
        <v>-0.288009374363465</v>
      </c>
      <c r="AH10" s="41" cm="1">
        <f t="array" ref="AH10">AA10/$AD10</f>
        <v>16.6182955656896</v>
      </c>
      <c r="AI10" s="41" cm="1">
        <f t="array" ref="AI10">AB10/$AD10</f>
        <v>-2.88815696523757</v>
      </c>
    </row>
    <row r="11" ht="17" customHeight="1">
      <c r="A11" s="6"/>
      <c r="B11" t="s" s="32">
        <v>32</v>
      </c>
      <c r="C11" s="34">
        <v>0</v>
      </c>
      <c r="D11" t="s" s="32">
        <v>33</v>
      </c>
      <c r="E11" s="37">
        <v>1.74054216628814</v>
      </c>
      <c r="F11" s="38">
        <v>0.143131907208143</v>
      </c>
      <c r="G11" s="42">
        <v>3.76770929776431</v>
      </c>
      <c r="H11" s="34">
        <v>-3.002475497113</v>
      </c>
      <c r="I11" s="6"/>
      <c r="J11" s="34">
        <v>1.02903349038584</v>
      </c>
      <c r="K11" s="6"/>
      <c r="L11" s="34" cm="1">
        <f t="array" ref="L11">E11*$J11</f>
        <v>1.79107618053922</v>
      </c>
      <c r="M11" s="34" cm="1">
        <f t="array" ref="M11">F11*$J11</f>
        <v>0.147287526059978</v>
      </c>
      <c r="N11" s="34" cm="1">
        <f t="array" ref="N11">G11*$J11</f>
        <v>3.87709904943759</v>
      </c>
      <c r="O11" s="34" cm="1">
        <f t="array" ref="O11">H11*$J11</f>
        <v>-3.08964784059215</v>
      </c>
      <c r="P11" s="6"/>
      <c r="Q11" s="34">
        <v>267.935</v>
      </c>
      <c r="R11" s="34" cm="1">
        <f t="array" ref="R11">Q11/1000</f>
        <v>0.267935</v>
      </c>
      <c r="S11" s="6"/>
      <c r="T11" s="34" cm="1">
        <f t="array" ref="T11">$R11*L11</f>
        <v>0.479891996432776</v>
      </c>
      <c r="U11" s="34" cm="1">
        <f t="array" ref="U11">$R11*M11</f>
        <v>0.0394634832948802</v>
      </c>
      <c r="V11" s="34" cm="1">
        <f t="array" ref="V11">$R11*N11</f>
        <v>1.03881053381106</v>
      </c>
      <c r="W11" s="34" cm="1">
        <f t="array" ref="W11">$R11*O11</f>
        <v>-0.827824794169058</v>
      </c>
      <c r="X11" s="6"/>
      <c r="Y11" s="34" cm="1">
        <f t="array" ref="Y11">T11-Y$12-Y$3</f>
        <v>0.342244190368956</v>
      </c>
      <c r="Z11" s="34" cm="1">
        <f t="array" ref="Z11">U11-Z$12-Z$3</f>
        <v>-0.700734366633198</v>
      </c>
      <c r="AA11" s="34" cm="1">
        <f t="array" ref="AA11">V11-AA$12-AA$3</f>
        <v>-10.3315852055386</v>
      </c>
      <c r="AB11" s="34" cm="1">
        <f t="array" ref="AB11">W11-AB$12-AB$3</f>
        <v>4.88916792487688</v>
      </c>
      <c r="AC11" s="6"/>
      <c r="AD11" s="41">
        <v>2.2904</v>
      </c>
      <c r="AE11" s="35"/>
      <c r="AF11" s="41" cm="1">
        <f t="array" ref="AF11">Y11/$AD11</f>
        <v>0.149425510988891</v>
      </c>
      <c r="AG11" s="41" cm="1">
        <f t="array" ref="AG11">Z11/$AD11</f>
        <v>-0.30594409999703</v>
      </c>
      <c r="AH11" s="41" cm="1">
        <f t="array" ref="AH11">AA11/$AD11</f>
        <v>-4.51082134366862</v>
      </c>
      <c r="AI11" s="41" cm="1">
        <f t="array" ref="AI11">AB11/$AD11</f>
        <v>2.13463496545445</v>
      </c>
    </row>
    <row r="12" ht="17" customHeight="1">
      <c r="A12" s="6"/>
      <c r="B12" t="s" s="32">
        <v>34</v>
      </c>
      <c r="C12" s="34">
        <v>0</v>
      </c>
      <c r="D12" t="s" s="32">
        <v>35</v>
      </c>
      <c r="E12" s="37">
        <v>8.670233197413969</v>
      </c>
      <c r="F12" s="38">
        <v>2.56872251832124</v>
      </c>
      <c r="G12" s="39">
        <v>6.32793706270693</v>
      </c>
      <c r="H12" s="40">
        <v>-5.19869655228975</v>
      </c>
      <c r="I12" s="6"/>
      <c r="J12" s="34">
        <v>1.02919967499492</v>
      </c>
      <c r="K12" s="6"/>
      <c r="L12" s="34" cm="1">
        <f t="array" ref="L12">E12*$J12</f>
        <v>8.92340118890862</v>
      </c>
      <c r="M12" s="34" cm="1">
        <f t="array" ref="M12">F12*$J12</f>
        <v>2.64372838100835</v>
      </c>
      <c r="N12" s="34" cm="1">
        <f t="array" ref="N12">G12*$J12</f>
        <v>6.51271076832628</v>
      </c>
      <c r="O12" s="34" cm="1">
        <f t="array" ref="O12">H12*$J12</f>
        <v>-5.35049680201382</v>
      </c>
      <c r="P12" s="6"/>
      <c r="Q12" s="34">
        <v>265.34</v>
      </c>
      <c r="R12" s="34" cm="1">
        <f t="array" ref="R12">Q12/1000</f>
        <v>0.26534</v>
      </c>
      <c r="S12" s="6"/>
      <c r="T12" s="34" cm="1">
        <f t="array" ref="T12">$R12*L12</f>
        <v>2.36773527146501</v>
      </c>
      <c r="U12" s="34" cm="1">
        <f t="array" ref="U12">$R12*M12</f>
        <v>0.701486888616756</v>
      </c>
      <c r="V12" s="34" cm="1">
        <f t="array" ref="V12">$R12*N12</f>
        <v>1.7280826752677</v>
      </c>
      <c r="W12" s="34" cm="1">
        <f t="array" ref="W12">$R12*O12</f>
        <v>-1.41970082144635</v>
      </c>
      <c r="X12" s="6"/>
      <c r="Y12" s="34" cm="1">
        <f t="array" ref="Y12">AVERAGE(T12:T14)</f>
        <v>0.13764780606382</v>
      </c>
      <c r="Z12" s="34" cm="1">
        <f t="array" ref="Z12">AVERAGE(U12:U14)</f>
        <v>0.740197849928078</v>
      </c>
      <c r="AA12" s="34" cm="1">
        <f t="array" ref="AA12">AVERAGE(V12:V14)</f>
        <v>11.3703957393497</v>
      </c>
      <c r="AB12" s="34" cm="1">
        <f t="array" ref="AB12">AVERAGE(W12:W14)</f>
        <v>-5.71699271904594</v>
      </c>
      <c r="AC12" s="6"/>
      <c r="AD12" s="35"/>
      <c r="AE12" s="35"/>
      <c r="AF12" s="35" cm="1">
        <f t="array" ref="AF12">Y12/$AD12</f>
      </c>
      <c r="AG12" s="35" cm="1">
        <f t="array" ref="AG12">Z12/$AD12</f>
      </c>
      <c r="AH12" s="35"/>
      <c r="AI12" s="35" cm="1">
        <f t="array" ref="AI12">AB12/$AD12</f>
      </c>
    </row>
    <row r="13" ht="17" customHeight="1">
      <c r="A13" s="6"/>
      <c r="B13" t="s" s="32">
        <v>36</v>
      </c>
      <c r="C13" s="34">
        <v>0</v>
      </c>
      <c r="D13" t="s" s="32">
        <v>37</v>
      </c>
      <c r="E13" s="37">
        <v>0.447476018938928</v>
      </c>
      <c r="F13" s="38">
        <v>5.58884951426417</v>
      </c>
      <c r="G13" s="42">
        <v>11.370333372283</v>
      </c>
      <c r="H13" s="34">
        <v>-4.96729596438994</v>
      </c>
      <c r="I13" s="6"/>
      <c r="J13" s="34">
        <v>1.02980759390032</v>
      </c>
      <c r="K13" s="6"/>
      <c r="L13" s="34" cm="1">
        <f t="array" ref="L13">E13*$J13</f>
        <v>0.460814202391591</v>
      </c>
      <c r="M13" s="34" cm="1">
        <f t="array" ref="M13">F13*$J13</f>
        <v>5.75543967095536</v>
      </c>
      <c r="N13" s="34" cm="1">
        <f t="array" ref="N13">G13*$J13</f>
        <v>11.7092556519553</v>
      </c>
      <c r="O13" s="34" cm="1">
        <f t="array" ref="O13">H13*$J13</f>
        <v>-5.11535910527917</v>
      </c>
      <c r="P13" s="6"/>
      <c r="Q13" s="34">
        <v>263.9</v>
      </c>
      <c r="R13" s="34" cm="1">
        <f t="array" ref="R13">Q13/1000</f>
        <v>0.2639</v>
      </c>
      <c r="S13" s="6"/>
      <c r="T13" s="34" cm="1">
        <f t="array" ref="T13">$R13*L13</f>
        <v>0.121608868011141</v>
      </c>
      <c r="U13" s="34" cm="1">
        <f t="array" ref="U13">$R13*M13</f>
        <v>1.51886052916512</v>
      </c>
      <c r="V13" s="34" cm="1">
        <f t="array" ref="V13">$R13*N13</f>
        <v>3.090072566551</v>
      </c>
      <c r="W13" s="34" cm="1">
        <f t="array" ref="W13">$R13*O13</f>
        <v>-1.34994326788317</v>
      </c>
      <c r="X13" s="6"/>
      <c r="Y13" s="6"/>
      <c r="Z13" s="6"/>
      <c r="AA13" s="6"/>
      <c r="AB13" s="6"/>
      <c r="AC13" s="6"/>
      <c r="AD13" s="35"/>
      <c r="AE13" s="35"/>
      <c r="AF13" s="35" cm="1">
        <f t="array" ref="AF13">Y13/$AD13</f>
      </c>
      <c r="AG13" s="35" cm="1">
        <f t="array" ref="AG13">Z13/$AD13</f>
      </c>
      <c r="AH13" s="35" cm="1">
        <f t="array" ref="AH13">AA13/$AD13</f>
      </c>
      <c r="AI13" s="35" cm="1">
        <f t="array" ref="AI13">AB13/$AD13</f>
      </c>
    </row>
    <row r="14" ht="17" customHeight="1">
      <c r="A14" s="6"/>
      <c r="B14" t="s" s="8">
        <v>38</v>
      </c>
      <c r="C14" s="44">
        <v>0</v>
      </c>
      <c r="D14" t="s" s="8">
        <v>39</v>
      </c>
      <c r="E14" s="37">
        <v>-7.57576280357805</v>
      </c>
      <c r="F14" s="43">
        <v>0.000898014361638009</v>
      </c>
      <c r="G14" s="39">
        <v>106.875835562341</v>
      </c>
      <c r="H14" s="40">
        <v>-52.4703996583684</v>
      </c>
      <c r="I14" s="6"/>
      <c r="J14" s="34">
        <v>1.03105257522219</v>
      </c>
      <c r="K14" s="6"/>
      <c r="L14" s="34" cm="1">
        <f t="array" ref="L14">E14*$J14</f>
        <v>-7.81100974790163</v>
      </c>
      <c r="M14" s="34" cm="1">
        <f t="array" ref="M14">F14*$J14</f>
        <v>0.00092590002015338</v>
      </c>
      <c r="N14" s="34" cm="1">
        <f t="array" ref="N14">G14*$J14</f>
        <v>110.194605485575</v>
      </c>
      <c r="O14" s="34" cm="1">
        <f t="array" ref="O14">H14*$J14</f>
        <v>-54.0997406906983</v>
      </c>
      <c r="P14" s="6"/>
      <c r="Q14" s="34">
        <v>265.83</v>
      </c>
      <c r="R14" s="34" cm="1">
        <f t="array" ref="R14">Q14/1000</f>
        <v>0.26583</v>
      </c>
      <c r="S14" s="6"/>
      <c r="T14" s="34" cm="1">
        <f t="array" ref="T14">$R14*L14</f>
        <v>-2.07640072128469</v>
      </c>
      <c r="U14" s="34" cm="1">
        <f t="array" ref="U14">$R14*M14</f>
        <v>0.000246132002357373</v>
      </c>
      <c r="V14" s="34" cm="1">
        <f t="array" ref="V14">$R14*N14</f>
        <v>29.2930319762304</v>
      </c>
      <c r="W14" s="34" cm="1">
        <f t="array" ref="W14">$R14*O14</f>
        <v>-14.3813340678083</v>
      </c>
      <c r="X14" s="6"/>
      <c r="Y14" s="6"/>
      <c r="Z14" s="6"/>
      <c r="AA14" s="6"/>
      <c r="AB14" s="6"/>
      <c r="AC14" s="6"/>
      <c r="AD14" s="35"/>
      <c r="AE14" s="35"/>
      <c r="AF14" s="35" cm="1">
        <f t="array" ref="AF14">Y14/$AD14</f>
      </c>
      <c r="AG14" s="35" cm="1">
        <f t="array" ref="AG14">Z14/$AD14</f>
      </c>
      <c r="AH14" s="35" cm="1">
        <f t="array" ref="AH14">AA14/$AD14</f>
      </c>
      <c r="AI14" s="35" cm="1">
        <f t="array" ref="AI14">AB14/$AD14</f>
      </c>
    </row>
    <row r="15" ht="17" customHeight="1">
      <c r="A15" s="6"/>
      <c r="B15" t="s" s="25">
        <v>40</v>
      </c>
      <c r="C15" s="45">
        <v>0</v>
      </c>
      <c r="D15" t="s" s="25">
        <v>41</v>
      </c>
      <c r="E15" s="37">
        <v>78.7914692516037</v>
      </c>
      <c r="F15" s="43">
        <v>0.000898014361638009</v>
      </c>
      <c r="G15" s="42">
        <v>2343.026665220770</v>
      </c>
      <c r="H15" s="34">
        <v>-51.1591319776632</v>
      </c>
      <c r="I15" s="6"/>
      <c r="J15" s="34">
        <v>1.03926292927922</v>
      </c>
      <c r="K15" s="6"/>
      <c r="L15" s="34" cm="1">
        <f t="array" ref="L15">E15*$J15</f>
        <v>81.88505313663531</v>
      </c>
      <c r="M15" s="34" cm="1">
        <f t="array" ref="M15">F15*$J15</f>
        <v>0.000933273036010726</v>
      </c>
      <c r="N15" s="34" cm="1">
        <f t="array" ref="N15">G15*$J15</f>
        <v>2435.020755476660</v>
      </c>
      <c r="O15" s="34" cm="1">
        <f t="array" ref="O15">H15*$J15</f>
        <v>-53.1677893584885</v>
      </c>
      <c r="P15" s="6"/>
      <c r="Q15" s="34">
        <v>263.7514</v>
      </c>
      <c r="R15" s="34" cm="1">
        <f t="array" ref="R15">Q15/1000</f>
        <v>0.2637514</v>
      </c>
      <c r="S15" s="6"/>
      <c r="T15" s="34" cm="1">
        <f t="array" ref="T15">$R15*L15</f>
        <v>21.597297403862</v>
      </c>
      <c r="U15" s="34" cm="1">
        <f t="array" ref="U15">$R15*M15</f>
        <v>0.000246152069830079</v>
      </c>
      <c r="V15" s="34" cm="1">
        <f t="array" ref="V15">$R15*N15</f>
        <v>642.240133286027</v>
      </c>
      <c r="W15" s="34" cm="1">
        <f t="array" ref="W15">$R15*O15</f>
        <v>-14.0230788782064</v>
      </c>
      <c r="X15" s="6"/>
      <c r="Y15" s="34" cm="1">
        <f t="array" ref="Y15">T15-Y$21-Y$3</f>
        <v>16.6640116765328</v>
      </c>
      <c r="Z15" s="34" cm="1">
        <f t="array" ref="Z15">U15-Z$21-Z$3</f>
        <v>-0.0400402725754155</v>
      </c>
      <c r="AA15" s="34" cm="1">
        <f t="array" ref="AA15">V15-AA$21-AA$3</f>
        <v>564.651352506880</v>
      </c>
      <c r="AB15" s="34" cm="1">
        <f t="array" ref="AB15">W15-AB$21-AB$3</f>
        <v>-8.30693534561448</v>
      </c>
      <c r="AC15" s="6"/>
      <c r="AD15" s="41">
        <v>4.5326</v>
      </c>
      <c r="AE15" s="35"/>
      <c r="AF15" s="41" cm="1">
        <f t="array" ref="AF15">Y15/$AD15</f>
        <v>3.67647965329674</v>
      </c>
      <c r="AG15" s="41" cm="1">
        <f t="array" ref="AG15">Z15/$AD15</f>
        <v>-0.008833842071970939</v>
      </c>
      <c r="AH15" s="41" cm="1">
        <f t="array" ref="AH15">AA15/$AD15</f>
        <v>124.575597340793</v>
      </c>
      <c r="AI15" s="41" cm="1">
        <f t="array" ref="AI15">AB15/$AD15</f>
        <v>-1.8327086761714</v>
      </c>
    </row>
    <row r="16" ht="17" customHeight="1">
      <c r="A16" s="6"/>
      <c r="B16" t="s" s="32">
        <v>42</v>
      </c>
      <c r="C16" s="34">
        <v>0</v>
      </c>
      <c r="D16" t="s" s="32">
        <v>43</v>
      </c>
      <c r="E16" s="37">
        <v>1.54053125110556</v>
      </c>
      <c r="F16" s="43">
        <v>0.000898014361638009</v>
      </c>
      <c r="G16" s="39">
        <v>234.561670040054</v>
      </c>
      <c r="H16" s="40">
        <v>-51.984752239738</v>
      </c>
      <c r="I16" s="6"/>
      <c r="J16" s="34">
        <v>1.02774837441403</v>
      </c>
      <c r="K16" s="6"/>
      <c r="L16" s="34" cm="1">
        <f t="array" ref="L16">E16*$J16</f>
        <v>1.58327848905775</v>
      </c>
      <c r="M16" s="34" cm="1">
        <f t="array" ref="M16">F16*$J16</f>
        <v>0.000922932800373917</v>
      </c>
      <c r="N16" s="34" cm="1">
        <f t="array" ref="N16">G16*$J16</f>
        <v>241.070375083506</v>
      </c>
      <c r="O16" s="34" cm="1">
        <f t="array" ref="O16">H16*$J16</f>
        <v>-53.4272446087068</v>
      </c>
      <c r="P16" s="6"/>
      <c r="Q16" s="34">
        <v>265.2086</v>
      </c>
      <c r="R16" s="34" cm="1">
        <f t="array" ref="R16">Q16/1000</f>
        <v>0.2652086</v>
      </c>
      <c r="S16" s="6"/>
      <c r="T16" s="34" cm="1">
        <f t="array" ref="T16">$R16*L16</f>
        <v>0.419899071493121</v>
      </c>
      <c r="U16" s="34" cm="1">
        <f t="array" ref="U16">$R16*M16</f>
        <v>0.000244769715881246</v>
      </c>
      <c r="V16" s="34" cm="1">
        <f t="array" ref="V16">$R16*N16</f>
        <v>63.9339366773715</v>
      </c>
      <c r="W16" s="34" cm="1">
        <f t="array" ref="W16">$R16*O16</f>
        <v>-14.1693647445327</v>
      </c>
      <c r="X16" s="6"/>
      <c r="Y16" s="34" cm="1">
        <f t="array" ref="Y16">T16-Y$21-Y$3</f>
        <v>-4.51338665583613</v>
      </c>
      <c r="Z16" s="34" cm="1">
        <f t="array" ref="Z16">U16-Z$21-Z$3</f>
        <v>-0.0400416549293644</v>
      </c>
      <c r="AA16" s="34" cm="1">
        <f t="array" ref="AA16">V16-AA$21-AA$3</f>
        <v>-13.6548441017755</v>
      </c>
      <c r="AB16" s="34" cm="1">
        <f t="array" ref="AB16">W16-AB$21-AB$3</f>
        <v>-8.453221211940781</v>
      </c>
      <c r="AC16" s="6"/>
      <c r="AD16" s="41">
        <v>4.6812</v>
      </c>
      <c r="AE16" s="35"/>
      <c r="AF16" s="41" cm="1">
        <f t="array" ref="AF16">Y16/$AD16</f>
        <v>-0.964151639715485</v>
      </c>
      <c r="AG16" s="41" cm="1">
        <f t="array" ref="AG16">Z16/$AD16</f>
        <v>-0.00855371591245074</v>
      </c>
      <c r="AH16" s="41" cm="1">
        <f t="array" ref="AH16">AA16/$AD16</f>
        <v>-2.91695379427828</v>
      </c>
      <c r="AI16" s="41" cm="1">
        <f t="array" ref="AI16">AB16/$AD16</f>
        <v>-1.80578082798017</v>
      </c>
    </row>
    <row r="17" ht="17" customHeight="1">
      <c r="A17" s="6"/>
      <c r="B17" t="s" s="32">
        <v>44</v>
      </c>
      <c r="C17" s="34">
        <v>0</v>
      </c>
      <c r="D17" t="s" s="32">
        <v>45</v>
      </c>
      <c r="E17" s="37">
        <v>83.5401861003958</v>
      </c>
      <c r="F17" s="43">
        <v>0.000898014361638009</v>
      </c>
      <c r="G17" s="42">
        <v>1220.109552968990</v>
      </c>
      <c r="H17" s="34">
        <v>-52.2668622993209</v>
      </c>
      <c r="I17" s="6"/>
      <c r="J17" s="34">
        <v>1.02951532725766</v>
      </c>
      <c r="K17" s="6"/>
      <c r="L17" s="34" cm="1">
        <f t="array" ref="L17">E17*$J17</f>
        <v>86.00590203231479</v>
      </c>
      <c r="M17" s="34" cm="1">
        <f t="array" ref="M17">F17*$J17</f>
        <v>0.000924519549403833</v>
      </c>
      <c r="N17" s="34" cm="1">
        <f t="array" ref="N17">G17*$J17</f>
        <v>1256.121485715070</v>
      </c>
      <c r="O17" s="34" cm="1">
        <f t="array" ref="O17">H17*$J17</f>
        <v>-53.8095358448164</v>
      </c>
      <c r="P17" s="6"/>
      <c r="Q17" s="34">
        <v>262.0014</v>
      </c>
      <c r="R17" s="34" cm="1">
        <f t="array" ref="R17">Q17/1000</f>
        <v>0.2620014</v>
      </c>
      <c r="S17" s="6"/>
      <c r="T17" s="34" cm="1">
        <f t="array" ref="T17">$R17*L17</f>
        <v>22.5336667407293</v>
      </c>
      <c r="U17" s="34" cm="1">
        <f t="array" ref="U17">$R17*M17</f>
        <v>0.000242225416271173</v>
      </c>
      <c r="V17" s="34" cm="1">
        <f t="array" ref="V17">$R17*N17</f>
        <v>329.105587827428</v>
      </c>
      <c r="W17" s="34" cm="1">
        <f t="array" ref="W17">$R17*O17</f>
        <v>-14.0981737246921</v>
      </c>
      <c r="X17" s="6"/>
      <c r="Y17" s="34" cm="1">
        <f t="array" ref="Y17">T17-Y$21-Y$3</f>
        <v>17.6003810134001</v>
      </c>
      <c r="Z17" s="34" cm="1">
        <f t="array" ref="Z17">U17-Z$21-Z$3</f>
        <v>-0.0400441992289744</v>
      </c>
      <c r="AA17" s="34" cm="1">
        <f t="array" ref="AA17">V17-AA$21-AA$3</f>
        <v>251.516807048281</v>
      </c>
      <c r="AB17" s="34" cm="1">
        <f t="array" ref="AB17">W17-AB$21-AB$3</f>
        <v>-8.38203019210018</v>
      </c>
      <c r="AC17" s="6"/>
      <c r="AD17" s="41">
        <v>4.4818</v>
      </c>
      <c r="AE17" s="35"/>
      <c r="AF17" s="41" cm="1">
        <f t="array" ref="AF17">Y17/$AD17</f>
        <v>3.92707863211212</v>
      </c>
      <c r="AG17" s="41" cm="1">
        <f t="array" ref="AG17">Z17/$AD17</f>
        <v>-0.008934847433837829</v>
      </c>
      <c r="AH17" s="41" cm="1">
        <f t="array" ref="AH17">AA17/$AD17</f>
        <v>56.1195963783036</v>
      </c>
      <c r="AI17" s="41" cm="1">
        <f t="array" ref="AI17">AB17/$AD17</f>
        <v>-1.8702374474765</v>
      </c>
    </row>
    <row r="18" ht="17" customHeight="1">
      <c r="A18" s="6"/>
      <c r="B18" t="s" s="32">
        <v>46</v>
      </c>
      <c r="C18" s="34">
        <v>0</v>
      </c>
      <c r="D18" t="s" s="32">
        <v>47</v>
      </c>
      <c r="E18" s="37">
        <v>-19.0528413668904</v>
      </c>
      <c r="F18" s="43">
        <v>0.000898014361638009</v>
      </c>
      <c r="G18" s="46">
        <v>0.00202986066283844</v>
      </c>
      <c r="H18" s="40">
        <v>-53.5049293739512</v>
      </c>
      <c r="I18" s="6"/>
      <c r="J18" s="34">
        <v>1.02921725652286</v>
      </c>
      <c r="K18" s="6"/>
      <c r="L18" s="34" cm="1">
        <f t="array" ref="L18">E18*$J18</f>
        <v>-19.6095131205962</v>
      </c>
      <c r="M18" s="34" cm="1">
        <f t="array" ref="M18">F18*$J18</f>
        <v>0.0009242518776031991</v>
      </c>
      <c r="N18" s="34" cm="1">
        <f t="array" ref="N18">G18*$J18</f>
        <v>0.00208916762253025</v>
      </c>
      <c r="O18" s="34" cm="1">
        <f t="array" ref="O18">H18*$J18</f>
        <v>-55.0681966207074</v>
      </c>
      <c r="P18" s="6"/>
      <c r="Q18" s="34">
        <v>262.7592</v>
      </c>
      <c r="R18" s="34" cm="1">
        <f t="array" ref="R18">Q18/1000</f>
        <v>0.2627592</v>
      </c>
      <c r="S18" s="6"/>
      <c r="T18" s="34" cm="1">
        <f t="array" ref="T18">$R18*L18</f>
        <v>-5.15257997995736</v>
      </c>
      <c r="U18" s="34" cm="1">
        <f t="array" ref="U18">$R18*M18</f>
        <v>0.000242855683957514</v>
      </c>
      <c r="V18" s="34" cm="1">
        <f t="array" ref="V18">$R18*N18</f>
        <v>0.00054894801316195</v>
      </c>
      <c r="W18" s="34" cm="1">
        <f t="array" ref="W18">$R18*O18</f>
        <v>-14.4696752894998</v>
      </c>
      <c r="X18" s="6"/>
      <c r="Y18" s="34" cm="1">
        <f t="array" ref="Y18">T18-Y$21-Y$3</f>
        <v>-10.0858657072866</v>
      </c>
      <c r="Z18" s="34" cm="1">
        <f t="array" ref="Z18">U18-Z$21-Z$3</f>
        <v>-0.0400435689612881</v>
      </c>
      <c r="AA18" s="34" cm="1">
        <f t="array" ref="AA18">V18-AA$21-AA$3</f>
        <v>-77.5882318311338</v>
      </c>
      <c r="AB18" s="34" cm="1">
        <f t="array" ref="AB18">W18-AB$21-AB$3</f>
        <v>-8.753531756907879</v>
      </c>
      <c r="AC18" s="6"/>
      <c r="AD18" s="41">
        <v>1.8682</v>
      </c>
      <c r="AE18" s="35"/>
      <c r="AF18" s="41" cm="1">
        <f t="array" ref="AF18">Y18/$AD18</f>
        <v>-5.39870769044353</v>
      </c>
      <c r="AG18" s="41" cm="1">
        <f t="array" ref="AG18">Z18/$AD18</f>
        <v>-0.0214343051928531</v>
      </c>
      <c r="AH18" s="41" cm="1">
        <f t="array" ref="AH18">AA18/$AD18</f>
        <v>-41.531009437498</v>
      </c>
      <c r="AI18" s="41" cm="1">
        <f t="array" ref="AI18">AB18/$AD18</f>
        <v>-4.68554317359377</v>
      </c>
    </row>
    <row r="19" ht="17" customHeight="1">
      <c r="A19" s="6"/>
      <c r="B19" t="s" s="32">
        <v>48</v>
      </c>
      <c r="C19" s="34">
        <v>0</v>
      </c>
      <c r="D19" t="s" s="32">
        <v>49</v>
      </c>
      <c r="E19" s="37">
        <v>0.716206431402682</v>
      </c>
      <c r="F19" s="43">
        <v>0.000898014361638009</v>
      </c>
      <c r="G19" s="42">
        <v>4.50945099941598</v>
      </c>
      <c r="H19" s="34">
        <v>-3.23856911922651</v>
      </c>
      <c r="I19" s="6"/>
      <c r="J19" s="34">
        <v>1.0298228780374</v>
      </c>
      <c r="K19" s="6"/>
      <c r="L19" s="34" cm="1">
        <f t="array" ref="L19">E19*$J19</f>
        <v>0.737565768456006</v>
      </c>
      <c r="M19" s="34" cm="1">
        <f t="array" ref="M19">F19*$J19</f>
        <v>0.000924795734420973</v>
      </c>
      <c r="N19" s="34" cm="1">
        <f t="array" ref="N19">G19*$J19</f>
        <v>4.64393580658719</v>
      </c>
      <c r="O19" s="34" cm="1">
        <f t="array" ref="O19">H19*$J19</f>
        <v>-3.33515257108489</v>
      </c>
      <c r="P19" s="6"/>
      <c r="Q19" s="34">
        <v>264.4936</v>
      </c>
      <c r="R19" s="34" cm="1">
        <f t="array" ref="R19">Q19/1000</f>
        <v>0.2644936</v>
      </c>
      <c r="S19" s="6"/>
      <c r="T19" s="34" cm="1">
        <f t="array" ref="T19">$R19*L19</f>
        <v>0.195081425335695</v>
      </c>
      <c r="U19" s="34" cm="1">
        <f t="array" ref="U19">$R19*M19</f>
        <v>0.000244602553061647</v>
      </c>
      <c r="V19" s="34" cm="1">
        <f t="array" ref="V19">$R19*N19</f>
        <v>1.22829129965315</v>
      </c>
      <c r="W19" s="34" cm="1">
        <f t="array" ref="W19">$R19*O19</f>
        <v>-0.882126510075498</v>
      </c>
      <c r="X19" s="6"/>
      <c r="Y19" s="34" cm="1">
        <f t="array" ref="Y19">T19-Y$21-Y$3</f>
        <v>-4.73820430199356</v>
      </c>
      <c r="Z19" s="34" cm="1">
        <f t="array" ref="Z19">U19-Z$21-Z$3</f>
        <v>-0.040041822092184</v>
      </c>
      <c r="AA19" s="34" cm="1">
        <f t="array" ref="AA19">V19-AA$21-AA$3</f>
        <v>-76.36048947949391</v>
      </c>
      <c r="AB19" s="34" cm="1">
        <f t="array" ref="AB19">W19-AB$21-AB$3</f>
        <v>4.83401702251642</v>
      </c>
      <c r="AC19" s="6"/>
      <c r="AD19" s="41">
        <v>2.1506</v>
      </c>
      <c r="AE19" s="35"/>
      <c r="AF19" s="41" cm="1">
        <f t="array" ref="AF19">Y19/$AD19</f>
        <v>-2.20320110759489</v>
      </c>
      <c r="AG19" s="41" cm="1">
        <f t="array" ref="AG19">Z19/$AD19</f>
        <v>-0.0186189073245531</v>
      </c>
      <c r="AH19" s="41" cm="1">
        <f t="array" ref="AH19">AA19/$AD19</f>
        <v>-35.5065979166251</v>
      </c>
      <c r="AI19" s="41" cm="1">
        <f t="array" ref="AI19">AB19/$AD19</f>
        <v>2.24775273064095</v>
      </c>
    </row>
    <row r="20" ht="17" customHeight="1">
      <c r="A20" s="6"/>
      <c r="B20" t="s" s="32">
        <v>50</v>
      </c>
      <c r="C20" s="34">
        <v>0</v>
      </c>
      <c r="D20" t="s" s="32">
        <v>51</v>
      </c>
      <c r="E20" s="37">
        <v>159.571536528521</v>
      </c>
      <c r="F20" s="38">
        <v>1.1821306404507</v>
      </c>
      <c r="G20" s="42">
        <v>1735.163732993970</v>
      </c>
      <c r="H20" s="34">
        <v>-2.99740556574864</v>
      </c>
      <c r="I20" s="6"/>
      <c r="J20" s="34">
        <v>1.02906018136851</v>
      </c>
      <c r="K20" s="6"/>
      <c r="L20" s="34" cm="1">
        <f t="array" ref="L20">E20*$J20</f>
        <v>164.208714321292</v>
      </c>
      <c r="M20" s="34" cm="1">
        <f t="array" ref="M20">F20*$J20</f>
        <v>1.21648357126347</v>
      </c>
      <c r="N20" s="34" cm="1">
        <f t="array" ref="N20">G20*$J20</f>
        <v>1785.587905778840</v>
      </c>
      <c r="O20" s="34" cm="1">
        <f t="array" ref="O20">H20*$J20</f>
        <v>-3.08451071512428</v>
      </c>
      <c r="P20" s="6"/>
      <c r="Q20" s="34">
        <v>264.5412</v>
      </c>
      <c r="R20" s="34" cm="1">
        <f t="array" ref="R20">Q20/1000</f>
        <v>0.2645412</v>
      </c>
      <c r="S20" s="6"/>
      <c r="T20" s="34" cm="1">
        <f t="array" ref="T20">$R20*L20</f>
        <v>43.4399703370118</v>
      </c>
      <c r="U20" s="34" cm="1">
        <f t="array" ref="U20">$R20*M20</f>
        <v>0.321810023722324</v>
      </c>
      <c r="V20" s="34" cm="1">
        <f t="array" ref="V20">$R20*N20</f>
        <v>472.361567300221</v>
      </c>
      <c r="W20" s="34" cm="1">
        <f t="array" ref="W20">$R20*O20</f>
        <v>-0.815980165991835</v>
      </c>
      <c r="X20" s="6"/>
      <c r="Y20" s="34" cm="1">
        <f t="array" ref="Y20">T20-Y$21-Y$3</f>
        <v>38.5066846096826</v>
      </c>
      <c r="Z20" s="34" cm="1">
        <f t="array" ref="Z20">U20-Z$21-Z$3</f>
        <v>0.281523599077078</v>
      </c>
      <c r="AA20" s="34" cm="1">
        <f t="array" ref="AA20">V20-AA$21-AA$3</f>
        <v>394.772786521074</v>
      </c>
      <c r="AB20" s="34" cm="1">
        <f t="array" ref="AB20">W20-AB$21-AB$3</f>
        <v>4.90016336660009</v>
      </c>
      <c r="AC20" s="6"/>
      <c r="AD20" s="41">
        <v>2.1884</v>
      </c>
      <c r="AE20" s="35"/>
      <c r="AF20" s="41" cm="1">
        <f t="array" ref="AF20">Y20/$AD20</f>
        <v>17.5958163999646</v>
      </c>
      <c r="AG20" s="41" cm="1">
        <f t="array" ref="AG20">Z20/$AD20</f>
        <v>0.128643574793035</v>
      </c>
      <c r="AH20" s="41" cm="1">
        <f t="array" ref="AH20">AA20/$AD20</f>
        <v>180.393340578082</v>
      </c>
      <c r="AI20" s="41" cm="1">
        <f t="array" ref="AI20">AB20/$AD20</f>
        <v>2.23915343017734</v>
      </c>
    </row>
    <row r="21" ht="17" customHeight="1">
      <c r="A21" s="6"/>
      <c r="B21" t="s" s="32">
        <v>52</v>
      </c>
      <c r="C21" s="34">
        <v>0</v>
      </c>
      <c r="D21" t="s" s="32">
        <v>53</v>
      </c>
      <c r="E21" s="37">
        <v>44.1761779943269</v>
      </c>
      <c r="F21" s="43">
        <v>0.000898014361638009</v>
      </c>
      <c r="G21" s="39">
        <v>457.553051927409</v>
      </c>
      <c r="H21" s="40">
        <v>-4.26362574611197</v>
      </c>
      <c r="I21" s="6"/>
      <c r="J21" s="34">
        <v>1.03081064130037</v>
      </c>
      <c r="K21" s="6"/>
      <c r="L21" s="34" cm="1">
        <f t="array" ref="L21">E21*$J21</f>
        <v>45.5372743685314</v>
      </c>
      <c r="M21" s="34" cm="1">
        <f t="array" ref="M21">F21*$J21</f>
        <v>0.000925682760017018</v>
      </c>
      <c r="N21" s="34" cm="1">
        <f t="array" ref="N21">G21*$J21</f>
        <v>471.650554886234</v>
      </c>
      <c r="O21" s="34" cm="1">
        <f t="array" ref="O21">H21*$J21</f>
        <v>-4.39499078961445</v>
      </c>
      <c r="P21" s="6"/>
      <c r="Q21" s="34">
        <v>267.77</v>
      </c>
      <c r="R21" s="34" cm="1">
        <f t="array" ref="R21">Q21/1000</f>
        <v>0.26777</v>
      </c>
      <c r="S21" s="6"/>
      <c r="T21" s="34" cm="1">
        <f t="array" ref="T21">$R21*L21</f>
        <v>12.1935159576617</v>
      </c>
      <c r="U21" s="34" cm="1">
        <f t="array" ref="U21">$R21*M21</f>
        <v>0.000247870072649757</v>
      </c>
      <c r="V21" s="34" cm="1">
        <f t="array" ref="V21">$R21*N21</f>
        <v>126.293869081887</v>
      </c>
      <c r="W21" s="34" cm="1">
        <f t="array" ref="W21">$R21*O21</f>
        <v>-1.17684668373506</v>
      </c>
      <c r="X21" s="6"/>
      <c r="Y21" s="34" cm="1">
        <f t="array" ref="Y21">AVERAGE(T21:T23)</f>
        <v>4.93328572732925</v>
      </c>
      <c r="Z21" s="34" cm="1">
        <f t="array" ref="Z21">AVERAGE(U21:U23)</f>
        <v>0.0402864246452456</v>
      </c>
      <c r="AA21" s="34" cm="1">
        <f t="array" ref="AA21">AVERAGE(V21:V23)</f>
        <v>77.588780779147</v>
      </c>
      <c r="AB21" s="34" cm="1">
        <f t="array" ref="AB21">AVERAGE(W21:W23)</f>
        <v>-5.71614353259192</v>
      </c>
      <c r="AC21" s="6"/>
      <c r="AD21" s="35"/>
      <c r="AE21" s="35"/>
      <c r="AF21" s="35" cm="1">
        <f t="array" ref="AF21">Y21/$AD21</f>
      </c>
      <c r="AG21" s="35" cm="1">
        <f t="array" ref="AG21">Z21/$AD21</f>
      </c>
      <c r="AH21" s="35"/>
      <c r="AI21" s="35" cm="1">
        <f t="array" ref="AI21">AB21/$AD21</f>
      </c>
    </row>
    <row r="22" ht="17" customHeight="1">
      <c r="A22" s="6"/>
      <c r="B22" t="s" s="32">
        <v>54</v>
      </c>
      <c r="C22" s="34">
        <v>0</v>
      </c>
      <c r="D22" t="s" s="32">
        <v>55</v>
      </c>
      <c r="E22" s="37">
        <v>20.1335810263051</v>
      </c>
      <c r="F22" s="38">
        <v>0.43690470884507</v>
      </c>
      <c r="G22" s="39">
        <v>386.473617035316</v>
      </c>
      <c r="H22" s="40">
        <v>-5.0308155048992</v>
      </c>
      <c r="I22" s="6"/>
      <c r="J22" s="34">
        <v>1.03062344406671</v>
      </c>
      <c r="K22" s="6"/>
      <c r="L22" s="34" cm="1">
        <f t="array" ref="L22">E22*$J22</f>
        <v>20.7501406187267</v>
      </c>
      <c r="M22" s="34" cm="1">
        <f t="array" ref="M22">F22*$J22</f>
        <v>0.450284235758869</v>
      </c>
      <c r="N22" s="34" cm="1">
        <f t="array" ref="N22">G22*$J22</f>
        <v>398.308770229856</v>
      </c>
      <c r="O22" s="34" cm="1">
        <f t="array" ref="O22">H22*$J22</f>
        <v>-5.18487640212342</v>
      </c>
      <c r="P22" s="6"/>
      <c r="Q22" s="34">
        <v>267.31</v>
      </c>
      <c r="R22" s="34" cm="1">
        <f t="array" ref="R22">Q22/1000</f>
        <v>0.26731</v>
      </c>
      <c r="S22" s="6"/>
      <c r="T22" s="34" cm="1">
        <f t="array" ref="T22">$R22*L22</f>
        <v>5.54672008879183</v>
      </c>
      <c r="U22" s="34" cm="1">
        <f t="array" ref="U22">$R22*M22</f>
        <v>0.120365479060703</v>
      </c>
      <c r="V22" s="34" cm="1">
        <f t="array" ref="V22">$R22*N22</f>
        <v>106.471917370143</v>
      </c>
      <c r="W22" s="34" cm="1">
        <f t="array" ref="W22">$R22*O22</f>
        <v>-1.38596931105161</v>
      </c>
      <c r="X22" s="6"/>
      <c r="Y22" s="6"/>
      <c r="Z22" s="6"/>
      <c r="AA22" s="6"/>
      <c r="AB22" s="6"/>
      <c r="AC22" s="6"/>
      <c r="AD22" s="35"/>
      <c r="AE22" s="35"/>
      <c r="AF22" s="35" cm="1">
        <f t="array" ref="AF22">Y22/$AD22</f>
      </c>
      <c r="AG22" s="35" cm="1">
        <f t="array" ref="AG22">Z22/$AD22</f>
      </c>
      <c r="AH22" s="35" cm="1">
        <f t="array" ref="AH22">AA22/$AD22</f>
      </c>
      <c r="AI22" s="35" cm="1">
        <f t="array" ref="AI22">AB22/$AD22</f>
      </c>
    </row>
    <row r="23" ht="17" customHeight="1">
      <c r="A23" s="6"/>
      <c r="B23" t="s" s="8">
        <v>56</v>
      </c>
      <c r="C23" s="44">
        <v>0</v>
      </c>
      <c r="D23" t="s" s="8">
        <v>57</v>
      </c>
      <c r="E23" s="37">
        <v>-10.737031903048</v>
      </c>
      <c r="F23" s="43">
        <v>0.000898014361638009</v>
      </c>
      <c r="G23" s="46">
        <v>0.00202986066283844</v>
      </c>
      <c r="H23" s="40">
        <v>-53.2605546892028</v>
      </c>
      <c r="I23" s="6"/>
      <c r="J23" s="34">
        <v>1.02971977749341</v>
      </c>
      <c r="K23" s="6"/>
      <c r="L23" s="34" cm="1">
        <f t="array" ref="L23">E23*$J23</f>
        <v>-11.0561341021462</v>
      </c>
      <c r="M23" s="34" cm="1">
        <f t="array" ref="M23">F23*$J23</f>
        <v>0.000924703148651777</v>
      </c>
      <c r="N23" s="34" cm="1">
        <f t="array" ref="N23">G23*$J23</f>
        <v>0.00209018767008062</v>
      </c>
      <c r="O23" s="34" cm="1">
        <f t="array" ref="O23">H23*$J23</f>
        <v>-54.8434465237415</v>
      </c>
      <c r="P23" s="6"/>
      <c r="Q23" s="34">
        <v>265.95</v>
      </c>
      <c r="R23" s="34" cm="1">
        <f t="array" ref="R23">Q23/1000</f>
        <v>0.26595</v>
      </c>
      <c r="S23" s="6"/>
      <c r="T23" s="34" cm="1">
        <f t="array" ref="T23">$R23*L23</f>
        <v>-2.94037886446578</v>
      </c>
      <c r="U23" s="34" cm="1">
        <f t="array" ref="U23">$R23*M23</f>
        <v>0.00024592480238394</v>
      </c>
      <c r="V23" s="34" cm="1">
        <f t="array" ref="V23">$R23*N23</f>
        <v>0.000555885410857941</v>
      </c>
      <c r="W23" s="34" cm="1">
        <f t="array" ref="W23">$R23*O23</f>
        <v>-14.5856146029891</v>
      </c>
      <c r="X23" s="6"/>
      <c r="Y23" s="6"/>
      <c r="Z23" s="6"/>
      <c r="AA23" s="6"/>
      <c r="AB23" s="6"/>
      <c r="AC23" s="6"/>
      <c r="AD23" s="35"/>
      <c r="AE23" s="35"/>
      <c r="AF23" s="35" cm="1">
        <f t="array" ref="AF23">Y23/$AD23</f>
      </c>
      <c r="AG23" s="35" cm="1">
        <f t="array" ref="AG23">Z23/$AD23</f>
      </c>
      <c r="AH23" s="35" cm="1">
        <f t="array" ref="AH23">AA23/$AD23</f>
      </c>
      <c r="AI23" s="35" cm="1">
        <f t="array" ref="AI23">AB23/$AD23</f>
      </c>
    </row>
    <row r="24" ht="17" customHeight="1">
      <c r="A24" s="6"/>
      <c r="B24" t="s" s="25">
        <v>58</v>
      </c>
      <c r="C24" s="45">
        <v>0</v>
      </c>
      <c r="D24" t="s" s="25">
        <v>59</v>
      </c>
      <c r="E24" s="37">
        <v>-12.4185483335767</v>
      </c>
      <c r="F24" s="43">
        <v>0.000898014361638009</v>
      </c>
      <c r="G24" s="39">
        <v>10.8208865596541</v>
      </c>
      <c r="H24" s="40">
        <v>-53.0863923397452</v>
      </c>
      <c r="I24" s="6"/>
      <c r="J24" s="34">
        <v>1.02888288930773</v>
      </c>
      <c r="K24" s="6"/>
      <c r="L24" s="34" cm="1">
        <f t="array" ref="L24">E24*$J24</f>
        <v>-12.7772318904581</v>
      </c>
      <c r="M24" s="34" cm="1">
        <f t="array" ref="M24">F24*$J24</f>
        <v>0.000923951611041951</v>
      </c>
      <c r="N24" s="34" cm="1">
        <f t="array" ref="N24">G24*$J24</f>
        <v>11.1334250283681</v>
      </c>
      <c r="O24" s="34" cm="1">
        <f t="array" ref="O24">H24*$J24</f>
        <v>-54.6196807334408</v>
      </c>
      <c r="P24" s="6"/>
      <c r="Q24" s="34">
        <v>266.6738</v>
      </c>
      <c r="R24" s="34" cm="1">
        <f t="array" ref="R24">Q24/1000</f>
        <v>0.2666738</v>
      </c>
      <c r="S24" s="6"/>
      <c r="T24" s="34" cm="1">
        <f t="array" ref="T24">$R24*L24</f>
        <v>-3.40735298170965</v>
      </c>
      <c r="U24" s="34" cm="1">
        <f t="array" ref="U24">$R24*M24</f>
        <v>0.000246393687132679</v>
      </c>
      <c r="V24" s="34" cm="1">
        <f t="array" ref="V24">$R24*N24</f>
        <v>2.96899275933003</v>
      </c>
      <c r="W24" s="34" cm="1">
        <f t="array" ref="W24">$R24*O24</f>
        <v>-14.5656378159734</v>
      </c>
      <c r="X24" s="6"/>
      <c r="Y24" s="34" cm="1">
        <f t="array" ref="Y24">T24-Y$30-Y$3</f>
        <v>-8.49519637760879</v>
      </c>
      <c r="Z24" s="34" cm="1">
        <f t="array" ref="Z24">U24-Z$30-Z$3</f>
        <v>-0.0543622979527328</v>
      </c>
      <c r="AA24" s="34" cm="1">
        <f t="array" ref="AA24">V24-AA$30-AA$3</f>
        <v>2.11015098806563</v>
      </c>
      <c r="AB24" s="34" cm="1">
        <f t="array" ref="AB24">W24-AB$30-AB$3</f>
        <v>-13.2314349153401</v>
      </c>
      <c r="AC24" s="6"/>
      <c r="AD24" s="41">
        <v>3.9574</v>
      </c>
      <c r="AE24" s="35"/>
      <c r="AF24" s="41" cm="1">
        <f t="array" ref="AF24">Y24/$AD24</f>
        <v>-2.14666103441876</v>
      </c>
      <c r="AG24" s="41" cm="1">
        <f t="array" ref="AG24">Z24/$AD24</f>
        <v>-0.0137368721768668</v>
      </c>
      <c r="AH24" s="41" cm="1">
        <f t="array" ref="AH24">AA24/$AD24</f>
        <v>0.533216502770918</v>
      </c>
      <c r="AI24" s="41" cm="1">
        <f t="array" ref="AI24">AB24/$AD24</f>
        <v>-3.34346664864307</v>
      </c>
    </row>
    <row r="25" ht="17" customHeight="1">
      <c r="A25" s="6"/>
      <c r="B25" t="s" s="32">
        <v>60</v>
      </c>
      <c r="C25" s="34">
        <v>0</v>
      </c>
      <c r="D25" t="s" s="32">
        <v>61</v>
      </c>
      <c r="E25" s="37">
        <v>-12.7659215915574</v>
      </c>
      <c r="F25" s="43">
        <v>0.000898014361638009</v>
      </c>
      <c r="G25" s="42">
        <v>24.8968778817796</v>
      </c>
      <c r="H25" s="34">
        <v>-53.1132422522069</v>
      </c>
      <c r="I25" s="6"/>
      <c r="J25" s="34">
        <v>1.02968089794437</v>
      </c>
      <c r="K25" s="6"/>
      <c r="L25" s="34" cm="1">
        <f t="array" ref="L25">E25*$J25</f>
        <v>-13.1448256074822</v>
      </c>
      <c r="M25" s="34" cm="1">
        <f t="array" ref="M25">F25*$J25</f>
        <v>0.000924668234258365</v>
      </c>
      <c r="N25" s="34" cm="1">
        <f t="array" ref="N25">G25*$J25</f>
        <v>25.6358395733221</v>
      </c>
      <c r="O25" s="34" cm="1">
        <f t="array" ref="O25">H25*$J25</f>
        <v>-54.6896909749893</v>
      </c>
      <c r="P25" s="6"/>
      <c r="Q25" s="34">
        <v>267.3144</v>
      </c>
      <c r="R25" s="34" cm="1">
        <f t="array" ref="R25">Q25/1000</f>
        <v>0.2673144</v>
      </c>
      <c r="S25" s="6"/>
      <c r="T25" s="34" cm="1">
        <f t="array" ref="T25">$R25*L25</f>
        <v>-3.51380117036874</v>
      </c>
      <c r="U25" s="34" cm="1">
        <f t="array" ref="U25">$R25*M25</f>
        <v>0.000247177134239834</v>
      </c>
      <c r="V25" s="34" cm="1">
        <f t="array" ref="V25">$R25*N25</f>
        <v>6.85282907403885</v>
      </c>
      <c r="W25" s="34" cm="1">
        <f t="array" ref="W25">$R25*O25</f>
        <v>-14.6193419291647</v>
      </c>
      <c r="X25" s="6"/>
      <c r="Y25" s="34" cm="1">
        <f t="array" ref="Y25">T25-Y$30-Y$3</f>
        <v>-8.601644566267881</v>
      </c>
      <c r="Z25" s="34" cm="1">
        <f t="array" ref="Z25">U25-Z$30-Z$3</f>
        <v>-0.0543615145056257</v>
      </c>
      <c r="AA25" s="34" cm="1">
        <f t="array" ref="AA25">V25-AA$30-AA$3</f>
        <v>5.99398730277445</v>
      </c>
      <c r="AB25" s="34" cm="1">
        <f t="array" ref="AB25">W25-AB$30-AB$3</f>
        <v>-13.2851390285314</v>
      </c>
      <c r="AC25" s="6"/>
      <c r="AD25" s="41">
        <v>4.3856</v>
      </c>
      <c r="AE25" s="35"/>
      <c r="AF25" s="41" cm="1">
        <f t="array" ref="AF25">Y25/$AD25</f>
        <v>-1.96133814444269</v>
      </c>
      <c r="AG25" s="41" cm="1">
        <f t="array" ref="AG25">Z25/$AD25</f>
        <v>-0.0123954566092726</v>
      </c>
      <c r="AH25" s="41" cm="1">
        <f t="array" ref="AH25">AA25/$AD25</f>
        <v>1.36674281803504</v>
      </c>
      <c r="AI25" s="41" cm="1">
        <f t="array" ref="AI25">AB25/$AD25</f>
        <v>-3.02926373324777</v>
      </c>
    </row>
    <row r="26" ht="17" customHeight="1">
      <c r="A26" s="6"/>
      <c r="B26" t="s" s="32">
        <v>62</v>
      </c>
      <c r="C26" s="34">
        <v>0</v>
      </c>
      <c r="D26" t="s" s="32">
        <v>63</v>
      </c>
      <c r="E26" s="37">
        <v>14.6136923414531</v>
      </c>
      <c r="F26" s="43">
        <v>0.000898014361638009</v>
      </c>
      <c r="G26" s="39">
        <v>203.419849284249</v>
      </c>
      <c r="H26" s="40">
        <v>-53.1755955902519</v>
      </c>
      <c r="I26" s="6"/>
      <c r="J26" s="34">
        <v>1.02987223793067</v>
      </c>
      <c r="K26" s="6"/>
      <c r="L26" s="34" cm="1">
        <f t="array" ref="L26">E26*$J26</f>
        <v>15.0502360361226</v>
      </c>
      <c r="M26" s="34" cm="1">
        <f t="array" ref="M26">F26*$J26</f>
        <v>0.000924840060314018</v>
      </c>
      <c r="N26" s="34" cm="1">
        <f t="array" ref="N26">G26*$J26</f>
        <v>209.496455421889</v>
      </c>
      <c r="O26" s="34" cm="1">
        <f t="array" ref="O26">H26*$J26</f>
        <v>-54.764069633829</v>
      </c>
      <c r="P26" s="6"/>
      <c r="Q26" s="34">
        <v>268.1498</v>
      </c>
      <c r="R26" s="34" cm="1">
        <f t="array" ref="R26">Q26/1000</f>
        <v>0.2681498</v>
      </c>
      <c r="S26" s="6"/>
      <c r="T26" s="34" cm="1">
        <f t="array" ref="T26">$R26*L26</f>
        <v>4.03571778303907</v>
      </c>
      <c r="U26" s="34" cm="1">
        <f t="array" ref="U26">$R26*M26</f>
        <v>0.000247995677205192</v>
      </c>
      <c r="V26" s="34" cm="1">
        <f t="array" ref="V26">$R26*N26</f>
        <v>56.1764326220885</v>
      </c>
      <c r="W26" s="34" cm="1">
        <f t="array" ref="W26">$R26*O26</f>
        <v>-14.6849743194973</v>
      </c>
      <c r="X26" s="6"/>
      <c r="Y26" s="34" cm="1">
        <f t="array" ref="Y26">T26-Y$30-Y$3</f>
        <v>-1.05212561286007</v>
      </c>
      <c r="Z26" s="34" cm="1">
        <f t="array" ref="Z26">U26-Z$30-Z$3</f>
        <v>-0.0543606959626603</v>
      </c>
      <c r="AA26" s="34" cm="1">
        <f t="array" ref="AA26">V26-AA$30-AA$3</f>
        <v>55.3175908508241</v>
      </c>
      <c r="AB26" s="34" cm="1">
        <f t="array" ref="AB26">W26-AB$30-AB$3</f>
        <v>-13.350771418864</v>
      </c>
      <c r="AC26" s="6"/>
      <c r="AD26" s="41">
        <v>4.994</v>
      </c>
      <c r="AE26" s="35"/>
      <c r="AF26" s="41" cm="1">
        <f t="array" ref="AF26">Y26/$AD26</f>
        <v>-0.210677936095328</v>
      </c>
      <c r="AG26" s="41" cm="1">
        <f t="array" ref="AG26">Z26/$AD26</f>
        <v>-0.0108852014342532</v>
      </c>
      <c r="AH26" s="41" cm="1">
        <f t="array" ref="AH26">AA26/$AD26</f>
        <v>11.0768103425759</v>
      </c>
      <c r="AI26" s="41" cm="1">
        <f t="array" ref="AI26">AB26/$AD26</f>
        <v>-2.67336231855507</v>
      </c>
    </row>
    <row r="27" ht="17" customHeight="1">
      <c r="A27" s="6"/>
      <c r="B27" t="s" s="32">
        <v>64</v>
      </c>
      <c r="C27" s="34">
        <v>0</v>
      </c>
      <c r="D27" t="s" s="32">
        <v>65</v>
      </c>
      <c r="E27" s="37">
        <v>-5.44574315503664</v>
      </c>
      <c r="F27" s="43">
        <v>0.000898014361638009</v>
      </c>
      <c r="G27" s="42">
        <v>91.2891080102479</v>
      </c>
      <c r="H27" s="34">
        <v>-52.3355288291704</v>
      </c>
      <c r="I27" s="6"/>
      <c r="J27" s="34">
        <v>1.02944310179049</v>
      </c>
      <c r="K27" s="6"/>
      <c r="L27" s="34" cm="1">
        <f t="array" ref="L27">E27*$J27</f>
        <v>-5.60608272507525</v>
      </c>
      <c r="M27" s="34" cm="1">
        <f t="array" ref="M27">F27*$J27</f>
        <v>0.000924454689897039</v>
      </c>
      <c r="N27" s="34" cm="1">
        <f t="array" ref="N27">G27*$J27</f>
        <v>93.9769425097567</v>
      </c>
      <c r="O27" s="34" cm="1">
        <f t="array" ref="O27">H27*$J27</f>
        <v>-53.8764491317468</v>
      </c>
      <c r="P27" s="6"/>
      <c r="Q27" s="34">
        <v>267.1128</v>
      </c>
      <c r="R27" s="34" cm="1">
        <f t="array" ref="R27">Q27/1000</f>
        <v>0.2671128</v>
      </c>
      <c r="S27" s="6"/>
      <c r="T27" s="34" cm="1">
        <f t="array" ref="T27">$R27*L27</f>
        <v>-1.49745645372648</v>
      </c>
      <c r="U27" s="34" cm="1">
        <f t="array" ref="U27">$R27*M27</f>
        <v>0.00024693368069153</v>
      </c>
      <c r="V27" s="34" cm="1">
        <f t="array" ref="V27">$R27*N27</f>
        <v>25.1024442492201</v>
      </c>
      <c r="W27" s="34" cm="1">
        <f t="array" ref="W27">$R27*O27</f>
        <v>-14.3910891816385</v>
      </c>
      <c r="X27" s="6"/>
      <c r="Y27" s="34" cm="1">
        <f t="array" ref="Y27">T27-Y$30-Y$3</f>
        <v>-6.58529984962562</v>
      </c>
      <c r="Z27" s="34" cm="1">
        <f t="array" ref="Z27">U27-Z$30-Z$3</f>
        <v>-0.054361757959174</v>
      </c>
      <c r="AA27" s="34" cm="1">
        <f t="array" ref="AA27">V27-AA$30-AA$3</f>
        <v>24.2436024779557</v>
      </c>
      <c r="AB27" s="34" cm="1">
        <f t="array" ref="AB27">W27-AB$30-AB$3</f>
        <v>-13.0568862810052</v>
      </c>
      <c r="AC27" s="6"/>
      <c r="AD27" s="41">
        <v>2.613</v>
      </c>
      <c r="AE27" s="35"/>
      <c r="AF27" s="41" cm="1">
        <f t="array" ref="AF27">Y27/$AD27</f>
        <v>-2.52020660146407</v>
      </c>
      <c r="AG27" s="41" cm="1">
        <f t="array" ref="AG27">Z27/$AD27</f>
        <v>-0.0208043467122748</v>
      </c>
      <c r="AH27" s="41" cm="1">
        <f t="array" ref="AH27">AA27/$AD27</f>
        <v>9.278072130867089</v>
      </c>
      <c r="AI27" s="41" cm="1">
        <f t="array" ref="AI27">AB27/$AD27</f>
        <v>-4.99689486452553</v>
      </c>
    </row>
    <row r="28" ht="17" customHeight="1">
      <c r="A28" s="6"/>
      <c r="B28" t="s" s="32">
        <v>66</v>
      </c>
      <c r="C28" s="34">
        <v>0</v>
      </c>
      <c r="D28" t="s" s="32">
        <v>67</v>
      </c>
      <c r="E28" s="37">
        <v>-6.84232745139344</v>
      </c>
      <c r="F28" s="43">
        <v>0.000898014361638009</v>
      </c>
      <c r="G28" s="46">
        <v>0.00202986066283844</v>
      </c>
      <c r="H28" s="40">
        <v>-50.8440758465827</v>
      </c>
      <c r="I28" s="6"/>
      <c r="J28" s="34">
        <v>1.02836715274027</v>
      </c>
      <c r="K28" s="6"/>
      <c r="L28" s="34" cm="1">
        <f t="array" ref="L28">E28*$J28</f>
        <v>-7.03642479930606</v>
      </c>
      <c r="M28" s="34" cm="1">
        <f t="array" ref="M28">F28*$J28</f>
        <v>0.00092348847219755</v>
      </c>
      <c r="N28" s="34" cm="1">
        <f t="array" ref="N28">G28*$J28</f>
        <v>0.00208744203030264</v>
      </c>
      <c r="O28" s="34" cm="1">
        <f t="array" ref="O28">H28*$J28</f>
        <v>-52.2863775120606</v>
      </c>
      <c r="P28" s="6"/>
      <c r="Q28" s="34">
        <v>266.5996</v>
      </c>
      <c r="R28" s="34" cm="1">
        <f t="array" ref="R28">Q28/1000</f>
        <v>0.2665996</v>
      </c>
      <c r="S28" s="6"/>
      <c r="T28" s="34" cm="1">
        <f t="array" ref="T28">$R28*L28</f>
        <v>-1.87590803692508</v>
      </c>
      <c r="U28" s="34" cm="1">
        <f t="array" ref="U28">$R28*M28</f>
        <v>0.000246201657292478</v>
      </c>
      <c r="V28" s="34" cm="1">
        <f t="array" ref="V28">$R28*N28</f>
        <v>0.000556511210301872</v>
      </c>
      <c r="W28" s="34" cm="1">
        <f t="array" ref="W28">$R28*O28</f>
        <v>-13.9395273301644</v>
      </c>
      <c r="X28" s="6"/>
      <c r="Y28" s="34" cm="1">
        <f t="array" ref="Y28">T28-Y$30-Y$3</f>
        <v>-6.96375143282422</v>
      </c>
      <c r="Z28" s="34" cm="1">
        <f t="array" ref="Z28">U28-Z$30-Z$3</f>
        <v>-0.054362489982573</v>
      </c>
      <c r="AA28" s="34" cm="1">
        <f t="array" ref="AA28">V28-AA$30-AA$3</f>
        <v>-0.858285260054094</v>
      </c>
      <c r="AB28" s="34" cm="1">
        <f t="array" ref="AB28">W28-AB$30-AB$3</f>
        <v>-12.6053244295311</v>
      </c>
      <c r="AC28" s="6"/>
      <c r="AD28" s="41">
        <v>2.896</v>
      </c>
      <c r="AE28" s="35"/>
      <c r="AF28" s="41" cm="1">
        <f t="array" ref="AF28">Y28/$AD28</f>
        <v>-2.40461030138958</v>
      </c>
      <c r="AG28" s="41" cm="1">
        <f t="array" ref="AG28">Z28/$AD28</f>
        <v>-0.0187715780326564</v>
      </c>
      <c r="AH28" s="41" cm="1">
        <f t="array" ref="AH28">AA28/$AD28</f>
        <v>-0.296369219631939</v>
      </c>
      <c r="AI28" s="41" cm="1">
        <f t="array" ref="AI28">AB28/$AD28</f>
        <v>-4.35266727539057</v>
      </c>
    </row>
    <row r="29" ht="17" customHeight="1">
      <c r="A29" s="6"/>
      <c r="B29" t="s" s="32">
        <v>68</v>
      </c>
      <c r="C29" s="34">
        <v>0</v>
      </c>
      <c r="D29" t="s" s="32">
        <v>69</v>
      </c>
      <c r="E29" s="37">
        <v>-0.00020253192124787</v>
      </c>
      <c r="F29" s="38">
        <v>5.37719991680514</v>
      </c>
      <c r="G29" s="42">
        <v>6.13125815676078</v>
      </c>
      <c r="H29" s="34">
        <v>-3.3414017127991</v>
      </c>
      <c r="I29" s="6"/>
      <c r="J29" s="34">
        <v>1.02946550348697</v>
      </c>
      <c r="K29" s="6"/>
      <c r="L29" s="34" cm="1">
        <f t="array" ref="L29">E29*$J29</f>
        <v>-0.000208499626279622</v>
      </c>
      <c r="M29" s="34" cm="1">
        <f t="array" ref="M29">F29*$J29</f>
        <v>5.5356418197039</v>
      </c>
      <c r="N29" s="34" cm="1">
        <f t="array" ref="N29">G29*$J29</f>
        <v>6.31191876535833</v>
      </c>
      <c r="O29" s="34" cm="1">
        <f t="array" ref="O29">H29*$J29</f>
        <v>-3.43985779661895</v>
      </c>
      <c r="P29" s="6"/>
      <c r="Q29" s="34">
        <v>267.124</v>
      </c>
      <c r="R29" s="34" cm="1">
        <f t="array" ref="R29">Q29/1000</f>
        <v>0.267124</v>
      </c>
      <c r="S29" s="6"/>
      <c r="T29" s="34" cm="1">
        <f t="array" ref="T29">$R29*L29</f>
        <v>-5.56952541703177e-05</v>
      </c>
      <c r="U29" s="34" cm="1">
        <f t="array" ref="U29">$R29*M29</f>
        <v>1.47870278544658</v>
      </c>
      <c r="V29" s="34" cm="1">
        <f t="array" ref="V29">$R29*N29</f>
        <v>1.68606498827758</v>
      </c>
      <c r="W29" s="34" cm="1">
        <f t="array" ref="W29">$R29*O29</f>
        <v>-0.91886857406404</v>
      </c>
      <c r="X29" s="6"/>
      <c r="Y29" s="34" cm="1">
        <f t="array" ref="Y29">T29-Y$30-Y$3</f>
        <v>-5.08789909115331</v>
      </c>
      <c r="Z29" s="34" cm="1">
        <f t="array" ref="Z29">U29-Z$30-Z$3</f>
        <v>1.42409409380671</v>
      </c>
      <c r="AA29" s="34" cm="1">
        <f t="array" ref="AA29">V29-AA$30-AA$3</f>
        <v>0.827223217013184</v>
      </c>
      <c r="AB29" s="34" cm="1">
        <f t="array" ref="AB29">W29-AB$30-AB$3</f>
        <v>0.41533432656929</v>
      </c>
      <c r="AC29" s="6"/>
      <c r="AD29" s="41">
        <v>2.6178</v>
      </c>
      <c r="AE29" s="35"/>
      <c r="AF29" s="41" cm="1">
        <f t="array" ref="AF29">Y29/$AD29</f>
        <v>-1.94357823025186</v>
      </c>
      <c r="AG29" s="41" cm="1">
        <f t="array" ref="AG29">Z29/$AD29</f>
        <v>0.544004161435828</v>
      </c>
      <c r="AH29" s="41" cm="1">
        <f t="array" ref="AH29">AA29/$AD29</f>
        <v>0.315999395298794</v>
      </c>
      <c r="AI29" s="41" cm="1">
        <f t="array" ref="AI29">AB29/$AD29</f>
        <v>0.158657776212579</v>
      </c>
    </row>
    <row r="30" ht="17" customHeight="1">
      <c r="A30" s="6"/>
      <c r="B30" t="s" s="32">
        <v>70</v>
      </c>
      <c r="C30" s="34">
        <v>0</v>
      </c>
      <c r="D30" t="s" s="32">
        <v>71</v>
      </c>
      <c r="E30" s="37">
        <v>52.8748062916306</v>
      </c>
      <c r="F30" s="43">
        <v>0.000898014361638009</v>
      </c>
      <c r="G30" s="46">
        <v>0.00202986066283844</v>
      </c>
      <c r="H30" s="40">
        <v>-4.48729010323995</v>
      </c>
      <c r="I30" s="6"/>
      <c r="J30" s="34">
        <v>1.02920834083254</v>
      </c>
      <c r="K30" s="6"/>
      <c r="L30" s="34" cm="1">
        <f t="array" ref="L30">E30*$J30</f>
        <v>54.4191916552511</v>
      </c>
      <c r="M30" s="34" cm="1">
        <f t="array" ref="M30">F30*$J30</f>
        <v>0.000924243871185248</v>
      </c>
      <c r="N30" s="34" cm="1">
        <f t="array" ref="N30">G30*$J30</f>
        <v>0.00208914952492119</v>
      </c>
      <c r="O30" s="34" cm="1">
        <f t="array" ref="O30">H30*$J30</f>
        <v>-4.61835640198987</v>
      </c>
      <c r="P30" s="6"/>
      <c r="Q30" s="34">
        <v>266.93</v>
      </c>
      <c r="R30" s="34" cm="1">
        <f t="array" ref="R30">Q30/1000</f>
        <v>0.26693</v>
      </c>
      <c r="S30" s="6"/>
      <c r="T30" s="34" cm="1">
        <f t="array" ref="T30">$R30*L30</f>
        <v>14.5261148285362</v>
      </c>
      <c r="U30" s="34" cm="1">
        <f t="array" ref="U30">$R30*M30</f>
        <v>0.000246708416535478</v>
      </c>
      <c r="V30" s="34" cm="1">
        <f t="array" ref="V30">$R30*N30</f>
        <v>0.000557656682687213</v>
      </c>
      <c r="W30" s="34" cm="1">
        <f t="array" ref="W30">$R30*O30</f>
        <v>-1.23277787438316</v>
      </c>
      <c r="X30" s="6"/>
      <c r="Y30" s="34" cm="1">
        <f t="array" ref="Y30">AVERAGE(T30:T32)</f>
        <v>5.08784339589914</v>
      </c>
      <c r="Z30" s="34" cm="1">
        <f t="array" ref="Z30">AVERAGE(U30:U32)</f>
        <v>0.0546086916398655</v>
      </c>
      <c r="AA30" s="34" cm="1">
        <f t="array" ref="AA30">AVERAGE(V30:V32)</f>
        <v>0.858841771264396</v>
      </c>
      <c r="AB30" s="34" cm="1">
        <f t="array" ref="AB30">AVERAGE(W30:W32)</f>
        <v>-1.33420290063333</v>
      </c>
      <c r="AC30" s="6"/>
      <c r="AD30" s="35"/>
      <c r="AE30" s="35"/>
      <c r="AF30" s="35" cm="1">
        <f t="array" ref="AF30">Y30/$AD30</f>
      </c>
      <c r="AG30" s="35"/>
      <c r="AH30" s="35" cm="1">
        <f t="array" ref="AH30">AA30/$AD30</f>
      </c>
      <c r="AI30" s="35" cm="1">
        <f t="array" ref="AI30">AB30/$AD30</f>
      </c>
    </row>
    <row r="31" ht="17" customHeight="1">
      <c r="A31" s="6"/>
      <c r="B31" t="s" s="32">
        <v>72</v>
      </c>
      <c r="C31" s="34">
        <v>0</v>
      </c>
      <c r="D31" t="s" s="32">
        <v>73</v>
      </c>
      <c r="E31" s="37">
        <v>3.94218868755639</v>
      </c>
      <c r="F31" s="43">
        <v>0.000898014361638009</v>
      </c>
      <c r="G31" s="42">
        <v>5.80633401082532</v>
      </c>
      <c r="H31" s="34">
        <v>-4.86821171926047</v>
      </c>
      <c r="I31" s="6"/>
      <c r="J31" s="34">
        <v>1.02008136651918</v>
      </c>
      <c r="K31" s="6"/>
      <c r="L31" s="34" cm="1">
        <f t="array" ref="L31">E31*$J31</f>
        <v>4.02135322347898</v>
      </c>
      <c r="M31" s="34" cm="1">
        <f t="array" ref="M31">F31*$J31</f>
        <v>0.000916047717173549</v>
      </c>
      <c r="N31" s="34" cm="1">
        <f t="array" ref="N31">G31*$J31</f>
        <v>5.92293313222948</v>
      </c>
      <c r="O31" s="34" cm="1">
        <f t="array" ref="O31">H31*$J31</f>
        <v>-4.96597206308791</v>
      </c>
      <c r="P31" s="6"/>
      <c r="Q31" s="34">
        <v>266.69</v>
      </c>
      <c r="R31" s="34" cm="1">
        <f t="array" ref="R31">Q31/1000</f>
        <v>0.26669</v>
      </c>
      <c r="S31" s="6"/>
      <c r="T31" s="34" cm="1">
        <f t="array" ref="T31">$R31*L31</f>
        <v>1.07245469116961</v>
      </c>
      <c r="U31" s="34" cm="1">
        <f t="array" ref="U31">$R31*M31</f>
        <v>0.000244300765693014</v>
      </c>
      <c r="V31" s="34" cm="1">
        <f t="array" ref="V31">$R31*N31</f>
        <v>1.57958703703428</v>
      </c>
      <c r="W31" s="34" cm="1">
        <f t="array" ref="W31">$R31*O31</f>
        <v>-1.32437508950491</v>
      </c>
      <c r="X31" s="6"/>
      <c r="Y31" s="6"/>
      <c r="Z31" s="6"/>
      <c r="AA31" s="6"/>
      <c r="AB31" s="6"/>
      <c r="AC31" s="6"/>
      <c r="AD31" s="35"/>
      <c r="AE31" s="35"/>
      <c r="AF31" s="35" cm="1">
        <f t="array" ref="AF31">Y31/$AD31</f>
      </c>
      <c r="AG31" s="35" cm="1">
        <f t="array" ref="AG31">Z31/$AD31</f>
      </c>
      <c r="AH31" s="35" cm="1">
        <f t="array" ref="AH31">AA31/$AD31</f>
      </c>
      <c r="AI31" s="35" cm="1">
        <f t="array" ref="AI31">AB31/$AD31</f>
      </c>
    </row>
    <row r="32" ht="17" customHeight="1">
      <c r="A32" s="6"/>
      <c r="B32" t="s" s="8">
        <v>74</v>
      </c>
      <c r="C32" s="44">
        <v>0</v>
      </c>
      <c r="D32" t="s" s="8">
        <v>75</v>
      </c>
      <c r="E32" s="37">
        <v>-1.22858440013331</v>
      </c>
      <c r="F32" s="38">
        <v>0.598947331218564</v>
      </c>
      <c r="G32" s="39">
        <v>3.65371336876391</v>
      </c>
      <c r="H32" s="40">
        <v>-5.30046535181168</v>
      </c>
      <c r="I32" s="6"/>
      <c r="J32" s="34">
        <v>1.01520197214774</v>
      </c>
      <c r="K32" s="6"/>
      <c r="L32" s="34" cm="1">
        <f t="array" ref="L32">E32*$J32</f>
        <v>-1.24726130596528</v>
      </c>
      <c r="M32" s="34" cm="1">
        <f t="array" ref="M32">F32*$J32</f>
        <v>0.608052511865712</v>
      </c>
      <c r="N32" s="34" cm="1">
        <f t="array" ref="N32">G32*$J32</f>
        <v>3.70925701763168</v>
      </c>
      <c r="O32" s="34" cm="1">
        <f t="array" ref="O32">H32*$J32</f>
        <v>-5.38104287845998</v>
      </c>
      <c r="P32" s="6"/>
      <c r="Q32" s="34">
        <v>268.62</v>
      </c>
      <c r="R32" s="34" cm="1">
        <f t="array" ref="R32">Q32/1000</f>
        <v>0.26862</v>
      </c>
      <c r="S32" s="6"/>
      <c r="T32" s="34" cm="1">
        <f t="array" ref="T32">$R32*L32</f>
        <v>-0.335039332008394</v>
      </c>
      <c r="U32" s="34" cm="1">
        <f t="array" ref="U32">$R32*M32</f>
        <v>0.163335065737368</v>
      </c>
      <c r="V32" s="34" cm="1">
        <f t="array" ref="V32">$R32*N32</f>
        <v>0.996380620076222</v>
      </c>
      <c r="W32" s="34" cm="1">
        <f t="array" ref="W32">$R32*O32</f>
        <v>-1.44545573801192</v>
      </c>
      <c r="X32" s="6"/>
      <c r="Y32" s="6"/>
      <c r="Z32" s="6"/>
      <c r="AA32" s="6"/>
      <c r="AB32" s="6"/>
      <c r="AC32" s="6"/>
      <c r="AD32" s="35"/>
      <c r="AE32" s="35"/>
      <c r="AF32" s="35" cm="1">
        <f t="array" ref="AF32">Y32/$AD32</f>
      </c>
      <c r="AG32" s="35" cm="1">
        <f t="array" ref="AG32">Z32/$AD32</f>
      </c>
      <c r="AH32" s="35" cm="1">
        <f t="array" ref="AH32">AA32/$AD32</f>
      </c>
      <c r="AI32" s="35" cm="1">
        <f t="array" ref="AI32">AB32/$AD32</f>
      </c>
    </row>
    <row r="33" ht="17" customHeight="1">
      <c r="A33" s="6"/>
      <c r="B33" t="s" s="25">
        <v>76</v>
      </c>
      <c r="C33" s="45">
        <v>0</v>
      </c>
      <c r="D33" t="s" s="25">
        <v>77</v>
      </c>
      <c r="E33" s="37">
        <v>4.75037547514668</v>
      </c>
      <c r="F33" s="43">
        <v>0.000898014361638009</v>
      </c>
      <c r="G33" s="42">
        <v>30.5023927765291</v>
      </c>
      <c r="H33" s="34">
        <v>-5.14571099476689</v>
      </c>
      <c r="I33" s="6"/>
      <c r="J33" s="34">
        <v>1.01766858777502</v>
      </c>
      <c r="K33" s="6"/>
      <c r="L33" s="34" cm="1">
        <f t="array" ref="L33">E33*$J33</f>
        <v>4.83430790119361</v>
      </c>
      <c r="M33" s="34" cm="1">
        <f t="array" ref="M33">F33*$J33</f>
        <v>0.000913881007209839</v>
      </c>
      <c r="N33" s="34" cm="1">
        <f t="array" ref="N33">G33*$J33</f>
        <v>31.0413269806493</v>
      </c>
      <c r="O33" s="34" cm="1">
        <f t="array" ref="O33">H33*$J33</f>
        <v>-5.23662844114281</v>
      </c>
      <c r="P33" s="6"/>
      <c r="Q33" s="34">
        <v>262.2548</v>
      </c>
      <c r="R33" s="34" cm="1">
        <f t="array" ref="R33">Q33/1000</f>
        <v>0.2622548</v>
      </c>
      <c r="S33" s="6"/>
      <c r="T33" s="34" cm="1">
        <f t="array" ref="T33">$R33*L33</f>
        <v>1.26782045176595</v>
      </c>
      <c r="U33" s="34" cm="1">
        <f t="array" ref="U33">$R33*M33</f>
        <v>0.000239669680769615</v>
      </c>
      <c r="V33" s="34" cm="1">
        <f t="array" ref="V33">$R33*N33</f>
        <v>8.14073699904479</v>
      </c>
      <c r="W33" s="34" cm="1">
        <f t="array" ref="W33">$R33*O33</f>
        <v>-1.37333094450622</v>
      </c>
      <c r="X33" s="6"/>
      <c r="Y33" s="34" cm="1">
        <f t="array" ref="Y33">T33-Y$39-Y$3</f>
        <v>1.2512575405433</v>
      </c>
      <c r="Z33" s="34" cm="1">
        <f t="array" ref="Z33">U33-Z$39-Z$3</f>
        <v>-1.223076514508e-06</v>
      </c>
      <c r="AA33" s="34" cm="1">
        <f t="array" ref="AA33">V33-AA$39-AA$3</f>
        <v>3.92099413888797</v>
      </c>
      <c r="AB33" s="34" cm="1">
        <f t="array" ref="AB33">W33-AB$39-AB$3</f>
        <v>0.03577883801882</v>
      </c>
      <c r="AC33" s="6"/>
      <c r="AD33" s="41">
        <v>4.3892</v>
      </c>
      <c r="AE33" s="35"/>
      <c r="AF33" s="41" cm="1">
        <f t="array" ref="AF33">Y33/$AD33</f>
        <v>0.285076446856671</v>
      </c>
      <c r="AG33" s="41" cm="1">
        <f t="array" ref="AG33">Z33/$AD33</f>
        <v>-2.7865590870956e-07</v>
      </c>
      <c r="AH33" s="41" cm="1">
        <f t="array" ref="AH33">AA33/$AD33</f>
        <v>0.893327745121655</v>
      </c>
      <c r="AI33" s="41" cm="1">
        <f t="array" ref="AI33">AB33/$AD33</f>
        <v>0.0081515624758088</v>
      </c>
    </row>
    <row r="34" ht="17" customHeight="1">
      <c r="A34" s="6"/>
      <c r="B34" t="s" s="32">
        <v>78</v>
      </c>
      <c r="C34" s="34">
        <v>0</v>
      </c>
      <c r="D34" t="s" s="32">
        <v>79</v>
      </c>
      <c r="E34" s="37">
        <v>2.34596695635005</v>
      </c>
      <c r="F34" s="43">
        <v>0.000898014361638009</v>
      </c>
      <c r="G34" s="39">
        <v>26.7827576045769</v>
      </c>
      <c r="H34" s="40">
        <v>-5.18047063622239</v>
      </c>
      <c r="I34" s="6"/>
      <c r="J34" s="34">
        <v>1.01707273407874</v>
      </c>
      <c r="K34" s="6"/>
      <c r="L34" s="34" cm="1">
        <f t="array" ref="L34">E34*$J34</f>
        <v>2.38601902635333</v>
      </c>
      <c r="M34" s="34" cm="1">
        <f t="array" ref="M34">F34*$J34</f>
        <v>0.000913345922033144</v>
      </c>
      <c r="N34" s="34" cm="1">
        <f t="array" ref="N34">G34*$J34</f>
        <v>27.2400125030552</v>
      </c>
      <c r="O34" s="34" cm="1">
        <f t="array" ref="O34">H34*$J34</f>
        <v>-5.26891543379734</v>
      </c>
      <c r="P34" s="6"/>
      <c r="Q34" s="34">
        <v>261.8022</v>
      </c>
      <c r="R34" s="34" cm="1">
        <f t="array" ref="R34">Q34/1000</f>
        <v>0.2618022</v>
      </c>
      <c r="S34" s="6"/>
      <c r="T34" s="34" cm="1">
        <f t="array" ref="T34">$R34*L34</f>
        <v>0.6246650303411601</v>
      </c>
      <c r="U34" s="34" cm="1">
        <f t="array" ref="U34">$R34*M34</f>
        <v>0.000239115971749306</v>
      </c>
      <c r="V34" s="34" cm="1">
        <f t="array" ref="V34">$R34*N34</f>
        <v>7.13149520132736</v>
      </c>
      <c r="W34" s="34" cm="1">
        <f t="array" ref="W34">$R34*O34</f>
        <v>-1.3794136521821</v>
      </c>
      <c r="X34" s="6"/>
      <c r="Y34" s="34" cm="1">
        <f t="array" ref="Y34">T34-Y$39-Y$3</f>
        <v>0.608102119118508</v>
      </c>
      <c r="Z34" s="34" cm="1">
        <f t="array" ref="Z34">U34-Z$39-Z$3</f>
        <v>-1.776785534817e-06</v>
      </c>
      <c r="AA34" s="34" cm="1">
        <f t="array" ref="AA34">V34-AA$39-AA$3</f>
        <v>2.91175234117054</v>
      </c>
      <c r="AB34" s="34" cm="1">
        <f t="array" ref="AB34">W34-AB$39-AB$3</f>
        <v>0.02969613034294</v>
      </c>
      <c r="AC34" s="6"/>
      <c r="AD34" s="41">
        <v>4.4682</v>
      </c>
      <c r="AE34" s="35"/>
      <c r="AF34" s="41" cm="1">
        <f t="array" ref="AF34">Y34/$AD34</f>
        <v>0.136095546107719</v>
      </c>
      <c r="AG34" s="41" cm="1">
        <f t="array" ref="AG34">Z34/$AD34</f>
        <v>-3.97651299139922e-07</v>
      </c>
      <c r="AH34" s="41" cm="1">
        <f t="array" ref="AH34">AA34/$AD34</f>
        <v>0.651661147927698</v>
      </c>
      <c r="AI34" s="41" cm="1">
        <f t="array" ref="AI34">AB34/$AD34</f>
        <v>0.00664610589117318</v>
      </c>
    </row>
    <row r="35" ht="17" customHeight="1">
      <c r="A35" s="6"/>
      <c r="B35" t="s" s="32">
        <v>80</v>
      </c>
      <c r="C35" s="34">
        <v>0</v>
      </c>
      <c r="D35" t="s" s="32">
        <v>81</v>
      </c>
      <c r="E35" s="37">
        <v>1.39246126250607</v>
      </c>
      <c r="F35" s="38">
        <v>0.0657564636393506</v>
      </c>
      <c r="G35" s="42">
        <v>35.4693292275993</v>
      </c>
      <c r="H35" s="34">
        <v>-5.06899684773991</v>
      </c>
      <c r="I35" s="6"/>
      <c r="J35" s="34">
        <v>1.01682584449715</v>
      </c>
      <c r="K35" s="6"/>
      <c r="L35" s="34" cm="1">
        <f t="array" ref="L35">E35*$J35</f>
        <v>1.4158905991773</v>
      </c>
      <c r="M35" s="34" cm="1">
        <f t="array" ref="M35">F35*$J35</f>
        <v>0.0668628716712288</v>
      </c>
      <c r="N35" s="34" cm="1">
        <f t="array" ref="N35">G35*$J35</f>
        <v>36.0661306456011</v>
      </c>
      <c r="O35" s="34" cm="1">
        <f t="array" ref="O35">H35*$J35</f>
        <v>-5.15428700045653</v>
      </c>
      <c r="P35" s="6"/>
      <c r="Q35" s="34">
        <v>264.213</v>
      </c>
      <c r="R35" s="34" cm="1">
        <f t="array" ref="R35">Q35/1000</f>
        <v>0.264213</v>
      </c>
      <c r="S35" s="6"/>
      <c r="T35" s="34" cm="1">
        <f t="array" ref="T35">$R35*L35</f>
        <v>0.374096702880432</v>
      </c>
      <c r="U35" s="34" cm="1">
        <f t="array" ref="U35">$R35*M35</f>
        <v>0.0176660399128704</v>
      </c>
      <c r="V35" s="34" cm="1">
        <f t="array" ref="V35">$R35*N35</f>
        <v>9.529140576266199</v>
      </c>
      <c r="W35" s="34" cm="1">
        <f t="array" ref="W35">$R35*O35</f>
        <v>-1.36182963125162</v>
      </c>
      <c r="X35" s="6"/>
      <c r="Y35" s="34" cm="1">
        <f t="array" ref="Y35">T35-Y$39-Y$3</f>
        <v>0.35753379165778</v>
      </c>
      <c r="Z35" s="34" cm="1">
        <f t="array" ref="Z35">U35-Z$39-Z$3</f>
        <v>0.0174251471555863</v>
      </c>
      <c r="AA35" s="34" cm="1">
        <f t="array" ref="AA35">V35-AA$39-AA$3</f>
        <v>5.30939771610938</v>
      </c>
      <c r="AB35" s="34" cm="1">
        <f t="array" ref="AB35">W35-AB$39-AB$3</f>
        <v>0.04728015127342</v>
      </c>
      <c r="AC35" s="6"/>
      <c r="AD35" s="41">
        <v>4.2026</v>
      </c>
      <c r="AE35" s="35"/>
      <c r="AF35" s="41" cm="1">
        <f t="array" ref="AF35">Y35/$AD35</f>
        <v>0.0850744281296769</v>
      </c>
      <c r="AG35" s="41" cm="1">
        <f t="array" ref="AG35">Z35/$AD35</f>
        <v>0.00414627781744308</v>
      </c>
      <c r="AH35" s="41" cm="1">
        <f t="array" ref="AH35">AA35/$AD35</f>
        <v>1.263360233215</v>
      </c>
      <c r="AI35" s="41" cm="1">
        <f t="array" ref="AI35">AB35/$AD35</f>
        <v>0.011250214456151</v>
      </c>
    </row>
    <row r="36" ht="17" customHeight="1">
      <c r="A36" s="6"/>
      <c r="B36" t="s" s="32">
        <v>82</v>
      </c>
      <c r="C36" s="34">
        <v>0</v>
      </c>
      <c r="D36" t="s" s="32">
        <v>83</v>
      </c>
      <c r="E36" s="37">
        <v>4.47712914778708</v>
      </c>
      <c r="F36" s="43">
        <v>0.000898014361638009</v>
      </c>
      <c r="G36" s="39">
        <v>6.53591670791708</v>
      </c>
      <c r="H36" s="40">
        <v>-2.34558760516386</v>
      </c>
      <c r="I36" s="6"/>
      <c r="J36" s="34">
        <v>1.01536117348575</v>
      </c>
      <c r="K36" s="6"/>
      <c r="L36" s="34" cm="1">
        <f t="array" ref="L36">E36*$J36</f>
        <v>4.54590310534435</v>
      </c>
      <c r="M36" s="34" cm="1">
        <f t="array" ref="M36">F36*$J36</f>
        <v>0.000911808916039825</v>
      </c>
      <c r="N36" s="34" cm="1">
        <f t="array" ref="N36">G36*$J36</f>
        <v>6.63631605835581</v>
      </c>
      <c r="O36" s="34" cm="1">
        <f t="array" ref="O36">H36*$J36</f>
        <v>-2.38161858329281</v>
      </c>
      <c r="P36" s="6"/>
      <c r="Q36" s="34">
        <v>262.5406</v>
      </c>
      <c r="R36" s="34" cm="1">
        <f t="array" ref="R36">Q36/1000</f>
        <v>0.2625406</v>
      </c>
      <c r="S36" s="6"/>
      <c r="T36" s="34" cm="1">
        <f t="array" ref="T36">$R36*L36</f>
        <v>1.19348412881897</v>
      </c>
      <c r="U36" s="34" cm="1">
        <f t="array" ref="U36">$R36*M36</f>
        <v>0.000239386859902445</v>
      </c>
      <c r="V36" s="34" cm="1">
        <f t="array" ref="V36">$R36*N36</f>
        <v>1.74230239975037</v>
      </c>
      <c r="W36" s="34" cm="1">
        <f t="array" ref="W36">$R36*O36</f>
        <v>-0.625271571828844</v>
      </c>
      <c r="X36" s="6"/>
      <c r="Y36" s="34" cm="1">
        <f t="array" ref="Y36">T36-Y$39-Y$3</f>
        <v>1.17692121759632</v>
      </c>
      <c r="Z36" s="34" cm="1">
        <f t="array" ref="Z36">U36-Z$39-Z$3</f>
        <v>-1.505897381678e-06</v>
      </c>
      <c r="AA36" s="34" cm="1">
        <f t="array" ref="AA36">V36-AA$39-AA$3</f>
        <v>-2.47744046040645</v>
      </c>
      <c r="AB36" s="34" cm="1">
        <f t="array" ref="AB36">W36-AB$39-AB$3</f>
        <v>0.783838210696196</v>
      </c>
      <c r="AC36" s="6"/>
      <c r="AD36" s="41">
        <v>3.154</v>
      </c>
      <c r="AE36" s="35"/>
      <c r="AF36" s="41" cm="1">
        <f t="array" ref="AF36">Y36/$AD36</f>
        <v>0.373151939631046</v>
      </c>
      <c r="AG36" s="41" cm="1">
        <f t="array" ref="AG36">Z36/$AD36</f>
        <v>-4.77456367050729e-07</v>
      </c>
      <c r="AH36" s="41" cm="1">
        <f t="array" ref="AH36">AA36/$AD36</f>
        <v>-0.7854915854173909</v>
      </c>
      <c r="AI36" s="41" cm="1">
        <f t="array" ref="AI36">AB36/$AD36</f>
        <v>0.248521943784463</v>
      </c>
    </row>
    <row r="37" ht="17" customHeight="1">
      <c r="A37" s="6"/>
      <c r="B37" t="s" s="32">
        <v>84</v>
      </c>
      <c r="C37" s="34">
        <v>0</v>
      </c>
      <c r="D37" t="s" s="32">
        <v>85</v>
      </c>
      <c r="E37" s="37">
        <v>2.71218149244305</v>
      </c>
      <c r="F37" s="43">
        <v>0.000898014361638009</v>
      </c>
      <c r="G37" s="42">
        <v>5.62657277144776</v>
      </c>
      <c r="H37" s="34">
        <v>-1.31152878875038</v>
      </c>
      <c r="I37" s="6"/>
      <c r="J37" s="34">
        <v>1.01574230867213</v>
      </c>
      <c r="K37" s="6"/>
      <c r="L37" s="34" cm="1">
        <f t="array" ref="L37">E37*$J37</f>
        <v>2.75487749067193</v>
      </c>
      <c r="M37" s="34" cm="1">
        <f t="array" ref="M37">F37*$J37</f>
        <v>0.00091215118091092</v>
      </c>
      <c r="N37" s="34" cm="1">
        <f t="array" ref="N37">G37*$J37</f>
        <v>5.71514801678209</v>
      </c>
      <c r="O37" s="34" cm="1">
        <f t="array" ref="O37">H37*$J37</f>
        <v>-1.33217527977527</v>
      </c>
      <c r="P37" s="6"/>
      <c r="Q37" s="34">
        <v>264.0138</v>
      </c>
      <c r="R37" s="34" cm="1">
        <f t="array" ref="R37">Q37/1000</f>
        <v>0.2640138</v>
      </c>
      <c r="S37" s="6"/>
      <c r="T37" s="34" cm="1">
        <f t="array" ref="T37">$R37*L37</f>
        <v>0.727325674846761</v>
      </c>
      <c r="U37" s="34" cm="1">
        <f t="array" ref="U37">$R37*M37</f>
        <v>0.000240820499446779</v>
      </c>
      <c r="V37" s="34" cm="1">
        <f t="array" ref="V37">$R37*N37</f>
        <v>1.5088779454731</v>
      </c>
      <c r="W37" s="34" cm="1">
        <f t="array" ref="W37">$R37*O37</f>
        <v>-0.351712657879532</v>
      </c>
      <c r="X37" s="6"/>
      <c r="Y37" s="34" cm="1">
        <f t="array" ref="Y37">T37-Y$39-Y$3</f>
        <v>0.710762763624109</v>
      </c>
      <c r="Z37" s="34" cm="1">
        <f t="array" ref="Z37">U37-Z$39-Z$3</f>
        <v>-7.2257837344e-08</v>
      </c>
      <c r="AA37" s="34" cm="1">
        <f t="array" ref="AA37">V37-AA$39-AA$3</f>
        <v>-2.71086491468372</v>
      </c>
      <c r="AB37" s="34" cm="1">
        <f t="array" ref="AB37">W37-AB$39-AB$3</f>
        <v>1.05739712464551</v>
      </c>
      <c r="AC37" s="6"/>
      <c r="AD37" s="41">
        <v>3.2482</v>
      </c>
      <c r="AE37" s="35"/>
      <c r="AF37" s="41" cm="1">
        <f t="array" ref="AF37">Y37/$AD37</f>
        <v>0.218817426151133</v>
      </c>
      <c r="AG37" s="41" cm="1">
        <f t="array" ref="AG37">Z37/$AD37</f>
        <v>-2.22455013065698e-08</v>
      </c>
      <c r="AH37" s="41" cm="1">
        <f t="array" ref="AH37">AA37/$AD37</f>
        <v>-0.834574507322123</v>
      </c>
      <c r="AI37" s="41" cm="1">
        <f t="array" ref="AI37">AB37/$AD37</f>
        <v>0.3255332567716</v>
      </c>
    </row>
    <row r="38" ht="17" customHeight="1">
      <c r="A38" s="6"/>
      <c r="B38" t="s" s="32">
        <v>86</v>
      </c>
      <c r="C38" s="34">
        <v>0</v>
      </c>
      <c r="D38" t="s" s="32">
        <v>87</v>
      </c>
      <c r="E38" s="37">
        <v>-0.816996402554245</v>
      </c>
      <c r="F38" s="43">
        <v>0.000898014361638009</v>
      </c>
      <c r="G38" s="39">
        <v>3.58907758192133</v>
      </c>
      <c r="H38" s="40">
        <v>4.6851155860118</v>
      </c>
      <c r="I38" s="6"/>
      <c r="J38" s="34">
        <v>1.01587181846985</v>
      </c>
      <c r="K38" s="6"/>
      <c r="L38" s="34" cm="1">
        <f t="array" ref="L38">E38*$J38</f>
        <v>-0.829963621146106</v>
      </c>
      <c r="M38" s="34" cm="1">
        <f t="array" ref="M38">F38*$J38</f>
        <v>0.000912267482569246</v>
      </c>
      <c r="N38" s="34" cm="1">
        <f t="array" ref="N38">G38*$J38</f>
        <v>3.64604276977579</v>
      </c>
      <c r="O38" s="34" cm="1">
        <f t="array" ref="O38">H38*$J38</f>
        <v>4.75947689010324</v>
      </c>
      <c r="P38" s="6"/>
      <c r="Q38" s="34">
        <v>265.1078</v>
      </c>
      <c r="R38" s="34" cm="1">
        <f t="array" ref="R38">Q38/1000</f>
        <v>0.2651078</v>
      </c>
      <c r="S38" s="6"/>
      <c r="T38" s="34" cm="1">
        <f t="array" ref="T38">$R38*L38</f>
        <v>-0.220029829682078</v>
      </c>
      <c r="U38" s="34" cm="1">
        <f t="array" ref="U38">$R38*M38</f>
        <v>0.000241849225315471</v>
      </c>
      <c r="V38" s="34" cm="1">
        <f t="array" ref="V38">$R38*N38</f>
        <v>0.966594377401166</v>
      </c>
      <c r="W38" s="34" cm="1">
        <f t="array" ref="W38">$R38*O38</f>
        <v>1.26177444748611</v>
      </c>
      <c r="X38" s="6"/>
      <c r="Y38" s="34" cm="1">
        <f t="array" ref="Y38">T38-Y$39-Y$3</f>
        <v>-0.23659274090473</v>
      </c>
      <c r="Z38" s="34" cm="1">
        <f t="array" ref="Z38">U38-Z$39-Z$3</f>
        <v>9.564680313479999e-07</v>
      </c>
      <c r="AA38" s="34" cm="1">
        <f t="array" ref="AA38">V38-AA$39-AA$3</f>
        <v>-3.25314848275565</v>
      </c>
      <c r="AB38" s="34" cm="1">
        <f t="array" ref="AB38">W38-AB$39-AB$3</f>
        <v>2.67088423001115</v>
      </c>
      <c r="AC38" s="6"/>
      <c r="AD38" s="41">
        <v>1.5948</v>
      </c>
      <c r="AE38" s="35"/>
      <c r="AF38" s="41" cm="1">
        <f t="array" ref="AF38">Y38/$AD38</f>
        <v>-0.148352609044852</v>
      </c>
      <c r="AG38" s="41" cm="1">
        <f t="array" ref="AG38">Z38/$AD38</f>
        <v>5.99741680052671e-07</v>
      </c>
      <c r="AH38" s="41" cm="1">
        <f t="array" ref="AH38">AA38/$AD38</f>
        <v>-2.03984730546504</v>
      </c>
      <c r="AI38" s="41" cm="1">
        <f t="array" ref="AI38">AB38/$AD38</f>
        <v>1.67474556684923</v>
      </c>
    </row>
    <row r="39" ht="17" customHeight="1">
      <c r="A39" s="6"/>
      <c r="B39" t="s" s="32">
        <v>88</v>
      </c>
      <c r="C39" s="34">
        <v>0</v>
      </c>
      <c r="D39" t="s" s="32">
        <v>89</v>
      </c>
      <c r="E39" s="37">
        <v>-0.247571556809224</v>
      </c>
      <c r="F39" s="43">
        <v>0.000898014361638009</v>
      </c>
      <c r="G39" s="42">
        <v>40.3010862589306</v>
      </c>
      <c r="H39" s="34">
        <v>-5.28813801710849</v>
      </c>
      <c r="I39" s="6"/>
      <c r="J39" s="34">
        <v>1.01499027348667</v>
      </c>
      <c r="K39" s="6"/>
      <c r="L39" s="34" cm="1">
        <f t="array" ref="L39">E39*$J39</f>
        <v>-0.251282722153315</v>
      </c>
      <c r="M39" s="34" cm="1">
        <f t="array" ref="M39">F39*$J39</f>
        <v>0.00091147584251392</v>
      </c>
      <c r="N39" s="34" cm="1">
        <f t="array" ref="N39">G39*$J39</f>
        <v>40.9052105637618</v>
      </c>
      <c r="O39" s="34" cm="1">
        <f t="array" ref="O39">H39*$J39</f>
        <v>-5.3674086522202</v>
      </c>
      <c r="P39" s="6"/>
      <c r="Q39" s="34">
        <v>264.02</v>
      </c>
      <c r="R39" s="34" cm="1">
        <f t="array" ref="R39">Q39/1000</f>
        <v>0.26402</v>
      </c>
      <c r="S39" s="6"/>
      <c r="T39" s="34" cm="1">
        <f t="array" ref="T39">$R39*L39</f>
        <v>-0.0663436643029182</v>
      </c>
      <c r="U39" s="34" cm="1">
        <f t="array" ref="U39">$R39*M39</f>
        <v>0.000240647851940525</v>
      </c>
      <c r="V39" s="34" cm="1">
        <f t="array" ref="V39">$R39*N39</f>
        <v>10.7997936930444</v>
      </c>
      <c r="W39" s="34" cm="1">
        <f t="array" ref="W39">$R39*O39</f>
        <v>-1.41710323235918</v>
      </c>
      <c r="X39" s="6"/>
      <c r="Y39" s="34" cm="1">
        <f t="array" ref="Y39">AVERAGE(T39:T41)</f>
        <v>0.0165629112226523</v>
      </c>
      <c r="Z39" s="34" cm="1">
        <f t="array" ref="Z39">AVERAGE(U39:U41)</f>
        <v>0.000240892757284123</v>
      </c>
      <c r="AA39" s="34" cm="1">
        <f t="array" ref="AA39">AVERAGE(V39:V41)</f>
        <v>4.21974286015682</v>
      </c>
      <c r="AB39" s="34" cm="1">
        <f t="array" ref="AB39">AVERAGE(W39:W41)</f>
        <v>-1.40910978252504</v>
      </c>
      <c r="AC39" s="6"/>
      <c r="AD39" s="35"/>
      <c r="AE39" s="35"/>
      <c r="AF39" s="35" cm="1">
        <f t="array" ref="AF39">Y39/$AD39</f>
      </c>
      <c r="AG39" s="35" cm="1">
        <f t="array" ref="AG39">Z39/$AD39</f>
      </c>
      <c r="AH39" s="35" cm="1">
        <f t="array" ref="AH39">AA39/$AD39</f>
      </c>
      <c r="AI39" s="35" cm="1">
        <f t="array" ref="AI39">AB39/$AD39</f>
      </c>
    </row>
    <row r="40" ht="17" customHeight="1">
      <c r="A40" s="6"/>
      <c r="B40" t="s" s="32">
        <v>90</v>
      </c>
      <c r="C40" s="34">
        <v>0</v>
      </c>
      <c r="D40" t="s" s="32">
        <v>91</v>
      </c>
      <c r="E40" s="37">
        <v>1.33843714341031</v>
      </c>
      <c r="F40" s="43">
        <v>0.000898014361638009</v>
      </c>
      <c r="G40" s="39">
        <v>4.64032606486526</v>
      </c>
      <c r="H40" s="40">
        <v>-5.25282401716497</v>
      </c>
      <c r="I40" s="6"/>
      <c r="J40" s="34">
        <v>1.01462794590577</v>
      </c>
      <c r="K40" s="6"/>
      <c r="L40" s="34" cm="1">
        <f t="array" ref="L40">E40*$J40</f>
        <v>1.35801572954239</v>
      </c>
      <c r="M40" s="34" cm="1">
        <f t="array" ref="M40">F40*$J40</f>
        <v>0.000911150467142654</v>
      </c>
      <c r="N40" s="34" cm="1">
        <f t="array" ref="N40">G40*$J40</f>
        <v>4.70820450352724</v>
      </c>
      <c r="O40" s="34" cm="1">
        <f t="array" ref="O40">H40*$J40</f>
        <v>-5.32966204274059</v>
      </c>
      <c r="P40" s="6"/>
      <c r="Q40" s="34">
        <v>264.36</v>
      </c>
      <c r="R40" s="34" cm="1">
        <f t="array" ref="R40">Q40/1000</f>
        <v>0.26436</v>
      </c>
      <c r="S40" s="6"/>
      <c r="T40" s="34" cm="1">
        <f t="array" ref="T40">$R40*L40</f>
        <v>0.359005038261826</v>
      </c>
      <c r="U40" s="34" cm="1">
        <f t="array" ref="U40">$R40*M40</f>
        <v>0.000240871737493832</v>
      </c>
      <c r="V40" s="34" cm="1">
        <f t="array" ref="V40">$R40*N40</f>
        <v>1.24466094255246</v>
      </c>
      <c r="W40" s="34" cm="1">
        <f t="array" ref="W40">$R40*O40</f>
        <v>-1.4089494576189</v>
      </c>
      <c r="X40" s="6"/>
      <c r="Y40" s="6"/>
      <c r="Z40" s="6"/>
      <c r="AA40" s="6"/>
      <c r="AB40" s="6"/>
      <c r="AC40" s="6"/>
      <c r="AD40" s="35"/>
      <c r="AE40" s="35"/>
      <c r="AF40" s="35" cm="1">
        <f t="array" ref="AF40">Y40/$AD40</f>
      </c>
      <c r="AG40" s="35" cm="1">
        <f t="array" ref="AG40">Z40/$AD40</f>
      </c>
      <c r="AH40" s="35" cm="1">
        <f t="array" ref="AH40">AA40/$AD40</f>
      </c>
      <c r="AI40" s="35" cm="1">
        <f t="array" ref="AI40">AB40/$AD40</f>
      </c>
    </row>
    <row r="41" ht="17" customHeight="1">
      <c r="A41" s="6"/>
      <c r="B41" t="s" s="8">
        <v>92</v>
      </c>
      <c r="C41" s="44">
        <v>0</v>
      </c>
      <c r="D41" t="s" s="8">
        <v>93</v>
      </c>
      <c r="E41" s="37">
        <v>-0.904769085146081</v>
      </c>
      <c r="F41" s="43">
        <v>0.000898014361638009</v>
      </c>
      <c r="G41" s="42">
        <v>2.28926375829344</v>
      </c>
      <c r="H41" s="34">
        <v>-5.2180023150444</v>
      </c>
      <c r="I41" s="6"/>
      <c r="J41" s="34">
        <v>1.01526058162971</v>
      </c>
      <c r="K41" s="6"/>
      <c r="L41" s="34" cm="1">
        <f t="array" ref="L41">E41*$J41</f>
        <v>-0.918576387625991</v>
      </c>
      <c r="M41" s="34" cm="1">
        <f t="array" ref="M41">F41*$J41</f>
        <v>0.000911718583108438</v>
      </c>
      <c r="N41" s="34" cm="1">
        <f t="array" ref="N41">G41*$J41</f>
        <v>2.32419925474881</v>
      </c>
      <c r="O41" s="34" cm="1">
        <f t="array" ref="O41">H41*$J41</f>
        <v>-5.29763206531715</v>
      </c>
      <c r="P41" s="6"/>
      <c r="Q41" s="34">
        <v>264.51</v>
      </c>
      <c r="R41" s="34" cm="1">
        <f t="array" ref="R41">Q41/1000</f>
        <v>0.26451</v>
      </c>
      <c r="S41" s="6"/>
      <c r="T41" s="34" cm="1">
        <f t="array" ref="T41">$R41*L41</f>
        <v>-0.242972640290951</v>
      </c>
      <c r="U41" s="34" cm="1">
        <f t="array" ref="U41">$R41*M41</f>
        <v>0.000241158682418013</v>
      </c>
      <c r="V41" s="34" cm="1">
        <f t="array" ref="V41">$R41*N41</f>
        <v>0.614773944873608</v>
      </c>
      <c r="W41" s="34" cm="1">
        <f t="array" ref="W41">$R41*O41</f>
        <v>-1.40127665759704</v>
      </c>
      <c r="X41" s="6"/>
      <c r="Y41" s="6"/>
      <c r="Z41" s="6"/>
      <c r="AA41" s="6"/>
      <c r="AB41" s="6"/>
      <c r="AC41" s="6"/>
      <c r="AD41" s="35"/>
      <c r="AE41" s="35"/>
      <c r="AF41" s="35" cm="1">
        <f t="array" ref="AF41">Y41/$AD41</f>
      </c>
      <c r="AG41" s="35" cm="1">
        <f t="array" ref="AG41">Z41/$AD41</f>
      </c>
      <c r="AH41" s="35" cm="1">
        <f t="array" ref="AH41">AA41/$AD41</f>
      </c>
      <c r="AI41" s="35" cm="1">
        <f t="array" ref="AI41">AB41/$AD41</f>
      </c>
    </row>
    <row r="42" ht="17" customHeight="1">
      <c r="A42" s="6"/>
      <c r="B42" t="s" s="25">
        <v>94</v>
      </c>
      <c r="C42" s="45">
        <v>0</v>
      </c>
      <c r="D42" t="s" s="25">
        <v>95</v>
      </c>
      <c r="E42" s="37">
        <v>-6.22092572700254</v>
      </c>
      <c r="F42" s="43">
        <v>0.000898014361638009</v>
      </c>
      <c r="G42" s="39">
        <v>26.0095722290274</v>
      </c>
      <c r="H42" s="40">
        <v>-52.997809530452</v>
      </c>
      <c r="I42" s="6"/>
      <c r="J42" s="34">
        <v>1.01574937120876</v>
      </c>
      <c r="K42" s="6"/>
      <c r="L42" s="34" cm="1">
        <f t="array" ref="L42">E42*$J42</f>
        <v>-6.31890139553923</v>
      </c>
      <c r="M42" s="34" cm="1">
        <f t="array" ref="M42">F42*$J42</f>
        <v>0.000912157523170244</v>
      </c>
      <c r="N42" s="34" cm="1">
        <f t="array" ref="N42">G42*$J42</f>
        <v>26.4192066370434</v>
      </c>
      <c r="O42" s="34" cm="1">
        <f t="array" ref="O42">H42*$J42</f>
        <v>-53.8324917059982</v>
      </c>
      <c r="P42" s="6"/>
      <c r="Q42" s="34">
        <v>264.067</v>
      </c>
      <c r="R42" s="34" cm="1">
        <f t="array" ref="R42">Q42/1000</f>
        <v>0.264067</v>
      </c>
      <c r="S42" s="6"/>
      <c r="T42" s="34" cm="1">
        <f t="array" ref="T42">$R42*L42</f>
        <v>-1.66861333481586</v>
      </c>
      <c r="U42" s="34" cm="1">
        <f t="array" ref="U42">$R42*M42</f>
        <v>0.000240870700670997</v>
      </c>
      <c r="V42" s="34" cm="1">
        <f t="array" ref="V42">$R42*N42</f>
        <v>6.97644063902414</v>
      </c>
      <c r="W42" s="34" cm="1">
        <f t="array" ref="W42">$R42*O42</f>
        <v>-14.2153845873278</v>
      </c>
      <c r="X42" s="6"/>
      <c r="Y42" s="34" cm="1">
        <f t="array" ref="Y42">T42-Y$48-Y$3</f>
        <v>-1.7868277628523</v>
      </c>
      <c r="Z42" s="34" cm="1">
        <f t="array" ref="Z42">U42-Z$48-Z$3</f>
        <v>-0.465278370845442</v>
      </c>
      <c r="AA42" s="34" cm="1">
        <f t="array" ref="AA42">V42-AA$48-AA$3</f>
        <v>5.37824507226288</v>
      </c>
      <c r="AB42" s="34" cm="1">
        <f t="array" ref="AB42">W42-AB$48-AB$3</f>
        <v>0.2435130973858</v>
      </c>
      <c r="AC42" s="6"/>
      <c r="AD42" s="41">
        <v>4.3192</v>
      </c>
      <c r="AE42" s="35"/>
      <c r="AF42" s="41" cm="1">
        <f t="array" ref="AF42">Y42/$AD42</f>
        <v>-0.413694147724648</v>
      </c>
      <c r="AG42" s="41" cm="1">
        <f t="array" ref="AG42">Z42/$AD42</f>
        <v>-0.107723275339286</v>
      </c>
      <c r="AH42" s="41" cm="1">
        <f t="array" ref="AH42">AA42/$AD42</f>
        <v>1.24519472871432</v>
      </c>
      <c r="AI42" s="41" cm="1">
        <f t="array" ref="AI42">AB42/$AD42</f>
        <v>0.0563792131380348</v>
      </c>
    </row>
    <row r="43" ht="17" customHeight="1">
      <c r="A43" s="6"/>
      <c r="B43" t="s" s="32">
        <v>96</v>
      </c>
      <c r="C43" s="34">
        <v>0</v>
      </c>
      <c r="D43" t="s" s="32">
        <v>97</v>
      </c>
      <c r="E43" s="37">
        <v>7.47886514015278</v>
      </c>
      <c r="F43" s="43">
        <v>0.000898014361638009</v>
      </c>
      <c r="G43" s="42">
        <v>16.3896517075116</v>
      </c>
      <c r="H43" s="34">
        <v>-53.0454376824022</v>
      </c>
      <c r="I43" s="6"/>
      <c r="J43" s="34">
        <v>1.01500081991173</v>
      </c>
      <c r="K43" s="6"/>
      <c r="L43" s="34" cm="1">
        <f t="array" ref="L43">E43*$J43</f>
        <v>7.59105424926433</v>
      </c>
      <c r="M43" s="34" cm="1">
        <f t="array" ref="M43">F43*$J43</f>
        <v>0.000911485313355088</v>
      </c>
      <c r="N43" s="34" cm="1">
        <f t="array" ref="N43">G43*$J43</f>
        <v>16.635509921192</v>
      </c>
      <c r="O43" s="34" cm="1">
        <f t="array" ref="O43">H43*$J43</f>
        <v>-53.8411627402148</v>
      </c>
      <c r="P43" s="6"/>
      <c r="Q43" s="34">
        <v>265.9786</v>
      </c>
      <c r="R43" s="34" cm="1">
        <f t="array" ref="R43">Q43/1000</f>
        <v>0.2659786</v>
      </c>
      <c r="S43" s="6"/>
      <c r="T43" s="34" cm="1">
        <f t="array" ref="T43">$R43*L43</f>
        <v>2.01905798174338</v>
      </c>
      <c r="U43" s="34" cm="1">
        <f t="array" ref="U43">$R43*M43</f>
        <v>0.000242435587566748</v>
      </c>
      <c r="V43" s="34" cm="1">
        <f t="array" ref="V43">$R43*N43</f>
        <v>4.42468963912476</v>
      </c>
      <c r="W43" s="34" cm="1">
        <f t="array" ref="W43">$R43*O43</f>
        <v>-14.3205970880145</v>
      </c>
      <c r="X43" s="6"/>
      <c r="Y43" s="34" cm="1">
        <f t="array" ref="Y43">T43-Y$48-Y$3</f>
        <v>1.90084355370694</v>
      </c>
      <c r="Z43" s="34" cm="1">
        <f t="array" ref="Z43">U43-Z$48-Z$3</f>
        <v>-0.465276805958546</v>
      </c>
      <c r="AA43" s="34" cm="1">
        <f t="array" ref="AA43">V43-AA$48-AA$3</f>
        <v>2.8264940723635</v>
      </c>
      <c r="AB43" s="34" cm="1">
        <f t="array" ref="AB43">W43-AB$48-AB$3</f>
        <v>0.1383005966991</v>
      </c>
      <c r="AC43" s="6"/>
      <c r="AD43" s="41">
        <v>4.3818</v>
      </c>
      <c r="AE43" s="35"/>
      <c r="AF43" s="41" cm="1">
        <f t="array" ref="AF43">Y43/$AD43</f>
        <v>0.433804270780716</v>
      </c>
      <c r="AG43" s="41" cm="1">
        <f t="array" ref="AG43">Z43/$AD43</f>
        <v>-0.106183944031801</v>
      </c>
      <c r="AH43" s="41" cm="1">
        <f t="array" ref="AH43">AA43/$AD43</f>
        <v>0.64505319100906</v>
      </c>
      <c r="AI43" s="41" cm="1">
        <f t="array" ref="AI43">AB43/$AD43</f>
        <v>0.0315625078048062</v>
      </c>
    </row>
    <row r="44" ht="17" customHeight="1">
      <c r="A44" s="6"/>
      <c r="B44" t="s" s="32">
        <v>98</v>
      </c>
      <c r="C44" s="34">
        <v>0</v>
      </c>
      <c r="D44" t="s" s="32">
        <v>99</v>
      </c>
      <c r="E44" s="37">
        <v>577.796920855217</v>
      </c>
      <c r="F44" s="43">
        <v>0.000898014361638009</v>
      </c>
      <c r="G44" s="39">
        <v>16.6079623571181</v>
      </c>
      <c r="H44" s="40">
        <v>-52.9935488540281</v>
      </c>
      <c r="I44" s="6"/>
      <c r="J44" s="34">
        <v>1.01509686134744</v>
      </c>
      <c r="K44" s="6"/>
      <c r="L44" s="34" cm="1">
        <f t="array" ref="L44">E44*$J44</f>
        <v>586.519840856346</v>
      </c>
      <c r="M44" s="34" cm="1">
        <f t="array" ref="M44">F44*$J44</f>
        <v>0.0009115715599436679</v>
      </c>
      <c r="N44" s="34" cm="1">
        <f t="array" ref="N44">G44*$J44</f>
        <v>16.858690462087</v>
      </c>
      <c r="O44" s="34" cm="1">
        <f t="array" ref="O44">H44*$J44</f>
        <v>-53.7935851133862</v>
      </c>
      <c r="P44" s="6"/>
      <c r="Q44" s="34">
        <v>255.78</v>
      </c>
      <c r="R44" s="34" cm="1">
        <f t="array" ref="R44">Q44/1000</f>
        <v>0.25578</v>
      </c>
      <c r="S44" s="6"/>
      <c r="T44" s="34" cm="1">
        <f t="array" ref="T44">$R44*L44</f>
        <v>150.020044894236</v>
      </c>
      <c r="U44" s="34" cm="1">
        <f t="array" ref="U44">$R44*M44</f>
        <v>0.000233161773602391</v>
      </c>
      <c r="V44" s="34" cm="1">
        <f t="array" ref="V44">$R44*N44</f>
        <v>4.31211584639261</v>
      </c>
      <c r="W44" s="34" cm="1">
        <f t="array" ref="W44">$R44*O44</f>
        <v>-13.7593232003019</v>
      </c>
      <c r="X44" s="6"/>
      <c r="Y44" s="34" cm="1">
        <f t="array" ref="Y44">T44-Y$48-Y$3</f>
        <v>149.9018304662</v>
      </c>
      <c r="Z44" s="34" cm="1">
        <f t="array" ref="Z44">U44-Z$48-Z$3</f>
        <v>-0.465286079772511</v>
      </c>
      <c r="AA44" s="34" cm="1">
        <f t="array" ref="AA44">V44-AA$48-AA$3</f>
        <v>2.71392027963135</v>
      </c>
      <c r="AB44" s="34" cm="1">
        <f t="array" ref="AB44">W44-AB$48-AB$3</f>
        <v>0.6995744844117</v>
      </c>
      <c r="AC44" s="6"/>
      <c r="AD44" s="41">
        <v>4.3392</v>
      </c>
      <c r="AE44" s="35"/>
      <c r="AF44" s="41" cm="1">
        <f t="array" ref="AF44">Y44/$AD44</f>
        <v>34.5459601922474</v>
      </c>
      <c r="AG44" s="41" cm="1">
        <f t="array" ref="AG44">Z44/$AD44</f>
        <v>-0.107228539770582</v>
      </c>
      <c r="AH44" s="41" cm="1">
        <f t="array" ref="AH44">AA44/$AD44</f>
        <v>0.625442542319172</v>
      </c>
      <c r="AI44" s="41" cm="1">
        <f t="array" ref="AI44">AB44/$AD44</f>
        <v>0.161221995854466</v>
      </c>
    </row>
    <row r="45" ht="17" customHeight="1">
      <c r="A45" s="6"/>
      <c r="B45" t="s" s="32">
        <v>100</v>
      </c>
      <c r="C45" s="34">
        <v>0</v>
      </c>
      <c r="D45" t="s" s="32">
        <v>101</v>
      </c>
      <c r="E45" s="37">
        <v>1.69886060642668</v>
      </c>
      <c r="F45" s="43">
        <v>0.000898014361638009</v>
      </c>
      <c r="G45" s="42">
        <v>3.51157521408663</v>
      </c>
      <c r="H45" s="34">
        <v>1.24127390829984</v>
      </c>
      <c r="I45" s="6"/>
      <c r="J45" s="34">
        <v>1.01565714116585</v>
      </c>
      <c r="K45" s="6"/>
      <c r="L45" s="34" cm="1">
        <f t="array" ref="L45">E45*$J45</f>
        <v>1.7254599067626</v>
      </c>
      <c r="M45" s="34" cm="1">
        <f t="array" ref="M45">F45*$J45</f>
        <v>0.000912074699267136</v>
      </c>
      <c r="N45" s="34" cm="1">
        <f t="array" ref="N45">G45*$J45</f>
        <v>3.56655644292808</v>
      </c>
      <c r="O45" s="34" cm="1">
        <f t="array" ref="O45">H45*$J45</f>
        <v>1.26070870910758</v>
      </c>
      <c r="P45" s="6"/>
      <c r="Q45" s="34">
        <v>264.9454</v>
      </c>
      <c r="R45" s="34" cm="1">
        <f t="array" ref="R45">Q45/1000</f>
        <v>0.2649454</v>
      </c>
      <c r="S45" s="6"/>
      <c r="T45" s="34" cm="1">
        <f t="array" ref="T45">$R45*L45</f>
        <v>0.45715266518118</v>
      </c>
      <c r="U45" s="34" cm="1">
        <f t="array" ref="U45">$R45*M45</f>
        <v>0.000241649996027211</v>
      </c>
      <c r="V45" s="34" cm="1">
        <f t="array" ref="V45">$R45*N45</f>
        <v>0.944942723394157</v>
      </c>
      <c r="W45" s="34" cm="1">
        <f t="array" ref="W45">$R45*O45</f>
        <v>0.334018973217991</v>
      </c>
      <c r="X45" s="6"/>
      <c r="Y45" s="34" cm="1">
        <f t="array" ref="Y45">T45-Y$48-Y$3</f>
        <v>0.338938237144736</v>
      </c>
      <c r="Z45" s="34" cm="1">
        <f t="array" ref="Z45">U45-Z$48-Z$3</f>
        <v>-0.465277591550086</v>
      </c>
      <c r="AA45" s="34" cm="1">
        <f t="array" ref="AA45">V45-AA$48-AA$3</f>
        <v>-0.653252843367103</v>
      </c>
      <c r="AB45" s="34" cm="1">
        <f t="array" ref="AB45">W45-AB$48-AB$3</f>
        <v>14.7929166579316</v>
      </c>
      <c r="AC45" s="6"/>
      <c r="AD45" s="41">
        <v>3.1138</v>
      </c>
      <c r="AE45" s="35"/>
      <c r="AF45" s="41" cm="1">
        <f t="array" ref="AF45">Y45/$AD45</f>
        <v>0.108850355560645</v>
      </c>
      <c r="AG45" s="41" cm="1">
        <f t="array" ref="AG45">Z45/$AD45</f>
        <v>-0.149424366224576</v>
      </c>
      <c r="AH45" s="41" cm="1">
        <f t="array" ref="AH45">AA45/$AD45</f>
        <v>-0.209792807298832</v>
      </c>
      <c r="AI45" s="41" cm="1">
        <f t="array" ref="AI45">AB45/$AD45</f>
        <v>4.7507600545737</v>
      </c>
    </row>
    <row r="46" ht="17" customHeight="1">
      <c r="A46" s="6"/>
      <c r="B46" t="s" s="32">
        <v>102</v>
      </c>
      <c r="C46" s="34">
        <v>0</v>
      </c>
      <c r="D46" t="s" s="32">
        <v>103</v>
      </c>
      <c r="E46" s="37">
        <v>-0.730894470627459</v>
      </c>
      <c r="F46" s="43">
        <v>0.000898014361638009</v>
      </c>
      <c r="G46" s="39">
        <v>6.37502917753089</v>
      </c>
      <c r="H46" s="40">
        <v>1.89751653509531</v>
      </c>
      <c r="I46" s="6"/>
      <c r="J46" s="34">
        <v>1.01497499411416</v>
      </c>
      <c r="K46" s="6"/>
      <c r="L46" s="34" cm="1">
        <f t="array" ref="L46">E46*$J46</f>
        <v>-0.741839611023177</v>
      </c>
      <c r="M46" s="34" cm="1">
        <f t="array" ref="M46">F46*$J46</f>
        <v>0.000911462121417969</v>
      </c>
      <c r="N46" s="34" cm="1">
        <f t="array" ref="N46">G46*$J46</f>
        <v>6.47049520194201</v>
      </c>
      <c r="O46" s="34" cm="1">
        <f t="array" ref="O46">H46*$J46</f>
        <v>1.92593183403988</v>
      </c>
      <c r="P46" s="6"/>
      <c r="Q46" s="34">
        <v>265.0274</v>
      </c>
      <c r="R46" s="34" cm="1">
        <f t="array" ref="R46">Q46/1000</f>
        <v>0.2650274</v>
      </c>
      <c r="S46" s="6"/>
      <c r="T46" s="34" cm="1">
        <f t="array" ref="T46">$R46*L46</f>
        <v>-0.196607823326484</v>
      </c>
      <c r="U46" s="34" cm="1">
        <f t="array" ref="U46">$R46*M46</f>
        <v>0.000241562436237889</v>
      </c>
      <c r="V46" s="34" cm="1">
        <f t="array" ref="V46">$R46*N46</f>
        <v>1.71485852008317</v>
      </c>
      <c r="W46" s="34" cm="1">
        <f t="array" ref="W46">$R46*O46</f>
        <v>0.510424706552821</v>
      </c>
      <c r="X46" s="6"/>
      <c r="Y46" s="34" cm="1">
        <f t="array" ref="Y46">T46-Y$48-Y$3</f>
        <v>-0.314822251362928</v>
      </c>
      <c r="Z46" s="34" cm="1">
        <f t="array" ref="Z46">U46-Z$48-Z$3</f>
        <v>-0.465277679109875</v>
      </c>
      <c r="AA46" s="34" cm="1">
        <f t="array" ref="AA46">V46-AA$48-AA$3</f>
        <v>0.11666295332191</v>
      </c>
      <c r="AB46" s="34" cm="1">
        <f t="array" ref="AB46">W46-AB$48-AB$3</f>
        <v>14.9693223912664</v>
      </c>
      <c r="AC46" s="6"/>
      <c r="AD46" s="41">
        <v>3.4294</v>
      </c>
      <c r="AE46" s="35"/>
      <c r="AF46" s="41" cm="1">
        <f t="array" ref="AF46">Y46/$AD46</f>
        <v>-0.0918009714127626</v>
      </c>
      <c r="AG46" s="41" cm="1">
        <f t="array" ref="AG46">Z46/$AD46</f>
        <v>-0.135673202049885</v>
      </c>
      <c r="AH46" s="41" cm="1">
        <f t="array" ref="AH46">AA46/$AD46</f>
        <v>0.0340184735877734</v>
      </c>
      <c r="AI46" s="41" cm="1">
        <f t="array" ref="AI46">AB46/$AD46</f>
        <v>4.36499748972602</v>
      </c>
    </row>
    <row r="47" ht="17" customHeight="1">
      <c r="A47" s="6"/>
      <c r="B47" t="s" s="32">
        <v>104</v>
      </c>
      <c r="C47" s="34">
        <v>0</v>
      </c>
      <c r="D47" t="s" s="32">
        <v>105</v>
      </c>
      <c r="E47" s="37">
        <v>-0.687410713095749</v>
      </c>
      <c r="F47" s="43">
        <v>0.000898014361638009</v>
      </c>
      <c r="G47" s="42">
        <v>10.9411837359923</v>
      </c>
      <c r="H47" s="34">
        <v>15.4749605627389</v>
      </c>
      <c r="I47" s="6"/>
      <c r="J47" s="34">
        <v>1.01516911069916</v>
      </c>
      <c r="K47" s="6"/>
      <c r="L47" s="34" cm="1">
        <f t="array" ref="L47">E47*$J47</f>
        <v>-0.697838122298487</v>
      </c>
      <c r="M47" s="34" cm="1">
        <f t="array" ref="M47">F47*$J47</f>
        <v>0.000911636440899131</v>
      </c>
      <c r="N47" s="34" cm="1">
        <f t="array" ref="N47">G47*$J47</f>
        <v>11.1071517632634</v>
      </c>
      <c r="O47" s="34" cm="1">
        <f t="array" ref="O47">H47*$J47</f>
        <v>15.7097019525802</v>
      </c>
      <c r="P47" s="6"/>
      <c r="Q47" s="34">
        <v>265.6504</v>
      </c>
      <c r="R47" s="34" cm="1">
        <f t="array" ref="R47">Q47/1000</f>
        <v>0.2656504</v>
      </c>
      <c r="S47" s="6"/>
      <c r="T47" s="34" cm="1">
        <f t="array" ref="T47">$R47*L47</f>
        <v>-0.185380976323842</v>
      </c>
      <c r="U47" s="34" cm="1">
        <f t="array" ref="U47">$R47*M47</f>
        <v>0.000242176585179431</v>
      </c>
      <c r="V47" s="34" cm="1">
        <f t="array" ref="V47">$R47*N47</f>
        <v>2.95061930877163</v>
      </c>
      <c r="W47" s="34" cm="1">
        <f t="array" ref="W47">$R47*O47</f>
        <v>4.17328860758371</v>
      </c>
      <c r="X47" s="6"/>
      <c r="Y47" s="34" cm="1">
        <f t="array" ref="Y47">T47-Y$48-Y$3</f>
        <v>-0.303595404360286</v>
      </c>
      <c r="Z47" s="34" cm="1">
        <f t="array" ref="Z47">U47-Z$48-Z$3</f>
        <v>-0.465277064960934</v>
      </c>
      <c r="AA47" s="34" cm="1">
        <f t="array" ref="AA47">V47-AA$48-AA$3</f>
        <v>1.35242374201037</v>
      </c>
      <c r="AB47" s="34" cm="1">
        <f t="array" ref="AB47">W47-AB$48-AB$3</f>
        <v>18.6321862922973</v>
      </c>
      <c r="AC47" s="6"/>
      <c r="AD47" s="41">
        <v>1.489</v>
      </c>
      <c r="AE47" s="35"/>
      <c r="AF47" s="41" cm="1">
        <f t="array" ref="AF47">Y47/$AD47</f>
        <v>-0.203892145305766</v>
      </c>
      <c r="AG47" s="41" cm="1">
        <f t="array" ref="AG47">Z47/$AD47</f>
        <v>-0.312476202122857</v>
      </c>
      <c r="AH47" s="41" cm="1">
        <f t="array" ref="AH47">AA47/$AD47</f>
        <v>0.908276522505285</v>
      </c>
      <c r="AI47" s="41" cm="1">
        <f t="array" ref="AI47">AB47/$AD47</f>
        <v>12.5132211499646</v>
      </c>
    </row>
    <row r="48" ht="17" customHeight="1">
      <c r="A48" s="6"/>
      <c r="B48" t="s" s="32">
        <v>106</v>
      </c>
      <c r="C48" s="34">
        <v>0</v>
      </c>
      <c r="D48" t="s" s="32">
        <v>107</v>
      </c>
      <c r="E48" s="37">
        <v>0.314435441058914</v>
      </c>
      <c r="F48" s="43">
        <v>0.000898014361638009</v>
      </c>
      <c r="G48" s="39">
        <v>5.66543685884893</v>
      </c>
      <c r="H48" s="40">
        <v>-53.1726641180678</v>
      </c>
      <c r="I48" s="6"/>
      <c r="J48" s="34">
        <v>1.01532115497938</v>
      </c>
      <c r="K48" s="6"/>
      <c r="L48" s="34" cm="1">
        <f t="array" ref="L48">E48*$J48</f>
        <v>0.319252955182387</v>
      </c>
      <c r="M48" s="34" cm="1">
        <f t="array" ref="M48">F48*$J48</f>
        <v>0.000911772978846374</v>
      </c>
      <c r="N48" s="34" cm="1">
        <f t="array" ref="N48">G48*$J48</f>
        <v>5.75223789498925</v>
      </c>
      <c r="O48" s="34" cm="1">
        <f t="array" ref="O48">H48*$J48</f>
        <v>-53.9873307456872</v>
      </c>
      <c r="P48" s="6"/>
      <c r="Q48" s="34">
        <v>265.51</v>
      </c>
      <c r="R48" s="34" cm="1">
        <f t="array" ref="R48">Q48/1000</f>
        <v>0.26551</v>
      </c>
      <c r="S48" s="6"/>
      <c r="T48" s="34" cm="1">
        <f t="array" ref="T48">$R48*L48</f>
        <v>0.0847648521304756</v>
      </c>
      <c r="U48" s="34" cm="1">
        <f t="array" ref="U48">$R48*M48</f>
        <v>0.000242084843613501</v>
      </c>
      <c r="V48" s="34" cm="1">
        <f t="array" ref="V48">$R48*N48</f>
        <v>1.5272766834986</v>
      </c>
      <c r="W48" s="34" cm="1">
        <f t="array" ref="W48">$R48*O48</f>
        <v>-14.3341761862874</v>
      </c>
      <c r="X48" s="6"/>
      <c r="Y48" s="34" cm="1">
        <f t="array" ref="Y48">AVERAGE(T48:T50)</f>
        <v>0.118214428036444</v>
      </c>
      <c r="Z48" s="34" cm="1">
        <f t="array" ref="Z48">AVERAGE(U48:U50)</f>
        <v>0.465519241546113</v>
      </c>
      <c r="AA48" s="34" cm="1">
        <f t="array" ref="AA48">AVERAGE(V48:V50)</f>
        <v>1.59819556676126</v>
      </c>
      <c r="AB48" s="34" cm="1">
        <f t="array" ref="AB48">AVERAGE(W48:W50)</f>
        <v>-14.4588976847136</v>
      </c>
      <c r="AC48" s="6"/>
      <c r="AD48" s="35"/>
      <c r="AE48" s="35"/>
      <c r="AF48" s="35" cm="1">
        <f t="array" ref="AF48">Y48/$AD48</f>
      </c>
      <c r="AG48" s="35" cm="1">
        <f t="array" ref="AG48">Z48/$AD48</f>
      </c>
      <c r="AH48" s="35" cm="1">
        <f t="array" ref="AH48">AA48/$AD48</f>
      </c>
      <c r="AI48" s="35" cm="1">
        <f t="array" ref="AI48">AB48/$AD48</f>
      </c>
    </row>
    <row r="49" ht="17" customHeight="1">
      <c r="A49" s="6"/>
      <c r="B49" t="s" s="32">
        <v>108</v>
      </c>
      <c r="C49" s="34">
        <v>0</v>
      </c>
      <c r="D49" t="s" s="32">
        <v>109</v>
      </c>
      <c r="E49" s="37">
        <v>0.396202330019182</v>
      </c>
      <c r="F49" s="43">
        <v>0.000898014361638009</v>
      </c>
      <c r="G49" s="42">
        <v>5.53179971247869</v>
      </c>
      <c r="H49" s="34">
        <v>-53.2677819620641</v>
      </c>
      <c r="I49" s="6"/>
      <c r="J49" s="34">
        <v>1.01748843337775</v>
      </c>
      <c r="K49" s="6"/>
      <c r="L49" s="34" cm="1">
        <f t="array" ref="L49">E49*$J49</f>
        <v>0.403131288071832</v>
      </c>
      <c r="M49" s="34" cm="1">
        <f t="array" ref="M49">F49*$J49</f>
        <v>0.000913719225973778</v>
      </c>
      <c r="N49" s="34" cm="1">
        <f t="array" ref="N49">G49*$J49</f>
        <v>5.62854222320943</v>
      </c>
      <c r="O49" s="34" cm="1">
        <f t="array" ref="O49">H49*$J49</f>
        <v>-54.1993520180882</v>
      </c>
      <c r="P49" s="6"/>
      <c r="Q49" s="34">
        <v>273.95</v>
      </c>
      <c r="R49" s="34" cm="1">
        <f t="array" ref="R49">Q49/1000</f>
        <v>0.27395</v>
      </c>
      <c r="S49" s="6"/>
      <c r="T49" s="34" cm="1">
        <f t="array" ref="T49">$R49*L49</f>
        <v>0.110437816367278</v>
      </c>
      <c r="U49" s="34" cm="1">
        <f t="array" ref="U49">$R49*M49</f>
        <v>0.000250313381955516</v>
      </c>
      <c r="V49" s="34" cm="1">
        <f t="array" ref="V49">$R49*N49</f>
        <v>1.54193914204822</v>
      </c>
      <c r="W49" s="34" cm="1">
        <f t="array" ref="W49">$R49*O49</f>
        <v>-14.8479124853553</v>
      </c>
      <c r="X49" s="6"/>
      <c r="Y49" s="6"/>
      <c r="Z49" s="6"/>
      <c r="AA49" s="6"/>
      <c r="AB49" s="6"/>
      <c r="AC49" s="6"/>
      <c r="AD49" s="35"/>
      <c r="AE49" s="35"/>
      <c r="AF49" s="35" cm="1">
        <f t="array" ref="AF49">Y49/$AD49</f>
      </c>
      <c r="AG49" s="35" cm="1">
        <f t="array" ref="AG49">Z49/$AD49</f>
      </c>
      <c r="AH49" s="35" cm="1">
        <f t="array" ref="AH49">AA49/$AD49</f>
      </c>
      <c r="AI49" s="35" cm="1">
        <f t="array" ref="AI49">AB49/$AD49</f>
      </c>
    </row>
    <row r="50" ht="17" customHeight="1">
      <c r="A50" s="5"/>
      <c r="B50" t="s" s="47">
        <v>110</v>
      </c>
      <c r="C50" s="44">
        <v>0</v>
      </c>
      <c r="D50" t="s" s="8">
        <v>111</v>
      </c>
      <c r="E50" s="48">
        <v>0.598593395947613</v>
      </c>
      <c r="F50" s="38">
        <v>5.24129614964584</v>
      </c>
      <c r="G50" s="39">
        <v>6.47761931435302</v>
      </c>
      <c r="H50" s="49">
        <v>-53.2912922398132</v>
      </c>
      <c r="I50" s="5"/>
      <c r="J50" s="50">
        <v>1.01562874610405</v>
      </c>
      <c r="K50" s="5"/>
      <c r="L50" s="50" cm="1">
        <f t="array" ref="L50">E50*$J50</f>
        <v>0.607948660152439</v>
      </c>
      <c r="M50" s="50" cm="1">
        <f t="array" ref="M50">F50*$J50</f>
        <v>5.32321103642479</v>
      </c>
      <c r="N50" s="50" cm="1">
        <f t="array" ref="N50">G50*$J50</f>
        <v>6.57885638197573</v>
      </c>
      <c r="O50" s="50" cm="1">
        <f t="array" ref="O50">H50*$J50</f>
        <v>-54.124168315786</v>
      </c>
      <c r="P50" s="5"/>
      <c r="Q50" s="44">
        <v>262.26</v>
      </c>
      <c r="R50" s="50" cm="1">
        <f t="array" ref="R50">Q50/1000</f>
        <v>0.26226</v>
      </c>
      <c r="S50" s="5"/>
      <c r="T50" s="50" cm="1">
        <f t="array" ref="T50">$R50*L50</f>
        <v>0.159440615611579</v>
      </c>
      <c r="U50" s="50" cm="1">
        <f t="array" ref="U50">$R50*M50</f>
        <v>1.39606532641277</v>
      </c>
      <c r="V50" s="50" cm="1">
        <f t="array" ref="V50">$R50*N50</f>
        <v>1.72537087473695</v>
      </c>
      <c r="W50" s="50" cm="1">
        <f t="array" ref="W50">$R50*O50</f>
        <v>-14.194604382498</v>
      </c>
      <c r="X50" s="5"/>
      <c r="Y50" s="5"/>
      <c r="Z50" s="5"/>
      <c r="AA50" s="5"/>
      <c r="AB50" s="5"/>
      <c r="AC50" s="5"/>
      <c r="AD50" s="11"/>
      <c r="AE50" s="11"/>
      <c r="AF50" s="51" cm="1">
        <f t="array" ref="AF50">Y50/$AD50</f>
      </c>
      <c r="AG50" s="51" cm="1">
        <f t="array" ref="AG50">Z50/$AD50</f>
      </c>
      <c r="AH50" s="51" cm="1">
        <f t="array" ref="AH50">AA50/$AD50</f>
      </c>
      <c r="AI50" s="51" cm="1">
        <f t="array" ref="AI50">AB50/$AD50</f>
      </c>
    </row>
    <row r="51" ht="17" customHeight="1">
      <c r="A51" s="45">
        <v>2</v>
      </c>
      <c r="B51" t="s" s="52">
        <v>22</v>
      </c>
      <c r="C51" s="45">
        <v>2</v>
      </c>
      <c r="D51" t="s" s="53">
        <v>112</v>
      </c>
      <c r="E51" s="54">
        <v>-7.84102671182952</v>
      </c>
      <c r="F51" s="38">
        <v>101.112188037731</v>
      </c>
      <c r="G51" s="39">
        <v>6010.7193578923</v>
      </c>
      <c r="H51" s="55">
        <v>-6.75836330423656</v>
      </c>
      <c r="I51" s="26"/>
      <c r="J51" s="56">
        <v>1.04333783065538</v>
      </c>
      <c r="K51" s="26"/>
      <c r="L51" s="56" cm="1">
        <f t="array" ref="L51">E51*$J51</f>
        <v>-8.1808397996311</v>
      </c>
      <c r="M51" s="56" cm="1">
        <f t="array" ref="M51">F51*$J51</f>
        <v>105.494170920105</v>
      </c>
      <c r="N51" s="56" cm="1">
        <f t="array" ref="N51">G51*$J51</f>
        <v>6271.210895541650</v>
      </c>
      <c r="O51" s="56" cm="1">
        <f t="array" ref="O51">H51*$J51</f>
        <v>-7.0512561086231</v>
      </c>
      <c r="P51" s="26"/>
      <c r="Q51" s="45">
        <v>251.111</v>
      </c>
      <c r="R51" s="56" cm="1">
        <f t="array" ref="R51">Q51/1000</f>
        <v>0.251111</v>
      </c>
      <c r="S51" s="26"/>
      <c r="T51" s="56" cm="1">
        <f t="array" ref="T51">$R51*L51</f>
        <v>-2.05429886292517</v>
      </c>
      <c r="U51" s="56" cm="1">
        <f t="array" ref="U51">$R51*M51</f>
        <v>26.4907467539185</v>
      </c>
      <c r="V51" s="56" cm="1">
        <f t="array" ref="V51">$R51*N51</f>
        <v>1574.770039190360</v>
      </c>
      <c r="W51" s="56" cm="1">
        <f t="array" ref="W51">$R51*O51</f>
        <v>-1.77064797269246</v>
      </c>
      <c r="X51" s="26"/>
      <c r="Y51" s="45" cm="1">
        <f t="array" ref="Y51">T51-Y$57-Y$3</f>
        <v>-0.58541501654007</v>
      </c>
      <c r="Z51" s="45" cm="1">
        <f t="array" ref="Z51">U51-Z$57-Z$3</f>
        <v>15.1324432855517</v>
      </c>
      <c r="AA51" s="45" cm="1">
        <f t="array" ref="AA51">V51-AA$57-AA$3</f>
        <v>1572.382909888850</v>
      </c>
      <c r="AB51" s="45" cm="1">
        <f t="array" ref="AB51">W51-AB$57-AB$3</f>
        <v>-133.916410900902</v>
      </c>
      <c r="AC51" s="26"/>
      <c r="AD51" s="57">
        <v>4.151</v>
      </c>
      <c r="AE51" s="58"/>
      <c r="AF51" s="59" cm="1">
        <f t="array" ref="AF51">Y51/$AD51</f>
        <v>-0.141029876304522</v>
      </c>
      <c r="AG51" s="59" cm="1">
        <f t="array" ref="AG51">Z51/$AD51</f>
        <v>3.6454934438814</v>
      </c>
      <c r="AH51" s="59" cm="1">
        <f t="array" ref="AH51">AA51/$AD51</f>
        <v>378.796171979969</v>
      </c>
      <c r="AI51" s="59" cm="1">
        <f t="array" ref="AI51">AB51/$AD51</f>
        <v>-32.2612408819325</v>
      </c>
    </row>
    <row r="52" ht="17" customHeight="1">
      <c r="A52" s="6"/>
      <c r="B52" t="s" s="32">
        <v>24</v>
      </c>
      <c r="C52" s="34">
        <v>2</v>
      </c>
      <c r="D52" t="s" s="53">
        <v>113</v>
      </c>
      <c r="E52" s="37">
        <v>6.32866440219695</v>
      </c>
      <c r="F52" s="38">
        <v>134.326962242526</v>
      </c>
      <c r="G52" s="42">
        <v>7592.935145076810</v>
      </c>
      <c r="H52" s="34">
        <v>-4.12585697771404</v>
      </c>
      <c r="I52" s="6"/>
      <c r="J52" s="34">
        <v>1.03794037940379</v>
      </c>
      <c r="K52" s="6"/>
      <c r="L52" s="34" cm="1">
        <f t="array" ref="L52">E52*$J52</f>
        <v>6.56877633073556</v>
      </c>
      <c r="M52" s="34" cm="1">
        <f t="array" ref="M52">F52*$J52</f>
        <v>139.423378154166</v>
      </c>
      <c r="N52" s="34" cm="1">
        <f t="array" ref="N52">G52*$J52</f>
        <v>7881.0139852694</v>
      </c>
      <c r="O52" s="34" cm="1">
        <f t="array" ref="O52">H52*$J52</f>
        <v>-4.28239355681429</v>
      </c>
      <c r="P52" s="6"/>
      <c r="Q52" s="34">
        <v>246.5676</v>
      </c>
      <c r="R52" s="34" cm="1">
        <f t="array" ref="R52">Q52/1000</f>
        <v>0.2465676</v>
      </c>
      <c r="S52" s="6"/>
      <c r="T52" s="34" cm="1">
        <f t="array" ref="T52">$R52*L52</f>
        <v>1.61964741480627</v>
      </c>
      <c r="U52" s="34" cm="1">
        <f t="array" ref="U52">$R52*M52</f>
        <v>34.3772877353651</v>
      </c>
      <c r="V52" s="34" cm="1">
        <f t="array" ref="V52">$R52*N52</f>
        <v>1943.202703914310</v>
      </c>
      <c r="W52" s="34" cm="1">
        <f t="array" ref="W52">$R52*O52</f>
        <v>-1.05589950155916</v>
      </c>
      <c r="X52" s="6"/>
      <c r="Y52" s="34" cm="1">
        <f t="array" ref="Y52">T52-Y$57-Y$3</f>
        <v>3.08853126119137</v>
      </c>
      <c r="Z52" s="34" cm="1">
        <f t="array" ref="Z52">U52-Z$57-Z$3</f>
        <v>23.0189842669983</v>
      </c>
      <c r="AA52" s="34" cm="1">
        <f t="array" ref="AA52">V52-AA$57-AA$3</f>
        <v>1940.8155746128</v>
      </c>
      <c r="AB52" s="34" cm="1">
        <f t="array" ref="AB52">W52-AB$57-AB$3</f>
        <v>-133.201662429769</v>
      </c>
      <c r="AC52" s="6"/>
      <c r="AD52" s="41">
        <v>4.2742</v>
      </c>
      <c r="AE52" s="35"/>
      <c r="AF52" s="41" cm="1">
        <f t="array" ref="AF52">Y52/$AD52</f>
        <v>0.722598676054319</v>
      </c>
      <c r="AG52" s="41" cm="1">
        <f t="array" ref="AG52">Z52/$AD52</f>
        <v>5.38556554840632</v>
      </c>
      <c r="AH52" s="41" cm="1">
        <f t="array" ref="AH52">AA52/$AD52</f>
        <v>454.076920736699</v>
      </c>
      <c r="AI52" s="41" cm="1">
        <f t="array" ref="AI52">AB52/$AD52</f>
        <v>-31.1641154905641</v>
      </c>
    </row>
    <row r="53" ht="17" customHeight="1">
      <c r="A53" s="6"/>
      <c r="B53" t="s" s="32">
        <v>26</v>
      </c>
      <c r="C53" s="34">
        <v>2</v>
      </c>
      <c r="D53" t="s" s="53">
        <v>114</v>
      </c>
      <c r="E53" s="37">
        <v>35.0328890377303</v>
      </c>
      <c r="F53" s="38">
        <v>214.578643496098</v>
      </c>
      <c r="G53" s="39">
        <v>8026.261098120950</v>
      </c>
      <c r="H53" s="40">
        <v>3.37983026530718</v>
      </c>
      <c r="I53" s="6"/>
      <c r="J53" s="34">
        <v>1.03784493607398</v>
      </c>
      <c r="K53" s="6"/>
      <c r="L53" s="34" cm="1">
        <f t="array" ref="L53">E53*$J53</f>
        <v>36.358706483850</v>
      </c>
      <c r="M53" s="34" cm="1">
        <f t="array" ref="M53">F53*$J53</f>
        <v>222.699358542049</v>
      </c>
      <c r="N53" s="34" cm="1">
        <f t="array" ref="N53">G53*$J53</f>
        <v>8330.014436292409</v>
      </c>
      <c r="O53" s="34" cm="1">
        <f t="array" ref="O53">H53*$J53</f>
        <v>3.50773972563863</v>
      </c>
      <c r="P53" s="6"/>
      <c r="Q53" s="34">
        <v>247.0258</v>
      </c>
      <c r="R53" s="34" cm="1">
        <f t="array" ref="R53">Q53/1000</f>
        <v>0.2470258</v>
      </c>
      <c r="S53" s="6"/>
      <c r="T53" s="34" cm="1">
        <f t="array" ref="T53">$R53*L53</f>
        <v>8.981538556138229</v>
      </c>
      <c r="U53" s="34" cm="1">
        <f t="array" ref="U53">$R53*M53</f>
        <v>55.0124872033365</v>
      </c>
      <c r="V53" s="34" cm="1">
        <f t="array" ref="V53">$R53*N53</f>
        <v>2057.728480136680</v>
      </c>
      <c r="W53" s="34" cm="1">
        <f t="array" ref="W53">$R53*O53</f>
        <v>0.866502211917663</v>
      </c>
      <c r="X53" s="6"/>
      <c r="Y53" s="34" cm="1">
        <f t="array" ref="Y53">T53-Y$57-Y$3</f>
        <v>10.4504224025233</v>
      </c>
      <c r="Z53" s="34" cm="1">
        <f t="array" ref="Z53">U53-Z$57-Z$3</f>
        <v>43.6541837349697</v>
      </c>
      <c r="AA53" s="34" cm="1">
        <f t="array" ref="AA53">V53-AA$57-AA$3</f>
        <v>2055.341350835170</v>
      </c>
      <c r="AB53" s="34" cm="1">
        <f t="array" ref="AB53">W53-AB$57-AB$3</f>
        <v>-131.279260716292</v>
      </c>
      <c r="AC53" s="6"/>
      <c r="AD53" s="41">
        <v>4.4778</v>
      </c>
      <c r="AE53" s="35"/>
      <c r="AF53" s="41" cm="1">
        <f t="array" ref="AF53">Y53/$AD53</f>
        <v>2.33382964905161</v>
      </c>
      <c r="AG53" s="41" cm="1">
        <f t="array" ref="AG53">Z53/$AD53</f>
        <v>9.74902490843041</v>
      </c>
      <c r="AH53" s="41" cm="1">
        <f t="array" ref="AH53">AA53/$AD53</f>
        <v>459.006956727672</v>
      </c>
      <c r="AI53" s="41" cm="1">
        <f t="array" ref="AI53">AB53/$AD53</f>
        <v>-29.3178035455563</v>
      </c>
    </row>
    <row r="54" ht="17" customHeight="1">
      <c r="A54" s="6"/>
      <c r="B54" t="s" s="32">
        <v>28</v>
      </c>
      <c r="C54" s="34">
        <v>2</v>
      </c>
      <c r="D54" t="s" s="53">
        <v>115</v>
      </c>
      <c r="E54" s="37">
        <v>-0.712127399308959</v>
      </c>
      <c r="F54" s="38">
        <v>21.2827364482686</v>
      </c>
      <c r="G54" s="39">
        <v>18.3154587017232</v>
      </c>
      <c r="H54" s="40">
        <v>1384.502142722520</v>
      </c>
      <c r="I54" s="6"/>
      <c r="J54" s="34">
        <v>1.03412306945904</v>
      </c>
      <c r="K54" s="6"/>
      <c r="L54" s="34" cm="1">
        <f t="array" ref="L54">E54*$J54</f>
        <v>-0.736427372019264</v>
      </c>
      <c r="M54" s="34" cm="1">
        <f t="array" ref="M54">F54*$J54</f>
        <v>22.0089687423713</v>
      </c>
      <c r="N54" s="34" cm="1">
        <f t="array" ref="N54">G54*$J54</f>
        <v>18.9404383711763</v>
      </c>
      <c r="O54" s="34" cm="1">
        <f t="array" ref="O54">H54*$J54</f>
        <v>1431.745605504830</v>
      </c>
      <c r="P54" s="6"/>
      <c r="Q54" s="34">
        <v>247.925</v>
      </c>
      <c r="R54" s="34" cm="1">
        <f t="array" ref="R54">Q54/1000</f>
        <v>0.247925</v>
      </c>
      <c r="S54" s="6"/>
      <c r="T54" s="34" cm="1">
        <f t="array" ref="T54">$R54*L54</f>
        <v>-0.182578756207876</v>
      </c>
      <c r="U54" s="34" cm="1">
        <f t="array" ref="U54">$R54*M54</f>
        <v>5.4565735754524</v>
      </c>
      <c r="V54" s="34" cm="1">
        <f t="array" ref="V54">$R54*N54</f>
        <v>4.69580818317388</v>
      </c>
      <c r="W54" s="34" cm="1">
        <f t="array" ref="W54">$R54*O54</f>
        <v>354.965529244785</v>
      </c>
      <c r="X54" s="6"/>
      <c r="Y54" s="34" cm="1">
        <f t="array" ref="Y54">T54-Y$57-Y$3</f>
        <v>1.28630509017722</v>
      </c>
      <c r="Z54" s="34" cm="1">
        <f t="array" ref="Z54">U54-Z$57-Z$3</f>
        <v>-5.9017298929144</v>
      </c>
      <c r="AA54" s="34" cm="1">
        <f t="array" ref="AA54">V54-AA$57-AA$3</f>
        <v>2.30867888166771</v>
      </c>
      <c r="AB54" s="34" cm="1">
        <f t="array" ref="AB54">W54-AB$57-AB$3</f>
        <v>222.819766316575</v>
      </c>
      <c r="AC54" s="6"/>
      <c r="AD54" s="41">
        <v>2.4186</v>
      </c>
      <c r="AE54" s="35"/>
      <c r="AF54" s="41" cm="1">
        <f t="array" ref="AF54">Y54/$AD54</f>
        <v>0.5318387042823201</v>
      </c>
      <c r="AG54" s="41" cm="1">
        <f t="array" ref="AG54">Z54/$AD54</f>
        <v>-2.44014301369156</v>
      </c>
      <c r="AH54" s="41" cm="1">
        <f t="array" ref="AH54">AA54/$AD54</f>
        <v>0.954551757904453</v>
      </c>
      <c r="AI54" s="41" cm="1">
        <f t="array" ref="AI54">AB54/$AD54</f>
        <v>92.1275805493157</v>
      </c>
    </row>
    <row r="55" ht="17" customHeight="1">
      <c r="A55" s="6"/>
      <c r="B55" t="s" s="32">
        <v>30</v>
      </c>
      <c r="C55" s="34">
        <v>2</v>
      </c>
      <c r="D55" t="s" s="53">
        <v>116</v>
      </c>
      <c r="E55" s="37">
        <v>-6.19910763019492</v>
      </c>
      <c r="F55" s="38">
        <v>29.5033541612642</v>
      </c>
      <c r="G55" s="42">
        <v>81.53934908333891</v>
      </c>
      <c r="H55" s="34">
        <v>1362.293417494530</v>
      </c>
      <c r="I55" s="6"/>
      <c r="J55" s="34">
        <v>1.03725448711168</v>
      </c>
      <c r="K55" s="6"/>
      <c r="L55" s="34" cm="1">
        <f t="array" ref="L55">E55*$J55</f>
        <v>-6.43005220550793</v>
      </c>
      <c r="M55" s="34" cm="1">
        <f t="array" ref="M55">F55*$J55</f>
        <v>30.6024864886163</v>
      </c>
      <c r="N55" s="34" cm="1">
        <f t="array" ref="N55">G55*$J55</f>
        <v>84.57705571285889</v>
      </c>
      <c r="O55" s="34" cm="1">
        <f t="array" ref="O55">H55*$J55</f>
        <v>1413.044960058910</v>
      </c>
      <c r="P55" s="6"/>
      <c r="Q55" s="34">
        <v>244.148</v>
      </c>
      <c r="R55" s="34" cm="1">
        <f t="array" ref="R55">Q55/1000</f>
        <v>0.244148</v>
      </c>
      <c r="S55" s="6"/>
      <c r="T55" s="34" cm="1">
        <f t="array" ref="T55">$R55*L55</f>
        <v>-1.56988438587035</v>
      </c>
      <c r="U55" s="34" cm="1">
        <f t="array" ref="U55">$R55*M55</f>
        <v>7.47153587122269</v>
      </c>
      <c r="V55" s="34" cm="1">
        <f t="array" ref="V55">$R55*N55</f>
        <v>20.6493189981831</v>
      </c>
      <c r="W55" s="34" cm="1">
        <f t="array" ref="W55">$R55*O55</f>
        <v>344.992100908463</v>
      </c>
      <c r="X55" s="6"/>
      <c r="Y55" s="34" cm="1">
        <f t="array" ref="Y55">T55-Y$57-Y$3</f>
        <v>-0.10100053948525</v>
      </c>
      <c r="Z55" s="34" cm="1">
        <f t="array" ref="Z55">U55-Z$57-Z$3</f>
        <v>-3.88676759714411</v>
      </c>
      <c r="AA55" s="34" cm="1">
        <f t="array" ref="AA55">V55-AA$57-AA$3</f>
        <v>18.2621896966769</v>
      </c>
      <c r="AB55" s="34" cm="1">
        <f t="array" ref="AB55">W55-AB$57-AB$3</f>
        <v>212.846337980253</v>
      </c>
      <c r="AC55" s="6"/>
      <c r="AD55" s="41">
        <v>2.5692</v>
      </c>
      <c r="AE55" s="35"/>
      <c r="AF55" s="41" cm="1">
        <f t="array" ref="AF55">Y55/$AD55</f>
        <v>-0.0393120580278881</v>
      </c>
      <c r="AG55" s="41" cm="1">
        <f t="array" ref="AG55">Z55/$AD55</f>
        <v>-1.51283185316212</v>
      </c>
      <c r="AH55" s="41" cm="1">
        <f t="array" ref="AH55">AA55/$AD55</f>
        <v>7.10812303311416</v>
      </c>
      <c r="AI55" s="41" cm="1">
        <f t="array" ref="AI55">AB55/$AD55</f>
        <v>82.8453752063884</v>
      </c>
    </row>
    <row r="56" ht="17" customHeight="1">
      <c r="A56" s="6"/>
      <c r="B56" t="s" s="32">
        <v>32</v>
      </c>
      <c r="C56" s="34">
        <v>2</v>
      </c>
      <c r="D56" t="s" s="53">
        <v>117</v>
      </c>
      <c r="E56" s="37">
        <v>-6.00473025715451</v>
      </c>
      <c r="F56" s="38">
        <v>63.9673758731599</v>
      </c>
      <c r="G56" s="39">
        <v>1.83418512794058</v>
      </c>
      <c r="H56" s="40">
        <v>-24.2036501342694</v>
      </c>
      <c r="I56" s="6"/>
      <c r="J56" s="34">
        <v>1.0450204638472</v>
      </c>
      <c r="K56" s="6"/>
      <c r="L56" s="34" cm="1">
        <f t="array" ref="L56">E56*$J56</f>
        <v>-6.27506599860892</v>
      </c>
      <c r="M56" s="34" cm="1">
        <f t="array" ref="M56">F56*$J56</f>
        <v>66.8472168060577</v>
      </c>
      <c r="N56" s="34" cm="1">
        <f t="array" ref="N56">G56*$J56</f>
        <v>1.9167609931821</v>
      </c>
      <c r="O56" s="34" cm="1">
        <f t="array" ref="O56">H56*$J56</f>
        <v>-25.2933096901096</v>
      </c>
      <c r="P56" s="6"/>
      <c r="Q56" s="34">
        <v>245.83</v>
      </c>
      <c r="R56" s="34" cm="1">
        <f t="array" ref="R56">Q56/1000</f>
        <v>0.24583</v>
      </c>
      <c r="S56" s="6"/>
      <c r="T56" s="34" cm="1">
        <f t="array" ref="T56">$R56*L56</f>
        <v>-1.54259947443803</v>
      </c>
      <c r="U56" s="34" cm="1">
        <f t="array" ref="U56">$R56*M56</f>
        <v>16.4330513074332</v>
      </c>
      <c r="V56" s="34" cm="1">
        <f t="array" ref="V56">$R56*N56</f>
        <v>0.471197354953956</v>
      </c>
      <c r="W56" s="34" cm="1">
        <f t="array" ref="W56">$R56*O56</f>
        <v>-6.21785432111964</v>
      </c>
      <c r="X56" s="6"/>
      <c r="Y56" s="34" cm="1">
        <f t="array" ref="Y56">T56-Y$57-Y$3</f>
        <v>-0.07371562805293</v>
      </c>
      <c r="Z56" s="34" cm="1">
        <f t="array" ref="Z56">U56-Z$57-Z$3</f>
        <v>5.0747478390664</v>
      </c>
      <c r="AA56" s="34" cm="1">
        <f t="array" ref="AA56">V56-AA$57-AA$3</f>
        <v>-1.91593194655221</v>
      </c>
      <c r="AB56" s="34" cm="1">
        <f t="array" ref="AB56">W56-AB$57-AB$3</f>
        <v>-138.363617249330</v>
      </c>
      <c r="AC56" s="6"/>
      <c r="AD56" s="41">
        <v>2.2904</v>
      </c>
      <c r="AE56" s="35"/>
      <c r="AF56" s="41" cm="1">
        <f t="array" ref="AF56">Y56/$AD56</f>
        <v>-0.0321846088250655</v>
      </c>
      <c r="AG56" s="41" cm="1">
        <f t="array" ref="AG56">Z56/$AD56</f>
        <v>2.21566007643486</v>
      </c>
      <c r="AH56" s="41" cm="1">
        <f t="array" ref="AH56">AA56/$AD56</f>
        <v>-0.836505390565932</v>
      </c>
      <c r="AI56" s="41" cm="1">
        <f t="array" ref="AI56">AB56/$AD56</f>
        <v>-60.4102415514015</v>
      </c>
    </row>
    <row r="57" ht="17" customHeight="1">
      <c r="A57" s="6"/>
      <c r="B57" t="s" s="32">
        <v>34</v>
      </c>
      <c r="C57" s="34">
        <v>2</v>
      </c>
      <c r="D57" t="s" s="53">
        <v>118</v>
      </c>
      <c r="E57" s="37">
        <v>-0.652088324728091</v>
      </c>
      <c r="F57" s="38">
        <v>56.0425091028351</v>
      </c>
      <c r="G57" s="42">
        <v>1.3874559422593</v>
      </c>
      <c r="H57" s="34">
        <v>-24.9822570380631</v>
      </c>
      <c r="I57" s="6"/>
      <c r="J57" s="34">
        <v>1.03597198268276</v>
      </c>
      <c r="K57" s="6"/>
      <c r="L57" s="34" cm="1">
        <f t="array" ref="L57">E57*$J57</f>
        <v>-0.67554523465284</v>
      </c>
      <c r="M57" s="34" cm="1">
        <f t="array" ref="M57">F57*$J57</f>
        <v>58.0584692697807</v>
      </c>
      <c r="N57" s="34" cm="1">
        <f t="array" ref="N57">G57*$J57</f>
        <v>1.43736548338734</v>
      </c>
      <c r="O57" s="34" cm="1">
        <f t="array" ref="O57">H57*$J57</f>
        <v>-25.8809183556126</v>
      </c>
      <c r="P57" s="6"/>
      <c r="Q57" s="34">
        <v>245.34</v>
      </c>
      <c r="R57" s="34" cm="1">
        <f t="array" ref="R57">Q57/1000</f>
        <v>0.24534</v>
      </c>
      <c r="S57" s="6"/>
      <c r="T57" s="34" cm="1">
        <f t="array" ref="T57">$R57*L57</f>
        <v>-0.165738267869728</v>
      </c>
      <c r="U57" s="34" cm="1">
        <f t="array" ref="U57">$R57*M57</f>
        <v>14.244064850648</v>
      </c>
      <c r="V57" s="34" cm="1">
        <f t="array" ref="V57">$R57*N57</f>
        <v>0.35264324769425</v>
      </c>
      <c r="W57" s="34" cm="1">
        <f t="array" ref="W57">$R57*O57</f>
        <v>-6.349624509366</v>
      </c>
      <c r="X57" s="6"/>
      <c r="Y57" s="34" cm="1">
        <f t="array" ref="Y57">AVERAGE(T57:T59)</f>
        <v>-1.4688838463851</v>
      </c>
      <c r="Z57" s="34" cm="1">
        <f t="array" ref="Z57">AVERAGE(U57:U59)</f>
        <v>11.3583034683668</v>
      </c>
      <c r="AA57" s="34" cm="1">
        <f t="array" ref="AA57">AVERAGE(V57:V59)</f>
        <v>2.38712930150617</v>
      </c>
      <c r="AB57" s="34" cm="1">
        <f t="array" ref="AB57">AVERAGE(W57:W59)</f>
        <v>132.145762928210</v>
      </c>
      <c r="AC57" s="6"/>
      <c r="AD57" s="35"/>
      <c r="AE57" s="35"/>
      <c r="AF57" s="35" cm="1">
        <f t="array" ref="AF57">Y57/$AD57</f>
      </c>
      <c r="AG57" s="35" cm="1">
        <f t="array" ref="AG57">Z57/$AD57</f>
      </c>
      <c r="AH57" s="35" cm="1">
        <f t="array" ref="AH57">AA57/$AD57</f>
      </c>
      <c r="AI57" s="35" cm="1">
        <f t="array" ref="AI57">AB57/$AD57</f>
      </c>
    </row>
    <row r="58" ht="17" customHeight="1">
      <c r="A58" s="6"/>
      <c r="B58" t="s" s="32">
        <v>36</v>
      </c>
      <c r="C58" s="34">
        <v>2</v>
      </c>
      <c r="D58" t="s" s="53">
        <v>119</v>
      </c>
      <c r="E58" s="37">
        <v>-0.752063507345894</v>
      </c>
      <c r="F58" s="38">
        <v>15.6984240086481</v>
      </c>
      <c r="G58" s="39">
        <v>7.82358283640583</v>
      </c>
      <c r="H58" s="40">
        <v>-5.06963328583828</v>
      </c>
      <c r="I58" s="6"/>
      <c r="J58" s="34">
        <v>1.03006812309138</v>
      </c>
      <c r="K58" s="6"/>
      <c r="L58" s="34" cm="1">
        <f t="array" ref="L58">E58*$J58</f>
        <v>-0.774676645457305</v>
      </c>
      <c r="M58" s="34" cm="1">
        <f t="array" ref="M58">F58*$J58</f>
        <v>16.1704461540808</v>
      </c>
      <c r="N58" s="34" cm="1">
        <f t="array" ref="N58">G58*$J58</f>
        <v>8.05882328814649</v>
      </c>
      <c r="O58" s="34" cm="1">
        <f t="array" ref="O58">H58*$J58</f>
        <v>-5.22206764350502</v>
      </c>
      <c r="P58" s="6"/>
      <c r="Q58" s="34">
        <v>243.87</v>
      </c>
      <c r="R58" s="34" cm="1">
        <f t="array" ref="R58">Q58/1000</f>
        <v>0.24387</v>
      </c>
      <c r="S58" s="6"/>
      <c r="T58" s="34" cm="1">
        <f t="array" ref="T58">$R58*L58</f>
        <v>-0.188920393527673</v>
      </c>
      <c r="U58" s="34" cm="1">
        <f t="array" ref="U58">$R58*M58</f>
        <v>3.94348670359568</v>
      </c>
      <c r="V58" s="34" cm="1">
        <f t="array" ref="V58">$R58*N58</f>
        <v>1.96530523528028</v>
      </c>
      <c r="W58" s="34" cm="1">
        <f t="array" ref="W58">$R58*O58</f>
        <v>-1.27350563622157</v>
      </c>
      <c r="X58" s="6"/>
      <c r="Y58" s="6"/>
      <c r="Z58" s="6"/>
      <c r="AA58" s="6"/>
      <c r="AB58" s="6"/>
      <c r="AC58" s="6"/>
      <c r="AD58" s="35"/>
      <c r="AE58" s="35"/>
      <c r="AF58" s="35" cm="1">
        <f t="array" ref="AF58">Y58/$AD58</f>
      </c>
      <c r="AG58" s="35" cm="1">
        <f t="array" ref="AG58">Z58/$AD58</f>
      </c>
      <c r="AH58" s="35" cm="1">
        <f t="array" ref="AH58">AA58/$AD58</f>
      </c>
      <c r="AI58" s="35" cm="1">
        <f t="array" ref="AI58">AB58/$AD58</f>
      </c>
    </row>
    <row r="59" ht="17" customHeight="1">
      <c r="A59" s="6"/>
      <c r="B59" t="s" s="32">
        <v>38</v>
      </c>
      <c r="C59" s="34">
        <v>2</v>
      </c>
      <c r="D59" t="s" s="25">
        <v>120</v>
      </c>
      <c r="E59" s="37">
        <v>-15.7948696136992</v>
      </c>
      <c r="F59" s="38">
        <v>61.9297143716063</v>
      </c>
      <c r="G59" s="42">
        <v>18.8799675747377</v>
      </c>
      <c r="H59" s="34">
        <v>1575.0475940103</v>
      </c>
      <c r="I59" s="6"/>
      <c r="J59" s="34">
        <v>1.03892464389942</v>
      </c>
      <c r="K59" s="6"/>
      <c r="L59" s="34" cm="1">
        <f t="array" ref="L59">E59*$J59</f>
        <v>-16.4096792888502</v>
      </c>
      <c r="M59" s="34" cm="1">
        <f t="array" ref="M59">F59*$J59</f>
        <v>64.3403064503139</v>
      </c>
      <c r="N59" s="34" cm="1">
        <f t="array" ref="N59">G59*$J59</f>
        <v>19.614863589417</v>
      </c>
      <c r="O59" s="34" cm="1">
        <f t="array" ref="O59">H59*$J59</f>
        <v>1636.355760731790</v>
      </c>
      <c r="P59" s="6"/>
      <c r="Q59" s="34">
        <v>246.927</v>
      </c>
      <c r="R59" s="34" cm="1">
        <f t="array" ref="R59">Q59/1000</f>
        <v>0.246927</v>
      </c>
      <c r="S59" s="6"/>
      <c r="T59" s="34" cm="1">
        <f t="array" ref="T59">$R59*L59</f>
        <v>-4.05199287775791</v>
      </c>
      <c r="U59" s="34" cm="1">
        <f t="array" ref="U59">$R59*M59</f>
        <v>15.8873588508567</v>
      </c>
      <c r="V59" s="34" cm="1">
        <f t="array" ref="V59">$R59*N59</f>
        <v>4.84343942154397</v>
      </c>
      <c r="W59" s="34" cm="1">
        <f t="array" ref="W59">$R59*O59</f>
        <v>404.060418930219</v>
      </c>
      <c r="X59" s="6"/>
      <c r="Y59" s="6"/>
      <c r="Z59" s="6"/>
      <c r="AA59" s="6"/>
      <c r="AB59" s="6"/>
      <c r="AC59" s="6"/>
      <c r="AD59" s="35"/>
      <c r="AE59" s="35"/>
      <c r="AF59" s="35" cm="1">
        <f t="array" ref="AF59">Y59/$AD59</f>
      </c>
      <c r="AG59" s="35" cm="1">
        <f t="array" ref="AG59">Z59/$AD59</f>
      </c>
      <c r="AH59" s="35" cm="1">
        <f t="array" ref="AH59">AA59/$AD59</f>
      </c>
      <c r="AI59" s="35" cm="1">
        <f t="array" ref="AI59">AB59/$AD59</f>
      </c>
    </row>
    <row r="60" ht="17" customHeight="1">
      <c r="A60" s="6"/>
      <c r="B60" t="s" s="32">
        <v>40</v>
      </c>
      <c r="C60" s="34">
        <v>2</v>
      </c>
      <c r="D60" t="s" s="32">
        <v>121</v>
      </c>
      <c r="E60" s="37">
        <v>-11.8421344322977</v>
      </c>
      <c r="F60" s="38">
        <v>67.9379109414734</v>
      </c>
      <c r="G60" s="39">
        <v>994.060596958599</v>
      </c>
      <c r="H60" s="40">
        <v>-43.4716875234932</v>
      </c>
      <c r="I60" s="6"/>
      <c r="J60" s="34">
        <v>1.0637305385594</v>
      </c>
      <c r="K60" s="6"/>
      <c r="L60" s="34" cm="1">
        <f t="array" ref="L60">E60*$J60</f>
        <v>-12.5968400373608</v>
      </c>
      <c r="M60" s="34" cm="1">
        <f t="array" ref="M60">F60*$J60</f>
        <v>72.2676305943741</v>
      </c>
      <c r="N60" s="34" cm="1">
        <f t="array" ref="N60">G60*$J60</f>
        <v>1057.412614163450</v>
      </c>
      <c r="O60" s="34" cm="1">
        <f t="array" ref="O60">H60*$J60</f>
        <v>-46.2421615814514</v>
      </c>
      <c r="P60" s="6"/>
      <c r="Q60" s="34">
        <v>243.7514</v>
      </c>
      <c r="R60" s="34" cm="1">
        <f t="array" ref="R60">Q60/1000</f>
        <v>0.2437514</v>
      </c>
      <c r="S60" s="6"/>
      <c r="T60" s="34" cm="1">
        <f t="array" ref="T60">$R60*L60</f>
        <v>-3.07049739468275</v>
      </c>
      <c r="U60" s="34" cm="1">
        <f t="array" ref="U60">$R60*M60</f>
        <v>17.6153361320615</v>
      </c>
      <c r="V60" s="34" cm="1">
        <f t="array" ref="V60">$R60*N60</f>
        <v>257.745805080001</v>
      </c>
      <c r="W60" s="34" cm="1">
        <f t="array" ref="W60">$R60*O60</f>
        <v>-11.271591624505</v>
      </c>
      <c r="X60" s="6"/>
      <c r="Y60" s="34" cm="1">
        <f t="array" ref="Y60">T60-Y$66-Y$3</f>
        <v>-27.1669489251721</v>
      </c>
      <c r="Z60" s="34" cm="1">
        <f t="array" ref="Z60">U60-Z$66-Z$3</f>
        <v>10.6247187166361</v>
      </c>
      <c r="AA60" s="34" cm="1">
        <f t="array" ref="AA60">V60-AA$66-AA$3</f>
        <v>255.519711796642</v>
      </c>
      <c r="AB60" s="34" cm="1">
        <f t="array" ref="AB60">W60-AB$66-AB$3</f>
        <v>-4.6744878199784</v>
      </c>
      <c r="AC60" s="6"/>
      <c r="AD60" s="41">
        <v>4.5326</v>
      </c>
      <c r="AE60" s="35"/>
      <c r="AF60" s="41" cm="1">
        <f t="array" ref="AF60">Y60/$AD60</f>
        <v>-5.99367888743152</v>
      </c>
      <c r="AG60" s="41" cm="1">
        <f t="array" ref="AG60">Z60/$AD60</f>
        <v>2.34406713953053</v>
      </c>
      <c r="AH60" s="41" cm="1">
        <f t="array" ref="AH60">AA60/$AD60</f>
        <v>56.3737615930464</v>
      </c>
      <c r="AI60" s="41" cm="1">
        <f t="array" ref="AI60">AB60/$AD60</f>
        <v>-1.03130384767648</v>
      </c>
    </row>
    <row r="61" ht="17" customHeight="1">
      <c r="A61" s="6"/>
      <c r="B61" t="s" s="32">
        <v>42</v>
      </c>
      <c r="C61" s="34">
        <v>2</v>
      </c>
      <c r="D61" t="s" s="32">
        <v>122</v>
      </c>
      <c r="E61" s="37">
        <v>-8.81154344672283</v>
      </c>
      <c r="F61" s="38">
        <v>168.194531562871</v>
      </c>
      <c r="G61" s="42">
        <v>1626.465010471810</v>
      </c>
      <c r="H61" s="34">
        <v>-35.8412451519202</v>
      </c>
      <c r="I61" s="6"/>
      <c r="J61" s="34">
        <v>1.02914054882296</v>
      </c>
      <c r="K61" s="6"/>
      <c r="L61" s="34" cm="1">
        <f t="array" ref="L61">E61*$J61</f>
        <v>-9.06831665873769</v>
      </c>
      <c r="M61" s="34" cm="1">
        <f t="array" ref="M61">F61*$J61</f>
        <v>173.095812521634</v>
      </c>
      <c r="N61" s="34" cm="1">
        <f t="array" ref="N61">G61*$J61</f>
        <v>1673.8610935183</v>
      </c>
      <c r="O61" s="34" cm="1">
        <f t="array" ref="O61">H61*$J61</f>
        <v>-36.8856787061454</v>
      </c>
      <c r="P61" s="6"/>
      <c r="Q61" s="34">
        <v>245.2186</v>
      </c>
      <c r="R61" s="34" cm="1">
        <f t="array" ref="R61">Q61/1000</f>
        <v>0.2452186</v>
      </c>
      <c r="S61" s="6"/>
      <c r="T61" s="34" cm="1">
        <f t="array" ref="T61">$R61*L61</f>
        <v>-2.22371991541233</v>
      </c>
      <c r="U61" s="34" cm="1">
        <f t="array" ref="U61">$R61*M61</f>
        <v>42.4463128124176</v>
      </c>
      <c r="V61" s="34" cm="1">
        <f t="array" ref="V61">$R61*N61</f>
        <v>410.461873947027</v>
      </c>
      <c r="W61" s="34" cm="1">
        <f t="array" ref="W61">$R61*O61</f>
        <v>-9.04505449237079</v>
      </c>
      <c r="X61" s="6"/>
      <c r="Y61" s="34" cm="1">
        <f t="array" ref="Y61">T61-Y$66-Y$3</f>
        <v>-26.3201714459016</v>
      </c>
      <c r="Z61" s="34" cm="1">
        <f t="array" ref="Z61">U61-Z$66-Z$3</f>
        <v>35.4556953969922</v>
      </c>
      <c r="AA61" s="34" cm="1">
        <f t="array" ref="AA61">V61-AA$66-AA$3</f>
        <v>408.235780663668</v>
      </c>
      <c r="AB61" s="34" cm="1">
        <f t="array" ref="AB61">W61-AB$66-AB$3</f>
        <v>-2.44795068784419</v>
      </c>
      <c r="AC61" s="6"/>
      <c r="AD61" s="41">
        <v>4.6812</v>
      </c>
      <c r="AE61" s="35"/>
      <c r="AF61" s="41" cm="1">
        <f t="array" ref="AF61">Y61/$AD61</f>
        <v>-5.62252658418816</v>
      </c>
      <c r="AG61" s="41" cm="1">
        <f t="array" ref="AG61">Z61/$AD61</f>
        <v>7.57406122297535</v>
      </c>
      <c r="AH61" s="41" cm="1">
        <f t="array" ref="AH61">AA61/$AD61</f>
        <v>87.20750676400669</v>
      </c>
      <c r="AI61" s="41" cm="1">
        <f t="array" ref="AI61">AB61/$AD61</f>
        <v>-0.522932301086087</v>
      </c>
    </row>
    <row r="62" ht="17" customHeight="1">
      <c r="A62" s="6"/>
      <c r="B62" t="s" s="32">
        <v>44</v>
      </c>
      <c r="C62" s="34">
        <v>2</v>
      </c>
      <c r="D62" t="s" s="32">
        <v>123</v>
      </c>
      <c r="E62" s="37">
        <v>211.078043709369</v>
      </c>
      <c r="F62" s="38">
        <v>68.9018265421289</v>
      </c>
      <c r="G62" s="39">
        <v>1198.706046366560</v>
      </c>
      <c r="H62" s="40">
        <v>-39.3208454702969</v>
      </c>
      <c r="I62" s="6"/>
      <c r="J62" s="34">
        <v>1.02744791880676</v>
      </c>
      <c r="K62" s="6"/>
      <c r="L62" s="34" cm="1">
        <f t="array" ref="L62">E62*$J62</f>
        <v>216.871696714993</v>
      </c>
      <c r="M62" s="34" cm="1">
        <f t="array" ref="M62">F62*$J62</f>
        <v>70.7930382826947</v>
      </c>
      <c r="N62" s="34" cm="1">
        <f t="array" ref="N62">G62*$J62</f>
        <v>1231.6080326004</v>
      </c>
      <c r="O62" s="34" cm="1">
        <f t="array" ref="O62">H62*$J62</f>
        <v>-40.4001208441788</v>
      </c>
      <c r="P62" s="6"/>
      <c r="Q62" s="34">
        <v>241.9914</v>
      </c>
      <c r="R62" s="34" cm="1">
        <f t="array" ref="R62">Q62/1000</f>
        <v>0.2419914</v>
      </c>
      <c r="S62" s="6"/>
      <c r="T62" s="34" cm="1">
        <f t="array" ref="T62">$R62*L62</f>
        <v>52.4810855084366</v>
      </c>
      <c r="U62" s="34" cm="1">
        <f t="array" ref="U62">$R62*M62</f>
        <v>17.1313064442829</v>
      </c>
      <c r="V62" s="34" cm="1">
        <f t="array" ref="V62">$R62*N62</f>
        <v>298.038552060216</v>
      </c>
      <c r="W62" s="34" cm="1">
        <f t="array" ref="W62">$R62*O62</f>
        <v>-9.776481803252009</v>
      </c>
      <c r="X62" s="6"/>
      <c r="Y62" s="34" cm="1">
        <f t="array" ref="Y62">T62-Y$66-Y$3</f>
        <v>28.3846339779473</v>
      </c>
      <c r="Z62" s="34" cm="1">
        <f t="array" ref="Z62">U62-Z$66-Z$3</f>
        <v>10.1406890288575</v>
      </c>
      <c r="AA62" s="34" cm="1">
        <f t="array" ref="AA62">V62-AA$66-AA$3</f>
        <v>295.812458776857</v>
      </c>
      <c r="AB62" s="34" cm="1">
        <f t="array" ref="AB62">W62-AB$66-AB$3</f>
        <v>-3.17937799872541</v>
      </c>
      <c r="AC62" s="6"/>
      <c r="AD62" s="41">
        <v>4.4818</v>
      </c>
      <c r="AE62" s="35"/>
      <c r="AF62" s="41" cm="1">
        <f t="array" ref="AF62">Y62/$AD62</f>
        <v>6.33331116469885</v>
      </c>
      <c r="AG62" s="41" cm="1">
        <f t="array" ref="AG62">Z62/$AD62</f>
        <v>2.26263756277779</v>
      </c>
      <c r="AH62" s="41" cm="1">
        <f t="array" ref="AH62">AA62/$AD62</f>
        <v>66.0030476096339</v>
      </c>
      <c r="AI62" s="41" cm="1">
        <f t="array" ref="AI62">AB62/$AD62</f>
        <v>-0.709397563194567</v>
      </c>
    </row>
    <row r="63" ht="17" customHeight="1">
      <c r="A63" s="6"/>
      <c r="B63" t="s" s="32">
        <v>46</v>
      </c>
      <c r="C63" s="34">
        <v>2</v>
      </c>
      <c r="D63" t="s" s="32">
        <v>124</v>
      </c>
      <c r="E63" s="37">
        <v>1.36094994417957</v>
      </c>
      <c r="F63" s="38">
        <v>24.4320398640579</v>
      </c>
      <c r="G63" s="39">
        <v>27.112474950150</v>
      </c>
      <c r="H63" s="40">
        <v>192.745818048925</v>
      </c>
      <c r="I63" s="6"/>
      <c r="J63" s="34">
        <v>1.04005385392124</v>
      </c>
      <c r="K63" s="6"/>
      <c r="L63" s="34" cm="1">
        <f t="array" ref="L63">E63*$J63</f>
        <v>1.41546123443786</v>
      </c>
      <c r="M63" s="34" cm="1">
        <f t="array" ref="M63">F63*$J63</f>
        <v>25.4106372197708</v>
      </c>
      <c r="N63" s="34" cm="1">
        <f t="array" ref="N63">G63*$J63</f>
        <v>28.1984340612466</v>
      </c>
      <c r="O63" s="34" cm="1">
        <f t="array" ref="O63">H63*$J63</f>
        <v>200.466030888987</v>
      </c>
      <c r="P63" s="6"/>
      <c r="Q63" s="34">
        <v>242.7692</v>
      </c>
      <c r="R63" s="34" cm="1">
        <f t="array" ref="R63">Q63/1000</f>
        <v>0.2427692</v>
      </c>
      <c r="S63" s="6"/>
      <c r="T63" s="34" cm="1">
        <f t="array" ref="T63">$R63*L63</f>
        <v>0.343630391515492</v>
      </c>
      <c r="U63" s="34" cm="1">
        <f t="array" ref="U63">$R63*M63</f>
        <v>6.16892006933398</v>
      </c>
      <c r="V63" s="34" cm="1">
        <f t="array" ref="V63">$R63*N63</f>
        <v>6.84571127830159</v>
      </c>
      <c r="W63" s="34" cm="1">
        <f t="array" ref="W63">$R63*O63</f>
        <v>48.6669779460947</v>
      </c>
      <c r="X63" s="6"/>
      <c r="Y63" s="34" cm="1">
        <f t="array" ref="Y63">T63-Y$66-Y$3</f>
        <v>-23.7528211389738</v>
      </c>
      <c r="Z63" s="34" cm="1">
        <f t="array" ref="Z63">U63-Z$66-Z$3</f>
        <v>-0.82169734609142</v>
      </c>
      <c r="AA63" s="34" cm="1">
        <f t="array" ref="AA63">V63-AA$66-AA$3</f>
        <v>4.61961799494236</v>
      </c>
      <c r="AB63" s="34" cm="1">
        <f t="array" ref="AB63">W63-AB$66-AB$3</f>
        <v>55.2640817506213</v>
      </c>
      <c r="AC63" s="6"/>
      <c r="AD63" s="41">
        <v>1.8682</v>
      </c>
      <c r="AE63" s="35"/>
      <c r="AF63" s="41" cm="1">
        <f t="array" ref="AF63">Y63/$AD63</f>
        <v>-12.7142817358815</v>
      </c>
      <c r="AG63" s="41" cm="1">
        <f t="array" ref="AG63">Z63/$AD63</f>
        <v>-0.43983371485463</v>
      </c>
      <c r="AH63" s="41" cm="1">
        <f t="array" ref="AH63">AA63/$AD63</f>
        <v>2.47276415530583</v>
      </c>
      <c r="AI63" s="41" cm="1">
        <f t="array" ref="AI63">AB63/$AD63</f>
        <v>29.5814590250623</v>
      </c>
    </row>
    <row r="64" ht="17" customHeight="1">
      <c r="A64" s="6"/>
      <c r="B64" t="s" s="32">
        <v>48</v>
      </c>
      <c r="C64" s="34">
        <v>2</v>
      </c>
      <c r="D64" t="s" s="32">
        <v>125</v>
      </c>
      <c r="E64" s="37">
        <v>2.37634365561798</v>
      </c>
      <c r="F64" s="38">
        <v>25.6707966817882</v>
      </c>
      <c r="G64" s="42">
        <v>62.2142883000135</v>
      </c>
      <c r="H64" s="34">
        <v>157.442652585742</v>
      </c>
      <c r="I64" s="6"/>
      <c r="J64" s="34">
        <v>1.03622416749391</v>
      </c>
      <c r="K64" s="6"/>
      <c r="L64" s="34" cm="1">
        <f t="array" ref="L64">E64*$J64</f>
        <v>2.46242472622218</v>
      </c>
      <c r="M64" s="34" cm="1">
        <f t="array" ref="M64">F64*$J64</f>
        <v>26.6006999204914</v>
      </c>
      <c r="N64" s="34" cm="1">
        <f t="array" ref="N64">G64*$J64</f>
        <v>64.4679490999076</v>
      </c>
      <c r="O64" s="34" cm="1">
        <f t="array" ref="O64">H64*$J64</f>
        <v>163.145881603693</v>
      </c>
      <c r="P64" s="6"/>
      <c r="Q64" s="34">
        <v>244.5136</v>
      </c>
      <c r="R64" s="34" cm="1">
        <f t="array" ref="R64">Q64/1000</f>
        <v>0.2445136</v>
      </c>
      <c r="S64" s="6"/>
      <c r="T64" s="34" cm="1">
        <f t="array" ref="T64">$R64*L64</f>
        <v>0.6020963345376</v>
      </c>
      <c r="U64" s="34" cm="1">
        <f t="array" ref="U64">$R64*M64</f>
        <v>6.50423290007907</v>
      </c>
      <c r="V64" s="34" cm="1">
        <f t="array" ref="V64">$R64*N64</f>
        <v>15.7632903190352</v>
      </c>
      <c r="W64" s="34" cm="1">
        <f t="array" ref="W64">$R64*O64</f>
        <v>39.8913868360927</v>
      </c>
      <c r="X64" s="6"/>
      <c r="Y64" s="34" cm="1">
        <f t="array" ref="Y64">T64-Y$66-Y$3</f>
        <v>-23.4943551959517</v>
      </c>
      <c r="Z64" s="34" cm="1">
        <f t="array" ref="Z64">U64-Z$66-Z$3</f>
        <v>-0.48638451534633</v>
      </c>
      <c r="AA64" s="34" cm="1">
        <f t="array" ref="AA64">V64-AA$66-AA$3</f>
        <v>13.537197035676</v>
      </c>
      <c r="AB64" s="34" cm="1">
        <f t="array" ref="AB64">W64-AB$66-AB$3</f>
        <v>46.4884906406193</v>
      </c>
      <c r="AC64" s="6"/>
      <c r="AD64" s="41">
        <v>2.1506</v>
      </c>
      <c r="AE64" s="35"/>
      <c r="AF64" s="41" cm="1">
        <f t="array" ref="AF64">Y64/$AD64</f>
        <v>-10.9245583539253</v>
      </c>
      <c r="AG64" s="41" cm="1">
        <f t="array" ref="AG64">Z64/$AD64</f>
        <v>-0.226162240931056</v>
      </c>
      <c r="AH64" s="41" cm="1">
        <f t="array" ref="AH64">AA64/$AD64</f>
        <v>6.29461407778108</v>
      </c>
      <c r="AI64" s="41" cm="1">
        <f t="array" ref="AI64">AB64/$AD64</f>
        <v>21.6165212687712</v>
      </c>
    </row>
    <row r="65" ht="17" customHeight="1">
      <c r="A65" s="6"/>
      <c r="B65" t="s" s="32">
        <v>50</v>
      </c>
      <c r="C65" s="34">
        <v>2</v>
      </c>
      <c r="D65" t="s" s="32">
        <v>126</v>
      </c>
      <c r="E65" s="37">
        <v>1.85136962480278</v>
      </c>
      <c r="F65" s="38">
        <v>37.223178196617</v>
      </c>
      <c r="G65" s="39">
        <v>18.9312800285532</v>
      </c>
      <c r="H65" s="40">
        <v>199.891043805328</v>
      </c>
      <c r="I65" s="6"/>
      <c r="J65" s="34">
        <v>1.03569828744702</v>
      </c>
      <c r="K65" s="6"/>
      <c r="L65" s="34" cm="1">
        <f t="array" ref="L65">E65*$J65</f>
        <v>1.91746034983967</v>
      </c>
      <c r="M65" s="34" cm="1">
        <f t="array" ref="M65">F65*$J65</f>
        <v>38.5519819115715</v>
      </c>
      <c r="N65" s="34" cm="1">
        <f t="array" ref="N65">G65*$J65</f>
        <v>19.6070943047525</v>
      </c>
      <c r="O65" s="34" cm="1">
        <f t="array" ref="O65">H65*$J65</f>
        <v>207.026811745175</v>
      </c>
      <c r="P65" s="6"/>
      <c r="Q65" s="34">
        <v>244.5412</v>
      </c>
      <c r="R65" s="34" cm="1">
        <f t="array" ref="R65">Q65/1000</f>
        <v>0.2445412</v>
      </c>
      <c r="S65" s="6"/>
      <c r="T65" s="34" cm="1">
        <f t="array" ref="T65">$R65*L65</f>
        <v>0.468898054902213</v>
      </c>
      <c r="U65" s="34" cm="1">
        <f t="array" ref="U65">$R65*M65</f>
        <v>9.427547919033991</v>
      </c>
      <c r="V65" s="34" cm="1">
        <f t="array" ref="V65">$R65*N65</f>
        <v>4.79474236979734</v>
      </c>
      <c r="W65" s="34" cm="1">
        <f t="array" ref="W65">$R65*O65</f>
        <v>50.6265849763392</v>
      </c>
      <c r="X65" s="6"/>
      <c r="Y65" s="34" cm="1">
        <f t="array" ref="Y65">T65-Y$66-Y$3</f>
        <v>-23.6275534755871</v>
      </c>
      <c r="Z65" s="34" cm="1">
        <f t="array" ref="Z65">U65-Z$66-Z$3</f>
        <v>2.43693050360859</v>
      </c>
      <c r="AA65" s="34" cm="1">
        <f t="array" ref="AA65">V65-AA$66-AA$3</f>
        <v>2.56864908643811</v>
      </c>
      <c r="AB65" s="34" cm="1">
        <f t="array" ref="AB65">W65-AB$66-AB$3</f>
        <v>57.2236887808658</v>
      </c>
      <c r="AC65" s="6"/>
      <c r="AD65" s="41">
        <v>2.1884</v>
      </c>
      <c r="AE65" s="35"/>
      <c r="AF65" s="41" cm="1">
        <f t="array" ref="AF65">Y65/$AD65</f>
        <v>-10.7967252218914</v>
      </c>
      <c r="AG65" s="41" cm="1">
        <f t="array" ref="AG65">Z65/$AD65</f>
        <v>1.11356721970782</v>
      </c>
      <c r="AH65" s="41" cm="1">
        <f t="array" ref="AH65">AA65/$AD65</f>
        <v>1.17375666534368</v>
      </c>
      <c r="AI65" s="41" cm="1">
        <f t="array" ref="AI65">AB65/$AD65</f>
        <v>26.1486422869977</v>
      </c>
    </row>
    <row r="66" ht="17" customHeight="1">
      <c r="A66" s="6"/>
      <c r="B66" t="s" s="32">
        <v>52</v>
      </c>
      <c r="C66" s="34">
        <v>2</v>
      </c>
      <c r="D66" t="s" s="32">
        <v>127</v>
      </c>
      <c r="E66" s="37">
        <v>279.663328103822</v>
      </c>
      <c r="F66" s="38">
        <v>33.5119068467054</v>
      </c>
      <c r="G66" s="39">
        <v>9.249347492565599</v>
      </c>
      <c r="H66" s="40">
        <v>-23.5727471284105</v>
      </c>
      <c r="I66" s="6"/>
      <c r="J66" s="34">
        <v>1.03765503703043</v>
      </c>
      <c r="K66" s="6"/>
      <c r="L66" s="34" cm="1">
        <f t="array" ref="L66">E66*$J66</f>
        <v>290.194061079625</v>
      </c>
      <c r="M66" s="34" cm="1">
        <f t="array" ref="M66">F66*$J66</f>
        <v>34.7737989399784</v>
      </c>
      <c r="N66" s="34" cm="1">
        <f t="array" ref="N66">G66*$J66</f>
        <v>9.59763201490547</v>
      </c>
      <c r="O66" s="34" cm="1">
        <f t="array" ref="O66">H66*$J66</f>
        <v>-24.4603797944398</v>
      </c>
      <c r="P66" s="6"/>
      <c r="Q66" s="34">
        <v>247.78</v>
      </c>
      <c r="R66" s="34" cm="1">
        <f t="array" ref="R66">Q66/1000</f>
        <v>0.24778</v>
      </c>
      <c r="S66" s="6"/>
      <c r="T66" s="34" cm="1">
        <f t="array" ref="T66">$R66*L66</f>
        <v>71.9042844543095</v>
      </c>
      <c r="U66" s="34" cm="1">
        <f t="array" ref="U66">$R66*M66</f>
        <v>8.61625190134785</v>
      </c>
      <c r="V66" s="34" cm="1">
        <f t="array" ref="V66">$R66*N66</f>
        <v>2.37810126065328</v>
      </c>
      <c r="W66" s="34" cm="1">
        <f t="array" ref="W66">$R66*O66</f>
        <v>-6.06079290546629</v>
      </c>
      <c r="X66" s="6"/>
      <c r="Y66" s="34" cm="1">
        <f t="array" ref="Y66">AVERAGE(T66:T68)</f>
        <v>24.0964515304893</v>
      </c>
      <c r="Z66" s="34" cm="1">
        <f t="array" ref="Z66">AVERAGE(U66:U68)</f>
        <v>6.9906174154254</v>
      </c>
      <c r="AA66" s="34" cm="1">
        <f t="array" ref="AA66">AVERAGE(V66:V68)</f>
        <v>2.22609328335923</v>
      </c>
      <c r="AB66" s="34" cm="1">
        <f t="array" ref="AB66">AVERAGE(W66:W68)</f>
        <v>-6.5971038045266</v>
      </c>
      <c r="AC66" s="6"/>
      <c r="AD66" s="35"/>
      <c r="AE66" s="35"/>
      <c r="AF66" s="35" cm="1">
        <f t="array" ref="AF66">Y66/$AD66</f>
      </c>
      <c r="AG66" s="35"/>
      <c r="AH66" s="35" cm="1">
        <f t="array" ref="AH66">AA66/$AD66</f>
      </c>
      <c r="AI66" s="35" cm="1">
        <f t="array" ref="AI66">AB66/$AD66</f>
      </c>
    </row>
    <row r="67" ht="17" customHeight="1">
      <c r="A67" s="6"/>
      <c r="B67" t="s" s="32">
        <v>54</v>
      </c>
      <c r="C67" s="34">
        <v>2</v>
      </c>
      <c r="D67" t="s" s="32">
        <v>128</v>
      </c>
      <c r="E67" s="37">
        <v>1.112612440716</v>
      </c>
      <c r="F67" s="38">
        <v>20.7515469136314</v>
      </c>
      <c r="G67" s="42">
        <v>5.91647307392032</v>
      </c>
      <c r="H67" s="34">
        <v>-4.41701050839072</v>
      </c>
      <c r="I67" s="6"/>
      <c r="J67" s="34">
        <v>1.02821525961378</v>
      </c>
      <c r="K67" s="6"/>
      <c r="L67" s="34" cm="1">
        <f t="array" ref="L67">E67*$J67</f>
        <v>1.14400508958032</v>
      </c>
      <c r="M67" s="34" cm="1">
        <f t="array" ref="M67">F67*$J67</f>
        <v>21.337057197187</v>
      </c>
      <c r="N67" s="34" cm="1">
        <f t="array" ref="N67">G67*$J67</f>
        <v>6.08340789769892</v>
      </c>
      <c r="O67" s="34" cm="1">
        <f t="array" ref="O67">H67*$J67</f>
        <v>-4.54163760660176</v>
      </c>
      <c r="P67" s="6"/>
      <c r="Q67" s="34">
        <v>247.33</v>
      </c>
      <c r="R67" s="34" cm="1">
        <f t="array" ref="R67">Q67/1000</f>
        <v>0.24733</v>
      </c>
      <c r="S67" s="6"/>
      <c r="T67" s="34" cm="1">
        <f t="array" ref="T67">$R67*L67</f>
        <v>0.282946778805901</v>
      </c>
      <c r="U67" s="34" cm="1">
        <f t="array" ref="U67">$R67*M67</f>
        <v>5.27729435658026</v>
      </c>
      <c r="V67" s="34" cm="1">
        <f t="array" ref="V67">$R67*N67</f>
        <v>1.50460927533787</v>
      </c>
      <c r="W67" s="34" cm="1">
        <f t="array" ref="W67">$R67*O67</f>
        <v>-1.12328322924081</v>
      </c>
      <c r="X67" s="6"/>
      <c r="Y67" s="6"/>
      <c r="Z67" s="6"/>
      <c r="AA67" s="6"/>
      <c r="AB67" s="6"/>
      <c r="AC67" s="6"/>
      <c r="AD67" s="35"/>
      <c r="AE67" s="35"/>
      <c r="AF67" s="35" cm="1">
        <f t="array" ref="AF67">Y67/$AD67</f>
      </c>
      <c r="AG67" s="35" cm="1">
        <f t="array" ref="AG67">Z67/$AD67</f>
      </c>
      <c r="AH67" s="35" cm="1">
        <f t="array" ref="AH67">AA67/$AD67</f>
      </c>
      <c r="AI67" s="35" cm="1">
        <f t="array" ref="AI67">AB67/$AD67</f>
      </c>
    </row>
    <row r="68" ht="17" customHeight="1">
      <c r="A68" s="6"/>
      <c r="B68" t="s" s="32">
        <v>56</v>
      </c>
      <c r="C68" s="34">
        <v>2</v>
      </c>
      <c r="D68" t="s" s="32">
        <v>129</v>
      </c>
      <c r="E68" s="37">
        <v>0.402822085229767</v>
      </c>
      <c r="F68" s="38">
        <v>27.9201352571926</v>
      </c>
      <c r="G68" s="42">
        <v>11.0270272998425</v>
      </c>
      <c r="H68" s="34">
        <v>-49.7288072576702</v>
      </c>
      <c r="I68" s="6"/>
      <c r="J68" s="34">
        <v>1.03081954930552</v>
      </c>
      <c r="K68" s="6"/>
      <c r="L68" s="34" cm="1">
        <f t="array" ref="L68">E68*$J68</f>
        <v>0.415236880346858</v>
      </c>
      <c r="M68" s="34" cm="1">
        <f t="array" ref="M68">F68*$J68</f>
        <v>28.7806212423684</v>
      </c>
      <c r="N68" s="34" cm="1">
        <f t="array" ref="N68">G68*$J68</f>
        <v>11.3668753114033</v>
      </c>
      <c r="O68" s="34" cm="1">
        <f t="array" ref="O68">H68*$J68</f>
        <v>-51.2614266848527</v>
      </c>
      <c r="P68" s="6"/>
      <c r="Q68" s="34">
        <v>245.94</v>
      </c>
      <c r="R68" s="34" cm="1">
        <f t="array" ref="R68">Q68/1000</f>
        <v>0.24594</v>
      </c>
      <c r="S68" s="6"/>
      <c r="T68" s="34" cm="1">
        <f t="array" ref="T68">$R68*L68</f>
        <v>0.102123358352506</v>
      </c>
      <c r="U68" s="34" cm="1">
        <f t="array" ref="U68">$R68*M68</f>
        <v>7.07830598834808</v>
      </c>
      <c r="V68" s="34" cm="1">
        <f t="array" ref="V68">$R68*N68</f>
        <v>2.79556931408653</v>
      </c>
      <c r="W68" s="34" cm="1">
        <f t="array" ref="W68">$R68*O68</f>
        <v>-12.6072352788727</v>
      </c>
      <c r="X68" s="6"/>
      <c r="Y68" s="6"/>
      <c r="Z68" s="6"/>
      <c r="AA68" s="6"/>
      <c r="AB68" s="6"/>
      <c r="AC68" s="6"/>
      <c r="AD68" s="35"/>
      <c r="AE68" s="35"/>
      <c r="AF68" s="35" cm="1">
        <f t="array" ref="AF68">Y68/$AD68</f>
      </c>
      <c r="AG68" s="35" cm="1">
        <f t="array" ref="AG68">Z68/$AD68</f>
      </c>
      <c r="AH68" s="35" cm="1">
        <f t="array" ref="AH68">AA68/$AD68</f>
      </c>
      <c r="AI68" s="35" cm="1">
        <f t="array" ref="AI68">AB68/$AD68</f>
      </c>
    </row>
    <row r="69" ht="17" customHeight="1">
      <c r="A69" s="6"/>
      <c r="B69" t="s" s="32">
        <v>58</v>
      </c>
      <c r="C69" s="34">
        <v>2</v>
      </c>
      <c r="D69" t="s" s="32">
        <v>130</v>
      </c>
      <c r="E69" s="37">
        <v>168.963144379749</v>
      </c>
      <c r="F69" s="38">
        <v>465.714524421193</v>
      </c>
      <c r="G69" s="60">
        <v>19445.7240066157</v>
      </c>
      <c r="H69" s="40">
        <v>13.2857588229325</v>
      </c>
      <c r="I69" s="6"/>
      <c r="J69" s="34">
        <v>1.0414498438876</v>
      </c>
      <c r="K69" s="6"/>
      <c r="L69" s="34" cm="1">
        <f t="array" ref="L69">E69*$J69</f>
        <v>175.966640337048</v>
      </c>
      <c r="M69" s="34" cm="1">
        <f t="array" ref="M69">F69*$J69</f>
        <v>485.018318754639</v>
      </c>
      <c r="N69" s="34" cm="1">
        <f t="array" ref="N69">G69*$J69</f>
        <v>20251.7462309713</v>
      </c>
      <c r="O69" s="34" cm="1">
        <f t="array" ref="O69">H69*$J69</f>
        <v>13.8364514520714</v>
      </c>
      <c r="P69" s="6"/>
      <c r="Q69" s="34">
        <v>246.7138</v>
      </c>
      <c r="R69" s="34" cm="1">
        <f t="array" ref="R69">Q69/1000</f>
        <v>0.2467138</v>
      </c>
      <c r="S69" s="6"/>
      <c r="T69" s="34" cm="1">
        <f t="array" ref="T69">$R69*L69</f>
        <v>43.4133985107864</v>
      </c>
      <c r="U69" s="34" cm="1">
        <f t="array" ref="U69">$R69*M69</f>
        <v>119.660712489568</v>
      </c>
      <c r="V69" s="34" cm="1">
        <f t="array" ref="V69">$R69*N69</f>
        <v>4996.385269278610</v>
      </c>
      <c r="W69" s="34" cm="1">
        <f t="array" ref="W69">$R69*O69</f>
        <v>3.41364351625605</v>
      </c>
      <c r="X69" s="6"/>
      <c r="Y69" s="34" cm="1">
        <f t="array" ref="Y69">T69-Y$75-Y$3</f>
        <v>43.3508145286086</v>
      </c>
      <c r="Z69" s="34" cm="1">
        <f t="array" ref="Z69">U69-Z$75-Z$3</f>
        <v>118.410920145363</v>
      </c>
      <c r="AA69" s="34" cm="1">
        <f t="array" ref="AA69">V69-AA$75-AA$3</f>
        <v>4995.021108983890</v>
      </c>
      <c r="AB69" s="34" cm="1">
        <f t="array" ref="AB69">W69-AB$75-AB$3</f>
        <v>3.26198152236702</v>
      </c>
      <c r="AC69" s="6"/>
      <c r="AD69" s="41">
        <v>3.9574</v>
      </c>
      <c r="AE69" s="35"/>
      <c r="AF69" s="41" cm="1">
        <f t="array" ref="AF69">Y69/$AD69</f>
        <v>10.9543676475991</v>
      </c>
      <c r="AG69" s="41" cm="1">
        <f t="array" ref="AG69">Z69/$AD69</f>
        <v>29.9213928704106</v>
      </c>
      <c r="AH69" s="41" cm="1">
        <f t="array" ref="AH69">AA69/$AD69</f>
        <v>1262.197682565290</v>
      </c>
      <c r="AI69" s="41" cm="1">
        <f t="array" ref="AI69">AB69/$AD69</f>
        <v>0.8242738976012079</v>
      </c>
    </row>
    <row r="70" ht="17" customHeight="1">
      <c r="A70" s="6"/>
      <c r="B70" t="s" s="32">
        <v>60</v>
      </c>
      <c r="C70" s="34">
        <v>2</v>
      </c>
      <c r="D70" t="s" s="32">
        <v>131</v>
      </c>
      <c r="E70" s="37">
        <v>460.052301466688</v>
      </c>
      <c r="F70" s="38">
        <v>378.196286175312</v>
      </c>
      <c r="G70" s="42">
        <v>23163.58023642</v>
      </c>
      <c r="H70" s="34">
        <v>-2.15461385396014</v>
      </c>
      <c r="I70" s="6"/>
      <c r="J70" s="34">
        <v>1.03499215838378</v>
      </c>
      <c r="K70" s="6"/>
      <c r="L70" s="34" cm="1">
        <f t="array" ref="L70">E70*$J70</f>
        <v>476.150524464433</v>
      </c>
      <c r="M70" s="34" cm="1">
        <f t="array" ref="M70">F70*$J70</f>
        <v>391.430190521316</v>
      </c>
      <c r="N70" s="34" cm="1">
        <f t="array" ref="N70">G70*$J70</f>
        <v>23974.1239047882</v>
      </c>
      <c r="O70" s="34" cm="1">
        <f t="array" ref="O70">H70*$J70</f>
        <v>-2.2300084431938</v>
      </c>
      <c r="P70" s="6"/>
      <c r="Q70" s="34">
        <v>247.3244</v>
      </c>
      <c r="R70" s="34" cm="1">
        <f t="array" ref="R70">Q70/1000</f>
        <v>0.2473244</v>
      </c>
      <c r="S70" s="6"/>
      <c r="T70" s="34" cm="1">
        <f t="array" ref="T70">$R70*L70</f>
        <v>117.763642772851</v>
      </c>
      <c r="U70" s="34" cm="1">
        <f t="array" ref="U70">$R70*M70</f>
        <v>96.8102370125702</v>
      </c>
      <c r="V70" s="34" cm="1">
        <f t="array" ref="V70">$R70*N70</f>
        <v>5929.3858102774</v>
      </c>
      <c r="W70" s="34" cm="1">
        <f t="array" ref="W70">$R70*O70</f>
        <v>-0.551535500207841</v>
      </c>
      <c r="X70" s="6"/>
      <c r="Y70" s="34" cm="1">
        <f t="array" ref="Y70">T70-Y$75-Y$3</f>
        <v>117.701058790673</v>
      </c>
      <c r="Z70" s="34" cm="1">
        <f t="array" ref="Z70">U70-Z$75-Z$3</f>
        <v>95.5604446683648</v>
      </c>
      <c r="AA70" s="34" cm="1">
        <f t="array" ref="AA70">V70-AA$75-AA$3</f>
        <v>5928.021649982680</v>
      </c>
      <c r="AB70" s="34" cm="1">
        <f t="array" ref="AB70">W70-AB$75-AB$3</f>
        <v>-0.703197494096871</v>
      </c>
      <c r="AC70" s="6"/>
      <c r="AD70" s="41">
        <v>4.3856</v>
      </c>
      <c r="AE70" s="35"/>
      <c r="AF70" s="41" cm="1">
        <f t="array" ref="AF70">Y70/$AD70</f>
        <v>26.8380743320579</v>
      </c>
      <c r="AG70" s="41" cm="1">
        <f t="array" ref="AG70">Z70/$AD70</f>
        <v>21.7895942786312</v>
      </c>
      <c r="AH70" s="41" cm="1">
        <f t="array" ref="AH70">AA70/$AD70</f>
        <v>1351.701397752340</v>
      </c>
      <c r="AI70" s="41" cm="1">
        <f t="array" ref="AI70">AB70/$AD70</f>
        <v>-0.160342369139199</v>
      </c>
    </row>
    <row r="71" ht="17" customHeight="1">
      <c r="A71" s="6"/>
      <c r="B71" t="s" s="32">
        <v>62</v>
      </c>
      <c r="C71" s="34">
        <v>2</v>
      </c>
      <c r="D71" t="s" s="32">
        <v>132</v>
      </c>
      <c r="E71" s="37">
        <v>269.398598619443</v>
      </c>
      <c r="F71" s="38">
        <v>312.769140671021</v>
      </c>
      <c r="G71" s="39">
        <v>22525.8457599303</v>
      </c>
      <c r="H71" s="40">
        <v>-7.56132114257663</v>
      </c>
      <c r="I71" s="6"/>
      <c r="J71" s="34">
        <v>1.03885726998016</v>
      </c>
      <c r="K71" s="6"/>
      <c r="L71" s="34" cm="1">
        <f t="array" ref="L71">E71*$J71</f>
        <v>279.866692698275</v>
      </c>
      <c r="M71" s="34" cm="1">
        <f t="array" ref="M71">F71*$J71</f>
        <v>324.922495611538</v>
      </c>
      <c r="N71" s="34" cm="1">
        <f t="array" ref="N71">G71*$J71</f>
        <v>23401.1386301554</v>
      </c>
      <c r="O71" s="34" cm="1">
        <f t="array" ref="O71">H71*$J71</f>
        <v>-7.85513343962042</v>
      </c>
      <c r="P71" s="6"/>
      <c r="Q71" s="34">
        <v>248.1498</v>
      </c>
      <c r="R71" s="34" cm="1">
        <f t="array" ref="R71">Q71/1000</f>
        <v>0.2481498</v>
      </c>
      <c r="S71" s="6"/>
      <c r="T71" s="34" cm="1">
        <f t="array" ref="T71">$R71*L71</f>
        <v>69.44886381973841</v>
      </c>
      <c r="U71" s="34" cm="1">
        <f t="array" ref="U71">$R71*M71</f>
        <v>80.629452301504</v>
      </c>
      <c r="V71" s="34" cm="1">
        <f t="array" ref="V71">$R71*N71</f>
        <v>5806.987870845340</v>
      </c>
      <c r="W71" s="34" cm="1">
        <f t="array" ref="W71">$R71*O71</f>
        <v>-1.94924979201512</v>
      </c>
      <c r="X71" s="6"/>
      <c r="Y71" s="34" cm="1">
        <f t="array" ref="Y71">T71-Y$75-Y$3</f>
        <v>69.38627983756059</v>
      </c>
      <c r="Z71" s="34" cm="1">
        <f t="array" ref="Z71">U71-Z$75-Z$3</f>
        <v>79.3796599572986</v>
      </c>
      <c r="AA71" s="34" cm="1">
        <f t="array" ref="AA71">V71-AA$75-AA$3</f>
        <v>5805.623710550620</v>
      </c>
      <c r="AB71" s="34" cm="1">
        <f t="array" ref="AB71">W71-AB$75-AB$3</f>
        <v>-2.10091178590415</v>
      </c>
      <c r="AC71" s="6"/>
      <c r="AD71" s="41">
        <v>4.994</v>
      </c>
      <c r="AE71" s="35"/>
      <c r="AF71" s="41" cm="1">
        <f t="array" ref="AF71">Y71/$AD71</f>
        <v>13.8939286819304</v>
      </c>
      <c r="AG71" s="41" cm="1">
        <f t="array" ref="AG71">Z71/$AD71</f>
        <v>15.8950059986581</v>
      </c>
      <c r="AH71" s="41" cm="1">
        <f t="array" ref="AH71">AA71/$AD71</f>
        <v>1162.519765829120</v>
      </c>
      <c r="AI71" s="41" cm="1">
        <f t="array" ref="AI71">AB71/$AD71</f>
        <v>-0.420687181798989</v>
      </c>
    </row>
    <row r="72" ht="17" customHeight="1">
      <c r="A72" s="6"/>
      <c r="B72" t="s" s="32">
        <v>64</v>
      </c>
      <c r="C72" s="34">
        <v>2</v>
      </c>
      <c r="D72" t="s" s="32">
        <v>133</v>
      </c>
      <c r="E72" s="37">
        <v>0.787787496091974</v>
      </c>
      <c r="F72" s="38">
        <v>2.77579281245611</v>
      </c>
      <c r="G72" s="39">
        <v>8.40731026516778</v>
      </c>
      <c r="H72" s="40">
        <v>1335.419308548160</v>
      </c>
      <c r="I72" s="6"/>
      <c r="J72" s="34">
        <v>1.03519940086126</v>
      </c>
      <c r="K72" s="6"/>
      <c r="L72" s="34" cm="1">
        <f t="array" ref="L72">E72*$J72</f>
        <v>0.815517143960404</v>
      </c>
      <c r="M72" s="34" cm="1">
        <f t="array" ref="M72">F72*$J72</f>
        <v>2.87349905636956</v>
      </c>
      <c r="N72" s="34" cm="1">
        <f t="array" ref="N72">G72*$J72</f>
        <v>8.703242549356411</v>
      </c>
      <c r="O72" s="34" cm="1">
        <f t="array" ref="O72">H72*$J72</f>
        <v>1382.425268107610</v>
      </c>
      <c r="P72" s="6"/>
      <c r="Q72" s="34">
        <v>247.1028</v>
      </c>
      <c r="R72" s="34" cm="1">
        <f t="array" ref="R72">Q72/1000</f>
        <v>0.2471028</v>
      </c>
      <c r="S72" s="6"/>
      <c r="T72" s="34" cm="1">
        <f t="array" ref="T72">$R72*L72</f>
        <v>0.201516569720619</v>
      </c>
      <c r="U72" s="34" cm="1">
        <f t="array" ref="U72">$R72*M72</f>
        <v>0.710049662626276</v>
      </c>
      <c r="V72" s="34" cm="1">
        <f t="array" ref="V72">$R72*N72</f>
        <v>2.15059560302511</v>
      </c>
      <c r="W72" s="34" cm="1">
        <f t="array" ref="W72">$R72*O72</f>
        <v>341.601154540141</v>
      </c>
      <c r="X72" s="6"/>
      <c r="Y72" s="34" cm="1">
        <f t="array" ref="Y72">T72-Y$75-Y$3</f>
        <v>0.138932587542774</v>
      </c>
      <c r="Z72" s="34" cm="1">
        <f t="array" ref="Z72">U72-Z$75-Z$3</f>
        <v>-0.539742681579084</v>
      </c>
      <c r="AA72" s="34" cm="1">
        <f t="array" ref="AA72">V72-AA$75-AA$3</f>
        <v>0.78643530830232</v>
      </c>
      <c r="AB72" s="34" cm="1">
        <f t="array" ref="AB72">W72-AB$75-AB$3</f>
        <v>341.449492546252</v>
      </c>
      <c r="AC72" s="6"/>
      <c r="AD72" s="41">
        <v>2.613</v>
      </c>
      <c r="AE72" s="35"/>
      <c r="AF72" s="41" cm="1">
        <f t="array" ref="AF72">Y72/$AD72</f>
        <v>0.0531697617844524</v>
      </c>
      <c r="AG72" s="41" cm="1">
        <f t="array" ref="AG72">Z72/$AD72</f>
        <v>-0.206560536386944</v>
      </c>
      <c r="AH72" s="41" cm="1">
        <f t="array" ref="AH72">AA72/$AD72</f>
        <v>0.300970267241607</v>
      </c>
      <c r="AI72" s="41" cm="1">
        <f t="array" ref="AI72">AB72/$AD72</f>
        <v>130.673361096920</v>
      </c>
    </row>
    <row r="73" ht="17" customHeight="1">
      <c r="A73" s="6"/>
      <c r="B73" t="s" s="32">
        <v>66</v>
      </c>
      <c r="C73" s="34">
        <v>2</v>
      </c>
      <c r="D73" t="s" s="32">
        <v>134</v>
      </c>
      <c r="E73" s="37">
        <v>1.06013388096433</v>
      </c>
      <c r="F73" s="38">
        <v>5.78502309248418</v>
      </c>
      <c r="G73" s="42">
        <v>14.0745429445145</v>
      </c>
      <c r="H73" s="34">
        <v>1403.057851192280</v>
      </c>
      <c r="I73" s="6"/>
      <c r="J73" s="34">
        <v>1.04639627776315</v>
      </c>
      <c r="K73" s="6"/>
      <c r="L73" s="34" cm="1">
        <f t="array" ref="L73">E73*$J73</f>
        <v>1.10932014697168</v>
      </c>
      <c r="M73" s="34" cm="1">
        <f t="array" ref="M73">F73*$J73</f>
        <v>6.05342663074931</v>
      </c>
      <c r="N73" s="34" cm="1">
        <f t="array" ref="N73">G73*$J73</f>
        <v>14.7275493483576</v>
      </c>
      <c r="O73" s="34" cm="1">
        <f t="array" ref="O73">H73*$J73</f>
        <v>1468.154512973970</v>
      </c>
      <c r="P73" s="6"/>
      <c r="Q73" s="34">
        <v>246.5996</v>
      </c>
      <c r="R73" s="34" cm="1">
        <f t="array" ref="R73">Q73/1000</f>
        <v>0.2465996</v>
      </c>
      <c r="S73" s="6"/>
      <c r="T73" s="34" cm="1">
        <f t="array" ref="T73">$R73*L73</f>
        <v>0.273557904515157</v>
      </c>
      <c r="U73" s="34" cm="1">
        <f t="array" ref="U73">$R73*M73</f>
        <v>1.49277258577213</v>
      </c>
      <c r="V73" s="34" cm="1">
        <f t="array" ref="V73">$R73*N73</f>
        <v>3.63180777828524</v>
      </c>
      <c r="W73" s="34" cm="1">
        <f t="array" ref="W73">$R73*O73</f>
        <v>362.046315637576</v>
      </c>
      <c r="X73" s="6"/>
      <c r="Y73" s="34" cm="1">
        <f t="array" ref="Y73">T73-Y$75-Y$3</f>
        <v>0.210973922337312</v>
      </c>
      <c r="Z73" s="34" cm="1">
        <f t="array" ref="Z73">U73-Z$75-Z$3</f>
        <v>0.24298024156677</v>
      </c>
      <c r="AA73" s="34" cm="1">
        <f t="array" ref="AA73">V73-AA$75-AA$3</f>
        <v>2.26764748356245</v>
      </c>
      <c r="AB73" s="34" cm="1">
        <f t="array" ref="AB73">W73-AB$75-AB$3</f>
        <v>361.894653643687</v>
      </c>
      <c r="AC73" s="6"/>
      <c r="AD73" s="41">
        <v>2.896</v>
      </c>
      <c r="AE73" s="35"/>
      <c r="AF73" s="41" cm="1">
        <f t="array" ref="AF73">Y73/$AD73</f>
        <v>0.0728501113043204</v>
      </c>
      <c r="AG73" s="41" cm="1">
        <f t="array" ref="AG73">Z73/$AD73</f>
        <v>0.0839020171155974</v>
      </c>
      <c r="AH73" s="41" cm="1">
        <f t="array" ref="AH73">AA73/$AD73</f>
        <v>0.783027445981509</v>
      </c>
      <c r="AI73" s="41" cm="1">
        <f t="array" ref="AI73">AB73/$AD73</f>
        <v>124.963623495748</v>
      </c>
    </row>
    <row r="74" ht="17" customHeight="1">
      <c r="A74" s="6"/>
      <c r="B74" t="s" s="32">
        <v>68</v>
      </c>
      <c r="C74" s="34">
        <v>2</v>
      </c>
      <c r="D74" t="s" s="32">
        <v>135</v>
      </c>
      <c r="E74" s="37">
        <v>1.3421717323139</v>
      </c>
      <c r="F74" s="38">
        <v>3.61969515416308</v>
      </c>
      <c r="G74" s="39">
        <v>7.38948421845097</v>
      </c>
      <c r="H74" s="40">
        <v>1454.972784671340</v>
      </c>
      <c r="I74" s="6"/>
      <c r="J74" s="34">
        <v>1.03615883139595</v>
      </c>
      <c r="K74" s="6"/>
      <c r="L74" s="34" cm="1">
        <f t="array" ref="L74">E74*$J74</f>
        <v>1.39070309368705</v>
      </c>
      <c r="M74" s="34" cm="1">
        <f t="array" ref="M74">F74*$J74</f>
        <v>3.7505791009472</v>
      </c>
      <c r="N74" s="34" cm="1">
        <f t="array" ref="N74">G74*$J74</f>
        <v>7.65667933240897</v>
      </c>
      <c r="O74" s="34" cm="1">
        <f t="array" ref="O74">H74*$J74</f>
        <v>1507.582900277970</v>
      </c>
      <c r="P74" s="6"/>
      <c r="Q74" s="34">
        <v>247.104</v>
      </c>
      <c r="R74" s="34" cm="1">
        <f t="array" ref="R74">Q74/1000</f>
        <v>0.247104</v>
      </c>
      <c r="S74" s="6"/>
      <c r="T74" s="34" cm="1">
        <f t="array" ref="T74">$R74*L74</f>
        <v>0.343648297262445</v>
      </c>
      <c r="U74" s="34" cm="1">
        <f t="array" ref="U74">$R74*M74</f>
        <v>0.926783098160457</v>
      </c>
      <c r="V74" s="34" cm="1">
        <f t="array" ref="V74">$R74*N74</f>
        <v>1.89199608975559</v>
      </c>
      <c r="W74" s="34" cm="1">
        <f t="array" ref="W74">$R74*O74</f>
        <v>372.529764990287</v>
      </c>
      <c r="X74" s="6"/>
      <c r="Y74" s="34" cm="1">
        <f t="array" ref="Y74">T74-Y$75-Y$3</f>
        <v>0.2810643150846</v>
      </c>
      <c r="Z74" s="34" cm="1">
        <f t="array" ref="Z74">U74-Z$75-Z$3</f>
        <v>-0.323009246044903</v>
      </c>
      <c r="AA74" s="34" cm="1">
        <f t="array" ref="AA74">V74-AA$75-AA$3</f>
        <v>0.5278357950328</v>
      </c>
      <c r="AB74" s="34" cm="1">
        <f t="array" ref="AB74">W74-AB$75-AB$3</f>
        <v>372.378102996398</v>
      </c>
      <c r="AC74" s="6"/>
      <c r="AD74" s="41">
        <v>2.6178</v>
      </c>
      <c r="AE74" s="35"/>
      <c r="AF74" s="41" cm="1">
        <f t="array" ref="AF74">Y74/$AD74</f>
        <v>0.107366611308962</v>
      </c>
      <c r="AG74" s="41" cm="1">
        <f t="array" ref="AG74">Z74/$AD74</f>
        <v>-0.123389581344985</v>
      </c>
      <c r="AH74" s="41" cm="1">
        <f t="array" ref="AH74">AA74/$AD74</f>
        <v>0.201633354355871</v>
      </c>
      <c r="AI74" s="41" cm="1">
        <f t="array" ref="AI74">AB74/$AD74</f>
        <v>142.248492244021</v>
      </c>
    </row>
    <row r="75" ht="17" customHeight="1">
      <c r="A75" s="6"/>
      <c r="B75" t="s" s="32">
        <v>70</v>
      </c>
      <c r="C75" s="34">
        <v>2</v>
      </c>
      <c r="D75" t="s" s="32">
        <v>136</v>
      </c>
      <c r="E75" s="37">
        <v>0.27465190660732</v>
      </c>
      <c r="F75" s="38">
        <v>3.48382917552927</v>
      </c>
      <c r="G75" s="42">
        <v>4.36038910557913</v>
      </c>
      <c r="H75" s="34">
        <v>0.539729694454623</v>
      </c>
      <c r="I75" s="6"/>
      <c r="J75" s="34">
        <v>1.0314807675198</v>
      </c>
      <c r="K75" s="6"/>
      <c r="L75" s="34" cm="1">
        <f t="array" ref="L75">E75*$J75</f>
        <v>0.283298159428095</v>
      </c>
      <c r="M75" s="34" cm="1">
        <f t="array" ref="M75">F75*$J75</f>
        <v>3.5935027918828</v>
      </c>
      <c r="N75" s="34" cm="1">
        <f t="array" ref="N75">G75*$J75</f>
        <v>4.49765750130774</v>
      </c>
      <c r="O75" s="34" cm="1">
        <f t="array" ref="O75">H75*$J75</f>
        <v>0.556720799489282</v>
      </c>
      <c r="P75" s="6"/>
      <c r="Q75" s="34">
        <v>246.95</v>
      </c>
      <c r="R75" s="34" cm="1">
        <f t="array" ref="R75">Q75/1000</f>
        <v>0.24695</v>
      </c>
      <c r="S75" s="6"/>
      <c r="T75" s="34" cm="1">
        <f t="array" ref="T75">$R75*L75</f>
        <v>0.0699604804707681</v>
      </c>
      <c r="U75" s="34" cm="1">
        <f t="array" ref="U75">$R75*M75</f>
        <v>0.887415514455457</v>
      </c>
      <c r="V75" s="34" cm="1">
        <f t="array" ref="V75">$R75*N75</f>
        <v>1.11069651994795</v>
      </c>
      <c r="W75" s="34" cm="1">
        <f t="array" ref="W75">$R75*O75</f>
        <v>0.137482201433878</v>
      </c>
      <c r="X75" s="6"/>
      <c r="Y75" s="34" cm="1">
        <f t="array" ref="Y75">AVERAGE(T75:T77)</f>
        <v>0.0625839821778454</v>
      </c>
      <c r="Z75" s="34" cm="1">
        <f t="array" ref="Z75">AVERAGE(U75:U77)</f>
        <v>1.24979234420536</v>
      </c>
      <c r="AA75" s="34" cm="1">
        <f t="array" ref="AA75">AVERAGE(V75:V77)</f>
        <v>1.36416029472279</v>
      </c>
      <c r="AB75" s="34" cm="1">
        <f t="array" ref="AB75">AVERAGE(W75:W77)</f>
        <v>0.15166199388903</v>
      </c>
      <c r="AC75" s="6"/>
      <c r="AD75" s="35"/>
      <c r="AE75" s="35"/>
      <c r="AF75" s="35" cm="1">
        <f t="array" ref="AF75">Y75/$AD75</f>
      </c>
      <c r="AG75" s="35"/>
      <c r="AH75" s="35" cm="1">
        <f t="array" ref="AH75">AA75/$AD75</f>
      </c>
      <c r="AI75" s="35" cm="1">
        <f t="array" ref="AI75">AB75/$AD75</f>
      </c>
    </row>
    <row r="76" ht="17" customHeight="1">
      <c r="A76" s="6"/>
      <c r="B76" t="s" s="32">
        <v>72</v>
      </c>
      <c r="C76" s="34">
        <v>2</v>
      </c>
      <c r="D76" t="s" s="32">
        <v>137</v>
      </c>
      <c r="E76" s="37">
        <v>0.174885896702384</v>
      </c>
      <c r="F76" s="38">
        <v>7.59072614904056</v>
      </c>
      <c r="G76" s="39">
        <v>6.04682843055321</v>
      </c>
      <c r="H76" s="40">
        <v>0.605314921035658</v>
      </c>
      <c r="I76" s="6"/>
      <c r="J76" s="34">
        <v>1.02968975567238</v>
      </c>
      <c r="K76" s="6"/>
      <c r="L76" s="34" cm="1">
        <f t="array" ref="L76">E76*$J76</f>
        <v>0.180078216246023</v>
      </c>
      <c r="M76" s="34" cm="1">
        <f t="array" ref="M76">F76*$J76</f>
        <v>7.81609295378152</v>
      </c>
      <c r="N76" s="34" cm="1">
        <f t="array" ref="N76">G76*$J76</f>
        <v>6.22635728924914</v>
      </c>
      <c r="O76" s="34" cm="1">
        <f t="array" ref="O76">H76*$J76</f>
        <v>0.623286573146053</v>
      </c>
      <c r="P76" s="6"/>
      <c r="Q76" s="34">
        <v>246.67</v>
      </c>
      <c r="R76" s="34" cm="1">
        <f t="array" ref="R76">Q76/1000</f>
        <v>0.24667</v>
      </c>
      <c r="S76" s="6"/>
      <c r="T76" s="34" cm="1">
        <f t="array" ref="T76">$R76*L76</f>
        <v>0.0444198936014065</v>
      </c>
      <c r="U76" s="34" cm="1">
        <f t="array" ref="U76">$R76*M76</f>
        <v>1.92799564890929</v>
      </c>
      <c r="V76" s="34" cm="1">
        <f t="array" ref="V76">$R76*N76</f>
        <v>1.53585555253909</v>
      </c>
      <c r="W76" s="34" cm="1">
        <f t="array" ref="W76">$R76*O76</f>
        <v>0.153746098997937</v>
      </c>
      <c r="X76" s="6"/>
      <c r="Y76" s="6"/>
      <c r="Z76" s="6"/>
      <c r="AA76" s="6"/>
      <c r="AB76" s="6"/>
      <c r="AC76" s="6"/>
      <c r="AD76" s="35"/>
      <c r="AE76" s="35"/>
      <c r="AF76" s="35" cm="1">
        <f t="array" ref="AF76">Y76/$AD76</f>
      </c>
      <c r="AG76" s="35" cm="1">
        <f t="array" ref="AG76">Z76/$AD76</f>
      </c>
      <c r="AH76" s="35" cm="1">
        <f t="array" ref="AH76">AA76/$AD76</f>
      </c>
      <c r="AI76" s="35" cm="1">
        <f t="array" ref="AI76">AB76/$AD76</f>
      </c>
    </row>
    <row r="77" ht="17" customHeight="1">
      <c r="A77" s="6"/>
      <c r="B77" t="s" s="8">
        <v>74</v>
      </c>
      <c r="C77" s="44">
        <v>2</v>
      </c>
      <c r="D77" t="s" s="8">
        <v>138</v>
      </c>
      <c r="E77" s="37">
        <v>0.28670083365125</v>
      </c>
      <c r="F77" s="38">
        <v>3.6494896365644</v>
      </c>
      <c r="G77" s="42">
        <v>5.64999470234478</v>
      </c>
      <c r="H77" s="34">
        <v>0.639886295903958</v>
      </c>
      <c r="I77" s="6"/>
      <c r="J77" s="34">
        <v>1.02934938377759</v>
      </c>
      <c r="K77" s="6"/>
      <c r="L77" s="34" cm="1">
        <f t="array" ref="L77">E77*$J77</f>
        <v>0.295115326447436</v>
      </c>
      <c r="M77" s="34" cm="1">
        <f t="array" ref="M77">F77*$J77</f>
        <v>3.75659990850027</v>
      </c>
      <c r="N77" s="34" cm="1">
        <f t="array" ref="N77">G77*$J77</f>
        <v>5.81581856520525</v>
      </c>
      <c r="O77" s="34" cm="1">
        <f t="array" ref="O77">H77*$J77</f>
        <v>0.658666564376464</v>
      </c>
      <c r="P77" s="6"/>
      <c r="Q77" s="34">
        <v>248.62</v>
      </c>
      <c r="R77" s="34" cm="1">
        <f t="array" ref="R77">Q77/1000</f>
        <v>0.24862</v>
      </c>
      <c r="S77" s="6"/>
      <c r="T77" s="34" cm="1">
        <f t="array" ref="T77">$R77*L77</f>
        <v>0.0733715724613615</v>
      </c>
      <c r="U77" s="34" cm="1">
        <f t="array" ref="U77">$R77*M77</f>
        <v>0.933965869251337</v>
      </c>
      <c r="V77" s="34" cm="1">
        <f t="array" ref="V77">$R77*N77</f>
        <v>1.44592881168133</v>
      </c>
      <c r="W77" s="34" cm="1">
        <f t="array" ref="W77">$R77*O77</f>
        <v>0.163757681235276</v>
      </c>
      <c r="X77" s="6"/>
      <c r="Y77" s="6"/>
      <c r="Z77" s="6"/>
      <c r="AA77" s="6"/>
      <c r="AB77" s="6"/>
      <c r="AC77" s="6"/>
      <c r="AD77" s="35"/>
      <c r="AE77" s="35"/>
      <c r="AF77" s="35" cm="1">
        <f t="array" ref="AF77">Y77/$AD77</f>
      </c>
      <c r="AG77" s="35" cm="1">
        <f t="array" ref="AG77">Z77/$AD77</f>
      </c>
      <c r="AH77" s="35" cm="1">
        <f t="array" ref="AH77">AA77/$AD77</f>
      </c>
      <c r="AI77" s="35" cm="1">
        <f t="array" ref="AI77">AB77/$AD77</f>
      </c>
    </row>
    <row r="78" ht="17" customHeight="1">
      <c r="A78" s="6"/>
      <c r="B78" t="s" s="25">
        <v>76</v>
      </c>
      <c r="C78" s="45">
        <v>2</v>
      </c>
      <c r="D78" t="s" s="25">
        <v>139</v>
      </c>
      <c r="E78" s="37">
        <v>2.84282252429163</v>
      </c>
      <c r="F78" s="38">
        <v>73.31848508367609</v>
      </c>
      <c r="G78" s="39">
        <v>697.782083566288</v>
      </c>
      <c r="H78" s="40">
        <v>1.86536317625884</v>
      </c>
      <c r="I78" s="6"/>
      <c r="J78" s="34">
        <v>1.03581130325316</v>
      </c>
      <c r="K78" s="6"/>
      <c r="L78" s="34" cm="1">
        <f t="array" ref="L78">E78*$J78</f>
        <v>2.94462770380395</v>
      </c>
      <c r="M78" s="34" cm="1">
        <f t="array" ref="M78">F78*$J78</f>
        <v>75.9441155870699</v>
      </c>
      <c r="N78" s="34" cm="1">
        <f t="array" ref="N78">G78*$J78</f>
        <v>722.770569365502</v>
      </c>
      <c r="O78" s="34" cm="1">
        <f t="array" ref="O78">H78*$J78</f>
        <v>1.93216426264112</v>
      </c>
      <c r="P78" s="6"/>
      <c r="Q78" s="34">
        <v>242.4148</v>
      </c>
      <c r="R78" s="34" cm="1">
        <f t="array" ref="R78">Q78/1000</f>
        <v>0.2424148</v>
      </c>
      <c r="S78" s="6"/>
      <c r="T78" s="34" cm="1">
        <f t="array" ref="T78">$R78*L78</f>
        <v>0.713821335892094</v>
      </c>
      <c r="U78" s="34" cm="1">
        <f t="array" ref="U78">$R78*M78</f>
        <v>18.4099775912164</v>
      </c>
      <c r="V78" s="34" cm="1">
        <f t="array" ref="V78">$R78*N78</f>
        <v>175.210283018624</v>
      </c>
      <c r="W78" s="34" cm="1">
        <f t="array" ref="W78">$R78*O78</f>
        <v>0.468385213295295</v>
      </c>
      <c r="X78" s="6"/>
      <c r="Y78" s="34" cm="1">
        <f t="array" ref="Y78">T78-Y$84-Y$3</f>
        <v>0.6646197227994</v>
      </c>
      <c r="Z78" s="34" cm="1">
        <f t="array" ref="Z78">U78-Z$84-Z$3</f>
        <v>18.2061453377877</v>
      </c>
      <c r="AA78" s="34" cm="1">
        <f t="array" ref="AA78">V78-AA$84-AA$3</f>
        <v>173.228303847285</v>
      </c>
      <c r="AB78" s="34" cm="1">
        <f t="array" ref="AB78">W78-AB$84-AB$3</f>
        <v>0.499840405361269</v>
      </c>
      <c r="AC78" s="6"/>
      <c r="AD78" s="41">
        <v>4.3892</v>
      </c>
      <c r="AE78" s="35"/>
      <c r="AF78" s="41" cm="1">
        <f t="array" ref="AF78">Y78/$AD78</f>
        <v>0.15142160822004</v>
      </c>
      <c r="AG78" s="41" cm="1">
        <f t="array" ref="AG78">Z78/$AD78</f>
        <v>4.14794161528016</v>
      </c>
      <c r="AH78" s="41" cm="1">
        <f t="array" ref="AH78">AA78/$AD78</f>
        <v>39.4669424604222</v>
      </c>
      <c r="AI78" s="41" cm="1">
        <f t="array" ref="AI78">AB78/$AD78</f>
        <v>0.113879614818479</v>
      </c>
    </row>
    <row r="79" ht="17" customHeight="1">
      <c r="A79" s="6"/>
      <c r="B79" t="s" s="32">
        <v>78</v>
      </c>
      <c r="C79" s="34">
        <v>2</v>
      </c>
      <c r="D79" t="s" s="32">
        <v>140</v>
      </c>
      <c r="E79" s="37">
        <v>2.43121845478722</v>
      </c>
      <c r="F79" s="38">
        <v>26.6837863814256</v>
      </c>
      <c r="G79" s="42">
        <v>1071.784211998070</v>
      </c>
      <c r="H79" s="34">
        <v>0.643358581234207</v>
      </c>
      <c r="I79" s="6"/>
      <c r="J79" s="34">
        <v>1.03047759584551</v>
      </c>
      <c r="K79" s="6"/>
      <c r="L79" s="34" cm="1">
        <f t="array" ref="L79">E79*$J79</f>
        <v>2.50531614826437</v>
      </c>
      <c r="M79" s="34" cm="1">
        <f t="array" ref="M79">F79*$J79</f>
        <v>27.4970440383866</v>
      </c>
      <c r="N79" s="34" cm="1">
        <f t="array" ref="N79">G79*$J79</f>
        <v>1104.449618044950</v>
      </c>
      <c r="O79" s="34" cm="1">
        <f t="array" ref="O79">H79*$J79</f>
        <v>0.662966604056804</v>
      </c>
      <c r="P79" s="6"/>
      <c r="Q79" s="34">
        <v>241.5322</v>
      </c>
      <c r="R79" s="34" cm="1">
        <f t="array" ref="R79">Q79/1000</f>
        <v>0.2415322</v>
      </c>
      <c r="S79" s="6"/>
      <c r="T79" s="34" cm="1">
        <f t="array" ref="T79">$R79*L79</f>
        <v>0.605114520985819</v>
      </c>
      <c r="U79" s="34" cm="1">
        <f t="array" ref="U79">$R79*M79</f>
        <v>6.6414215400884</v>
      </c>
      <c r="V79" s="34" cm="1">
        <f t="array" ref="V79">$R79*N79</f>
        <v>266.760146035556</v>
      </c>
      <c r="W79" s="34" cm="1">
        <f t="array" ref="W79">$R79*O79</f>
        <v>0.160127782404369</v>
      </c>
      <c r="X79" s="6"/>
      <c r="Y79" s="34" cm="1">
        <f t="array" ref="Y79">T79-Y$84-Y$3</f>
        <v>0.555912907893125</v>
      </c>
      <c r="Z79" s="34" cm="1">
        <f t="array" ref="Z79">U79-Z$84-Z$3</f>
        <v>6.4375892866597</v>
      </c>
      <c r="AA79" s="34" cm="1">
        <f t="array" ref="AA79">V79-AA$84-AA$3</f>
        <v>264.778166864217</v>
      </c>
      <c r="AB79" s="34" cm="1">
        <f t="array" ref="AB79">W79-AB$84-AB$3</f>
        <v>0.191582974470343</v>
      </c>
      <c r="AC79" s="6"/>
      <c r="AD79" s="41">
        <v>4.4682</v>
      </c>
      <c r="AE79" s="35"/>
      <c r="AF79" s="41" cm="1">
        <f t="array" ref="AF79">Y79/$AD79</f>
        <v>0.124415403941884</v>
      </c>
      <c r="AG79" s="41" cm="1">
        <f t="array" ref="AG79">Z79/$AD79</f>
        <v>1.44075674469802</v>
      </c>
      <c r="AH79" s="41" cm="1">
        <f t="array" ref="AH79">AA79/$AD79</f>
        <v>59.2583516548536</v>
      </c>
      <c r="AI79" s="41" cm="1">
        <f t="array" ref="AI79">AB79/$AD79</f>
        <v>0.0428769917350036</v>
      </c>
    </row>
    <row r="80" ht="17" customHeight="1">
      <c r="A80" s="6"/>
      <c r="B80" t="s" s="32">
        <v>80</v>
      </c>
      <c r="C80" s="34">
        <v>2</v>
      </c>
      <c r="D80" t="s" s="32">
        <v>141</v>
      </c>
      <c r="E80" s="37">
        <v>2.74386693424335</v>
      </c>
      <c r="F80" s="38">
        <v>70.7561858821887</v>
      </c>
      <c r="G80" s="39">
        <v>1146.557294867780</v>
      </c>
      <c r="H80" s="40">
        <v>2.4426624358943</v>
      </c>
      <c r="I80" s="6"/>
      <c r="J80" s="34">
        <v>1.03069565217391</v>
      </c>
      <c r="K80" s="6"/>
      <c r="L80" s="34" cm="1">
        <f t="array" ref="L80">E80*$J80</f>
        <v>2.82809171926838</v>
      </c>
      <c r="M80" s="34" cm="1">
        <f t="array" ref="M80">F80*$J80</f>
        <v>72.9280931531809</v>
      </c>
      <c r="N80" s="34" cm="1">
        <f t="array" ref="N80">G80*$J80</f>
        <v>1181.7516187885</v>
      </c>
      <c r="O80" s="34" cm="1">
        <f t="array" ref="O80">H80*$J80</f>
        <v>2.51764155240479</v>
      </c>
      <c r="P80" s="6"/>
      <c r="Q80" s="34">
        <v>244.063</v>
      </c>
      <c r="R80" s="34" cm="1">
        <f t="array" ref="R80">Q80/1000</f>
        <v>0.244063</v>
      </c>
      <c r="S80" s="6"/>
      <c r="T80" s="34" cm="1">
        <f t="array" ref="T80">$R80*L80</f>
        <v>0.690232549279799</v>
      </c>
      <c r="U80" s="34" cm="1">
        <f t="array" ref="U80">$R80*M80</f>
        <v>17.7990491992448</v>
      </c>
      <c r="V80" s="34" cm="1">
        <f t="array" ref="V80">$R80*N80</f>
        <v>288.421845336378</v>
      </c>
      <c r="W80" s="34" cm="1">
        <f t="array" ref="W80">$R80*O80</f>
        <v>0.61446315020457</v>
      </c>
      <c r="X80" s="6"/>
      <c r="Y80" s="34" cm="1">
        <f t="array" ref="Y80">T80-Y$84-Y$3</f>
        <v>0.641030936187105</v>
      </c>
      <c r="Z80" s="34" cm="1">
        <f t="array" ref="Z80">U80-Z$84-Z$3</f>
        <v>17.5952169458161</v>
      </c>
      <c r="AA80" s="34" cm="1">
        <f t="array" ref="AA80">V80-AA$84-AA$3</f>
        <v>286.439866165039</v>
      </c>
      <c r="AB80" s="34" cm="1">
        <f t="array" ref="AB80">W80-AB$84-AB$3</f>
        <v>0.645918342270544</v>
      </c>
      <c r="AC80" s="6"/>
      <c r="AD80" s="41">
        <v>4.2026</v>
      </c>
      <c r="AE80" s="35"/>
      <c r="AF80" s="41" cm="1">
        <f t="array" ref="AF80">Y80/$AD80</f>
        <v>0.152531988813379</v>
      </c>
      <c r="AG80" s="41" cm="1">
        <f t="array" ref="AG80">Z80/$AD80</f>
        <v>4.18674557317282</v>
      </c>
      <c r="AH80" s="41" cm="1">
        <f t="array" ref="AH80">AA80/$AD80</f>
        <v>68.1577752260598</v>
      </c>
      <c r="AI80" s="41" cm="1">
        <f t="array" ref="AI80">AB80/$AD80</f>
        <v>0.153694937008172</v>
      </c>
    </row>
    <row r="81" ht="17" customHeight="1">
      <c r="A81" s="6"/>
      <c r="B81" t="s" s="32">
        <v>82</v>
      </c>
      <c r="C81" s="34">
        <v>2</v>
      </c>
      <c r="D81" t="s" s="32">
        <v>142</v>
      </c>
      <c r="E81" s="37">
        <v>0.598778343429316</v>
      </c>
      <c r="F81" s="61">
        <v>0.00444367741622345</v>
      </c>
      <c r="G81" s="42">
        <v>7.57701226953531</v>
      </c>
      <c r="H81" s="34">
        <v>406.368464211359</v>
      </c>
      <c r="I81" s="6"/>
      <c r="J81" s="34">
        <v>1.0431715236301</v>
      </c>
      <c r="K81" s="6"/>
      <c r="L81" s="34" cm="1">
        <f t="array" ref="L81">E81*$J81</f>
        <v>0.624628516831867</v>
      </c>
      <c r="M81" s="34" cm="1">
        <f t="array" ref="M81">F81*$J81</f>
        <v>0.00463551774080248</v>
      </c>
      <c r="N81" s="34" cm="1">
        <f t="array" ref="N81">G81*$J81</f>
        <v>7.90412343377511</v>
      </c>
      <c r="O81" s="34" cm="1">
        <f t="array" ref="O81">H81*$J81</f>
        <v>423.912009966587</v>
      </c>
      <c r="P81" s="6"/>
      <c r="Q81" s="34">
        <v>242.3406</v>
      </c>
      <c r="R81" s="34" cm="1">
        <f t="array" ref="R81">Q81/1000</f>
        <v>0.2423406</v>
      </c>
      <c r="S81" s="6"/>
      <c r="T81" s="34" cm="1">
        <f t="array" ref="T81">$R81*L81</f>
        <v>0.151372849546145</v>
      </c>
      <c r="U81" s="34" cm="1">
        <f t="array" ref="U81">$R81*M81</f>
        <v>0.00112337415061672</v>
      </c>
      <c r="V81" s="34" cm="1">
        <f t="array" ref="V81">$R81*N81</f>
        <v>1.91549001541512</v>
      </c>
      <c r="W81" s="34" cm="1">
        <f t="array" ref="W81">$R81*O81</f>
        <v>102.731090842509</v>
      </c>
      <c r="X81" s="6"/>
      <c r="Y81" s="34" cm="1">
        <f t="array" ref="Y81">T81-Y$84-Y$3</f>
        <v>0.102171236453451</v>
      </c>
      <c r="Z81" s="34" cm="1">
        <f t="array" ref="Z81">U81-Z$84-Z$3</f>
        <v>-0.202708879278079</v>
      </c>
      <c r="AA81" s="34" cm="1">
        <f t="array" ref="AA81">V81-AA$84-AA$3</f>
        <v>-0.06648915592387</v>
      </c>
      <c r="AB81" s="34" cm="1">
        <f t="array" ref="AB81">W81-AB$84-AB$3</f>
        <v>102.762546034575</v>
      </c>
      <c r="AC81" s="6"/>
      <c r="AD81" s="41">
        <v>3.154</v>
      </c>
      <c r="AE81" s="35"/>
      <c r="AF81" s="41" cm="1">
        <f t="array" ref="AF81">Y81/$AD81</f>
        <v>0.0323941776960847</v>
      </c>
      <c r="AG81" s="41" cm="1">
        <f t="array" ref="AG81">Z81/$AD81</f>
        <v>-0.06427041194612521</v>
      </c>
      <c r="AH81" s="41" cm="1">
        <f t="array" ref="AH81">AA81/$AD81</f>
        <v>-0.0210808991515124</v>
      </c>
      <c r="AI81" s="41" cm="1">
        <f t="array" ref="AI81">AB81/$AD81</f>
        <v>32.581656954526</v>
      </c>
    </row>
    <row r="82" ht="17" customHeight="1">
      <c r="A82" s="6"/>
      <c r="B82" t="s" s="32">
        <v>84</v>
      </c>
      <c r="C82" s="34">
        <v>2</v>
      </c>
      <c r="D82" t="s" s="32">
        <v>143</v>
      </c>
      <c r="E82" s="37">
        <v>0.575330216642951</v>
      </c>
      <c r="F82" s="61">
        <v>0.00444367741622345</v>
      </c>
      <c r="G82" s="39">
        <v>8.52296063761748</v>
      </c>
      <c r="H82" s="40">
        <v>331.133768315761</v>
      </c>
      <c r="I82" s="6"/>
      <c r="J82" s="34">
        <v>1.04071597932134</v>
      </c>
      <c r="K82" s="6"/>
      <c r="L82" s="34" cm="1">
        <f t="array" ref="L82">E82*$J82</f>
        <v>0.598755349846727</v>
      </c>
      <c r="M82" s="34" cm="1">
        <f t="array" ref="M82">F82*$J82</f>
        <v>0.00462460609401311</v>
      </c>
      <c r="N82" s="34" cm="1">
        <f t="array" ref="N82">G82*$J82</f>
        <v>8.86998132669531</v>
      </c>
      <c r="O82" s="34" cm="1">
        <f t="array" ref="O82">H82*$J82</f>
        <v>344.616203979103</v>
      </c>
      <c r="P82" s="6"/>
      <c r="Q82" s="34">
        <v>243.6738</v>
      </c>
      <c r="R82" s="34" cm="1">
        <f t="array" ref="R82">Q82/1000</f>
        <v>0.2436738</v>
      </c>
      <c r="S82" s="6"/>
      <c r="T82" s="34" cm="1">
        <f t="array" ref="T82">$R82*L82</f>
        <v>0.145900991367481</v>
      </c>
      <c r="U82" s="34" cm="1">
        <f t="array" ref="U82">$R82*M82</f>
        <v>0.00112689534043133</v>
      </c>
      <c r="V82" s="34" cm="1">
        <f t="array" ref="V82">$R82*N82</f>
        <v>2.16138205580489</v>
      </c>
      <c r="W82" s="34" cm="1">
        <f t="array" ref="W82">$R82*O82</f>
        <v>83.9739399651631</v>
      </c>
      <c r="X82" s="6"/>
      <c r="Y82" s="34" cm="1">
        <f t="array" ref="Y82">T82-Y$84-Y$3</f>
        <v>0.096699378274787</v>
      </c>
      <c r="Z82" s="34" cm="1">
        <f t="array" ref="Z82">U82-Z$84-Z$3</f>
        <v>-0.202705358088265</v>
      </c>
      <c r="AA82" s="34" cm="1">
        <f t="array" ref="AA82">V82-AA$84-AA$3</f>
        <v>0.1794028844659</v>
      </c>
      <c r="AB82" s="34" cm="1">
        <f t="array" ref="AB82">W82-AB$84-AB$3</f>
        <v>84.0053951572291</v>
      </c>
      <c r="AC82" s="6"/>
      <c r="AD82" s="41">
        <v>3.2482</v>
      </c>
      <c r="AE82" s="35"/>
      <c r="AF82" s="41" cm="1">
        <f t="array" ref="AF82">Y82/$AD82</f>
        <v>0.0297701429329435</v>
      </c>
      <c r="AG82" s="41" cm="1">
        <f t="array" ref="AG82">Z82/$AD82</f>
        <v>-0.0624054424260406</v>
      </c>
      <c r="AH82" s="41" cm="1">
        <f t="array" ref="AH82">AA82/$AD82</f>
        <v>0.055231477269226</v>
      </c>
      <c r="AI82" s="41" cm="1">
        <f t="array" ref="AI82">AB82/$AD82</f>
        <v>25.8621375399388</v>
      </c>
    </row>
    <row r="83" ht="17" customHeight="1">
      <c r="A83" s="6"/>
      <c r="B83" t="s" s="32">
        <v>86</v>
      </c>
      <c r="C83" s="34">
        <v>2</v>
      </c>
      <c r="D83" t="s" s="32">
        <v>144</v>
      </c>
      <c r="E83" s="37">
        <v>4.03206854231806</v>
      </c>
      <c r="F83" s="61">
        <v>0.00444367741622345</v>
      </c>
      <c r="G83" s="42">
        <v>9.24381654304014</v>
      </c>
      <c r="H83" s="34">
        <v>513.3075699662101</v>
      </c>
      <c r="I83" s="6"/>
      <c r="J83" s="34">
        <v>1.03373045544423</v>
      </c>
      <c r="K83" s="6"/>
      <c r="L83" s="34" cm="1">
        <f t="array" ref="L83">E83*$J83</f>
        <v>4.1680720506328</v>
      </c>
      <c r="M83" s="34" cm="1">
        <f t="array" ref="M83">F83*$J83</f>
        <v>0.00459356467931991</v>
      </c>
      <c r="N83" s="34" cm="1">
        <f t="array" ref="N83">G83*$J83</f>
        <v>9.555614685079791</v>
      </c>
      <c r="O83" s="34" cm="1">
        <f t="array" ref="O83">H83*$J83</f>
        <v>530.621668084141</v>
      </c>
      <c r="P83" s="6"/>
      <c r="Q83" s="34">
        <v>244.6278</v>
      </c>
      <c r="R83" s="34" cm="1">
        <f t="array" ref="R83">Q83/1000</f>
        <v>0.2446278</v>
      </c>
      <c r="S83" s="6"/>
      <c r="T83" s="34" cm="1">
        <f t="array" ref="T83">$R83*L83</f>
        <v>1.01962629598779</v>
      </c>
      <c r="U83" s="34" cm="1">
        <f t="array" ref="U83">$R83*M83</f>
        <v>0.00112371362165974</v>
      </c>
      <c r="V83" s="34" cm="1">
        <f t="array" ref="V83">$R83*N83</f>
        <v>2.33756899805876</v>
      </c>
      <c r="W83" s="34" cm="1">
        <f t="array" ref="W83">$R83*O83</f>
        <v>129.804811295754</v>
      </c>
      <c r="X83" s="6"/>
      <c r="Y83" s="34" cm="1">
        <f t="array" ref="Y83">T83-Y$84-Y$3</f>
        <v>0.970424682895096</v>
      </c>
      <c r="Z83" s="34" cm="1">
        <f t="array" ref="Z83">U83-Z$84-Z$3</f>
        <v>-0.202708539807036</v>
      </c>
      <c r="AA83" s="34" cm="1">
        <f t="array" ref="AA83">V83-AA$84-AA$3</f>
        <v>0.35558982671977</v>
      </c>
      <c r="AB83" s="34" cm="1">
        <f t="array" ref="AB83">W83-AB$84-AB$3</f>
        <v>129.836266487820</v>
      </c>
      <c r="AC83" s="6"/>
      <c r="AD83" s="41">
        <v>1.5948</v>
      </c>
      <c r="AE83" s="35"/>
      <c r="AF83" s="41" cm="1">
        <f t="array" ref="AF83">Y83/$AD83</f>
        <v>0.608493029154186</v>
      </c>
      <c r="AG83" s="41" cm="1">
        <f t="array" ref="AG83">Z83/$AD83</f>
        <v>-0.127105931657284</v>
      </c>
      <c r="AH83" s="41" cm="1">
        <f t="array" ref="AH83">AA83/$AD83</f>
        <v>0.22296828863793</v>
      </c>
      <c r="AI83" s="41" cm="1">
        <f t="array" ref="AI83">AB83/$AD83</f>
        <v>81.412256388149</v>
      </c>
    </row>
    <row r="84" ht="17" customHeight="1">
      <c r="A84" s="6"/>
      <c r="B84" t="s" s="32">
        <v>88</v>
      </c>
      <c r="C84" s="34">
        <v>2</v>
      </c>
      <c r="D84" t="s" s="32">
        <v>145</v>
      </c>
      <c r="E84" s="37">
        <v>0.337371478411514</v>
      </c>
      <c r="F84" s="38">
        <v>0.574392481310753</v>
      </c>
      <c r="G84" s="39">
        <v>6.76281227635157</v>
      </c>
      <c r="H84" s="40">
        <v>-0.225800800264226</v>
      </c>
      <c r="I84" s="6"/>
      <c r="J84" s="34">
        <v>1.02910611634055</v>
      </c>
      <c r="K84" s="6"/>
      <c r="L84" s="34" cm="1">
        <f t="array" ref="L84">E84*$J84</f>
        <v>0.347191051912143</v>
      </c>
      <c r="M84" s="34" cm="1">
        <f t="array" ref="M84">F84*$J84</f>
        <v>0.591110815696921</v>
      </c>
      <c r="N84" s="34" cm="1">
        <f t="array" ref="N84">G84*$J84</f>
        <v>6.95965147725636</v>
      </c>
      <c r="O84" s="34" cm="1">
        <f t="array" ref="O84">H84*$J84</f>
        <v>-0.232372984626506</v>
      </c>
      <c r="P84" s="6"/>
      <c r="Q84" s="34">
        <v>244.72</v>
      </c>
      <c r="R84" s="34" cm="1">
        <f t="array" ref="R84">Q84/1000</f>
        <v>0.24472</v>
      </c>
      <c r="S84" s="6"/>
      <c r="T84" s="34" cm="1">
        <f t="array" ref="T84">$R84*L84</f>
        <v>0.08496459422393959</v>
      </c>
      <c r="U84" s="34" cm="1">
        <f t="array" ref="U84">$R84*M84</f>
        <v>0.144656638817351</v>
      </c>
      <c r="V84" s="34" cm="1">
        <f t="array" ref="V84">$R84*N84</f>
        <v>1.70316590951418</v>
      </c>
      <c r="W84" s="34" cm="1">
        <f t="array" ref="W84">$R84*O84</f>
        <v>-0.0568663167977985</v>
      </c>
      <c r="X84" s="6"/>
      <c r="Y84" s="34" cm="1">
        <f t="array" ref="Y84">AVERAGE(T84:T86)</f>
        <v>0.049201613092694</v>
      </c>
      <c r="Z84" s="34" cm="1">
        <f t="array" ref="Z84">AVERAGE(U84:U86)</f>
        <v>0.203832253428696</v>
      </c>
      <c r="AA84" s="34" cm="1">
        <f t="array" ref="AA84">AVERAGE(V84:V86)</f>
        <v>1.98197917133899</v>
      </c>
      <c r="AB84" s="34" cm="1">
        <f t="array" ref="AB84">AVERAGE(W84:W86)</f>
        <v>-0.0314551920659735</v>
      </c>
      <c r="AC84" s="6"/>
      <c r="AD84" s="35"/>
      <c r="AE84" s="35"/>
      <c r="AF84" s="35" cm="1">
        <f t="array" ref="AF84">Y84/$AD84</f>
      </c>
      <c r="AG84" s="35" cm="1">
        <f t="array" ref="AG84">Z84/$AD84</f>
      </c>
      <c r="AH84" s="35" cm="1">
        <f t="array" ref="AH84">AA84/$AD84</f>
      </c>
      <c r="AI84" s="35" cm="1">
        <f t="array" ref="AI84">AB84/$AD84</f>
      </c>
    </row>
    <row r="85" ht="17" customHeight="1">
      <c r="A85" s="6"/>
      <c r="B85" t="s" s="32">
        <v>90</v>
      </c>
      <c r="C85" s="34">
        <v>2</v>
      </c>
      <c r="D85" t="s" s="32">
        <v>146</v>
      </c>
      <c r="E85" s="37">
        <v>0.113748871806865</v>
      </c>
      <c r="F85" s="38">
        <v>1.449183469675</v>
      </c>
      <c r="G85" s="42">
        <v>7.97262486395357</v>
      </c>
      <c r="H85" s="34">
        <v>-0.131754569665724</v>
      </c>
      <c r="I85" s="6"/>
      <c r="J85" s="34">
        <v>1.02916672461994</v>
      </c>
      <c r="K85" s="6"/>
      <c r="L85" s="34" cm="1">
        <f t="array" ref="L85">E85*$J85</f>
        <v>0.117066553826685</v>
      </c>
      <c r="M85" s="34" cm="1">
        <f t="array" ref="M85">F85*$J85</f>
        <v>1.49145140485878</v>
      </c>
      <c r="N85" s="34" cm="1">
        <f t="array" ref="N85">G85*$J85</f>
        <v>8.205160217858589</v>
      </c>
      <c r="O85" s="34" cm="1">
        <f t="array" ref="O85">H85*$J85</f>
        <v>-0.135597418916583</v>
      </c>
      <c r="P85" s="6"/>
      <c r="Q85" s="34">
        <v>243.52</v>
      </c>
      <c r="R85" s="34" cm="1">
        <f t="array" ref="R85">Q85/1000</f>
        <v>0.24352</v>
      </c>
      <c r="S85" s="6"/>
      <c r="T85" s="34" cm="1">
        <f t="array" ref="T85">$R85*L85</f>
        <v>0.0285080471878743</v>
      </c>
      <c r="U85" s="34" cm="1">
        <f t="array" ref="U85">$R85*M85</f>
        <v>0.36319824611121</v>
      </c>
      <c r="V85" s="34" cm="1">
        <f t="array" ref="V85">$R85*N85</f>
        <v>1.99812061625292</v>
      </c>
      <c r="W85" s="34" cm="1">
        <f t="array" ref="W85">$R85*O85</f>
        <v>-0.0330206834545663</v>
      </c>
      <c r="X85" s="6"/>
      <c r="Y85" s="6"/>
      <c r="Z85" s="6"/>
      <c r="AA85" s="6"/>
      <c r="AB85" s="6"/>
      <c r="AC85" s="6"/>
      <c r="AD85" s="35"/>
      <c r="AE85" s="35"/>
      <c r="AF85" s="35" cm="1">
        <f t="array" ref="AF85">Y85/$AD85</f>
      </c>
      <c r="AG85" s="35" cm="1">
        <f t="array" ref="AG85">Z85/$AD85</f>
      </c>
      <c r="AH85" s="35" cm="1">
        <f t="array" ref="AH85">AA85/$AD85</f>
      </c>
      <c r="AI85" s="35" cm="1">
        <f t="array" ref="AI85">AB85/$AD85</f>
      </c>
    </row>
    <row r="86" ht="17" customHeight="1">
      <c r="A86" s="6"/>
      <c r="B86" t="s" s="8">
        <v>92</v>
      </c>
      <c r="C86" s="44">
        <v>2</v>
      </c>
      <c r="D86" t="s" s="8">
        <v>147</v>
      </c>
      <c r="E86" s="37">
        <v>0.135710392958606</v>
      </c>
      <c r="F86" s="38">
        <v>0.412082447396022</v>
      </c>
      <c r="G86" s="39">
        <v>8.924783246125649</v>
      </c>
      <c r="H86" s="40">
        <v>-0.0178069195499123</v>
      </c>
      <c r="I86" s="6"/>
      <c r="J86" s="34">
        <v>1.03000908935977</v>
      </c>
      <c r="K86" s="6"/>
      <c r="L86" s="34" cm="1">
        <f t="array" ref="L86">E86*$J86</f>
        <v>0.13978293826795</v>
      </c>
      <c r="M86" s="34" cm="1">
        <f t="array" ref="M86">F86*$J86</f>
        <v>0.424448666383522</v>
      </c>
      <c r="N86" s="34" cm="1">
        <f t="array" ref="N86">G86*$J86</f>
        <v>9.19260786407521</v>
      </c>
      <c r="O86" s="34" cm="1">
        <f t="array" ref="O86">H86*$J86</f>
        <v>-0.0183412889899079</v>
      </c>
      <c r="P86" s="6"/>
      <c r="Q86" s="34">
        <v>244.18</v>
      </c>
      <c r="R86" s="34" cm="1">
        <f t="array" ref="R86">Q86/1000</f>
        <v>0.24418</v>
      </c>
      <c r="S86" s="6"/>
      <c r="T86" s="34" cm="1">
        <f t="array" ref="T86">$R86*L86</f>
        <v>0.034132197866268</v>
      </c>
      <c r="U86" s="34" cm="1">
        <f t="array" ref="U86">$R86*M86</f>
        <v>0.103641875357528</v>
      </c>
      <c r="V86" s="34" cm="1">
        <f t="array" ref="V86">$R86*N86</f>
        <v>2.24465098824988</v>
      </c>
      <c r="W86" s="34" cm="1">
        <f t="array" ref="W86">$R86*O86</f>
        <v>-0.00447857594555571</v>
      </c>
      <c r="X86" s="6"/>
      <c r="Y86" s="6"/>
      <c r="Z86" s="6"/>
      <c r="AA86" s="6"/>
      <c r="AB86" s="6"/>
      <c r="AC86" s="6"/>
      <c r="AD86" s="35"/>
      <c r="AE86" s="35"/>
      <c r="AF86" s="35" cm="1">
        <f t="array" ref="AF86">Y86/$AD86</f>
      </c>
      <c r="AG86" s="35" cm="1">
        <f t="array" ref="AG86">Z86/$AD86</f>
      </c>
      <c r="AH86" s="35" cm="1">
        <f t="array" ref="AH86">AA86/$AD86</f>
      </c>
      <c r="AI86" s="35" cm="1">
        <f t="array" ref="AI86">AB86/$AD86</f>
      </c>
    </row>
    <row r="87" ht="17" customHeight="1">
      <c r="A87" s="6"/>
      <c r="B87" t="s" s="25">
        <v>94</v>
      </c>
      <c r="C87" s="45">
        <v>2</v>
      </c>
      <c r="D87" t="s" s="25">
        <v>148</v>
      </c>
      <c r="E87" s="37">
        <v>33.315675070983</v>
      </c>
      <c r="F87" s="38">
        <v>459.085029545531</v>
      </c>
      <c r="G87" s="39">
        <v>18354.8169301207</v>
      </c>
      <c r="H87" s="40">
        <v>-150.514188523835</v>
      </c>
      <c r="I87" s="6"/>
      <c r="J87" s="34">
        <v>1.02667958656331</v>
      </c>
      <c r="K87" s="6"/>
      <c r="L87" s="34" cm="1">
        <f t="array" ref="L87">E87*$J87</f>
        <v>34.2045235079544</v>
      </c>
      <c r="M87" s="34" cm="1">
        <f t="array" ref="M87">F87*$J87</f>
        <v>471.333228331211</v>
      </c>
      <c r="N87" s="34" cm="1">
        <f t="array" ref="N87">G87*$J87</f>
        <v>18844.5158572616</v>
      </c>
      <c r="O87" s="34" cm="1">
        <f t="array" ref="O87">H87*$J87</f>
        <v>-154.529844845563</v>
      </c>
      <c r="P87" s="6"/>
      <c r="Q87" s="34">
        <v>244.197</v>
      </c>
      <c r="R87" s="34" cm="1">
        <f t="array" ref="R87">Q87/1000</f>
        <v>0.244197</v>
      </c>
      <c r="S87" s="6"/>
      <c r="T87" s="34" cm="1">
        <f t="array" ref="T87">$R87*L87</f>
        <v>8.352642027071941</v>
      </c>
      <c r="U87" s="34" cm="1">
        <f t="array" ref="U87">$R87*M87</f>
        <v>115.098160358797</v>
      </c>
      <c r="V87" s="34" cm="1">
        <f t="array" ref="V87">$R87*N87</f>
        <v>4601.774238795710</v>
      </c>
      <c r="W87" s="34" cm="1">
        <f t="array" ref="W87">$R87*O87</f>
        <v>-37.7357245217519</v>
      </c>
      <c r="X87" s="6"/>
      <c r="Y87" s="34" cm="1">
        <f t="array" ref="Y87">T87-Y$93-Y$3</f>
        <v>8.247637554267101</v>
      </c>
      <c r="Z87" s="34" cm="1">
        <f t="array" ref="Z87">U87-Z$93-Z$3</f>
        <v>114.988442351693</v>
      </c>
      <c r="AA87" s="34" cm="1">
        <f t="array" ref="AA87">V87-AA$93-AA$3</f>
        <v>4599.823446704380</v>
      </c>
      <c r="AB87" s="34" cm="1">
        <f t="array" ref="AB87">W87-AB$93-AB$3</f>
        <v>-37.953145002995</v>
      </c>
      <c r="AC87" s="6"/>
      <c r="AD87" s="41">
        <v>4.3192</v>
      </c>
      <c r="AE87" s="35"/>
      <c r="AF87" s="41" cm="1">
        <f t="array" ref="AF87">Y87/$AD87</f>
        <v>1.90952897626114</v>
      </c>
      <c r="AG87" s="41" cm="1">
        <f t="array" ref="AG87">Z87/$AD87</f>
        <v>26.6226251045779</v>
      </c>
      <c r="AH87" s="41" cm="1">
        <f t="array" ref="AH87">AA87/$AD87</f>
        <v>1064.9711628784</v>
      </c>
      <c r="AI87" s="41" cm="1">
        <f t="array" ref="AI87">AB87/$AD87</f>
        <v>-8.78707746874305</v>
      </c>
    </row>
    <row r="88" ht="17" customHeight="1">
      <c r="A88" s="6"/>
      <c r="B88" t="s" s="32">
        <v>96</v>
      </c>
      <c r="C88" s="34">
        <v>2</v>
      </c>
      <c r="D88" t="s" s="32">
        <v>149</v>
      </c>
      <c r="E88" s="37">
        <v>59.5540380889674</v>
      </c>
      <c r="F88" s="38">
        <v>409.799259691791</v>
      </c>
      <c r="G88" s="42">
        <v>21514.7586475194</v>
      </c>
      <c r="H88" s="34">
        <v>-187.722743577278</v>
      </c>
      <c r="I88" s="6"/>
      <c r="J88" s="34">
        <v>1.02623602359481</v>
      </c>
      <c r="K88" s="6"/>
      <c r="L88" s="34" cm="1">
        <f t="array" ref="L88">E88*$J88</f>
        <v>61.1164992374358</v>
      </c>
      <c r="M88" s="34" cm="1">
        <f t="array" ref="M88">F88*$J88</f>
        <v>420.5507627382</v>
      </c>
      <c r="N88" s="34" cm="1">
        <f t="array" ref="N88">G88*$J88</f>
        <v>22079.2203630324</v>
      </c>
      <c r="O88" s="34" cm="1">
        <f t="array" ref="O88">H88*$J88</f>
        <v>-192.647841907054</v>
      </c>
      <c r="P88" s="6"/>
      <c r="Q88" s="34">
        <v>245.8386</v>
      </c>
      <c r="R88" s="34" cm="1">
        <f t="array" ref="R88">Q88/1000</f>
        <v>0.2458386</v>
      </c>
      <c r="S88" s="6"/>
      <c r="T88" s="34" cm="1">
        <f t="array" ref="T88">$R88*L88</f>
        <v>15.0247946094323</v>
      </c>
      <c r="U88" s="34" cm="1">
        <f t="array" ref="U88">$R88*M88</f>
        <v>103.387610740491</v>
      </c>
      <c r="V88" s="34" cm="1">
        <f t="array" ref="V88">$R88*N88</f>
        <v>5427.924623139380</v>
      </c>
      <c r="W88" s="34" cm="1">
        <f t="array" ref="W88">$R88*O88</f>
        <v>-47.3602757474515</v>
      </c>
      <c r="X88" s="6"/>
      <c r="Y88" s="34" cm="1">
        <f t="array" ref="Y88">T88-Y$93-Y$3</f>
        <v>14.9197901366275</v>
      </c>
      <c r="Z88" s="34" cm="1">
        <f t="array" ref="Z88">U88-Z$93-Z$3</f>
        <v>103.277892733387</v>
      </c>
      <c r="AA88" s="34" cm="1">
        <f t="array" ref="AA88">V88-AA$93-AA$3</f>
        <v>5425.973831048050</v>
      </c>
      <c r="AB88" s="34" cm="1">
        <f t="array" ref="AB88">W88-AB$93-AB$3</f>
        <v>-47.5776962286946</v>
      </c>
      <c r="AC88" s="6"/>
      <c r="AD88" s="41">
        <v>4.3818</v>
      </c>
      <c r="AE88" s="35"/>
      <c r="AF88" s="41" cm="1">
        <f t="array" ref="AF88">Y88/$AD88</f>
        <v>3.40494548738589</v>
      </c>
      <c r="AG88" s="41" cm="1">
        <f t="array" ref="AG88">Z88/$AD88</f>
        <v>23.5697413696168</v>
      </c>
      <c r="AH88" s="41" cm="1">
        <f t="array" ref="AH88">AA88/$AD88</f>
        <v>1238.297921184910</v>
      </c>
      <c r="AI88" s="41" cm="1">
        <f t="array" ref="AI88">AB88/$AD88</f>
        <v>-10.8580255211773</v>
      </c>
    </row>
    <row r="89" ht="17" customHeight="1">
      <c r="A89" s="6"/>
      <c r="B89" t="s" s="32">
        <v>98</v>
      </c>
      <c r="C89" s="34">
        <v>2</v>
      </c>
      <c r="D89" t="s" s="32">
        <v>150</v>
      </c>
      <c r="E89" s="37">
        <v>111.862869409455</v>
      </c>
      <c r="F89" s="38">
        <v>791.5568670618489</v>
      </c>
      <c r="G89" s="39">
        <v>17830.7382500471</v>
      </c>
      <c r="H89" s="40">
        <v>-181.662228222904</v>
      </c>
      <c r="I89" s="6"/>
      <c r="J89" s="34">
        <v>1.02781632065345</v>
      </c>
      <c r="K89" s="6"/>
      <c r="L89" s="34" cm="1">
        <f t="array" ref="L89">E89*$J89</f>
        <v>114.974482854163</v>
      </c>
      <c r="M89" s="34" cm="1">
        <f t="array" ref="M89">F89*$J89</f>
        <v>813.575066691482</v>
      </c>
      <c r="N89" s="34" cm="1">
        <f t="array" ref="N89">G89*$J89</f>
        <v>18326.7237826981</v>
      </c>
      <c r="O89" s="34" cm="1">
        <f t="array" ref="O89">H89*$J89</f>
        <v>-186.715403013773</v>
      </c>
      <c r="P89" s="6"/>
      <c r="Q89" s="34">
        <v>235.81</v>
      </c>
      <c r="R89" s="34" cm="1">
        <f t="array" ref="R89">Q89/1000</f>
        <v>0.23581</v>
      </c>
      <c r="S89" s="6"/>
      <c r="T89" s="34" cm="1">
        <f t="array" ref="T89">$R89*L89</f>
        <v>27.1121328018402</v>
      </c>
      <c r="U89" s="34" cm="1">
        <f t="array" ref="U89">$R89*M89</f>
        <v>191.849136476518</v>
      </c>
      <c r="V89" s="34" cm="1">
        <f t="array" ref="V89">$R89*N89</f>
        <v>4321.624735198040</v>
      </c>
      <c r="W89" s="34" cm="1">
        <f t="array" ref="W89">$R89*O89</f>
        <v>-44.0293591846778</v>
      </c>
      <c r="X89" s="6"/>
      <c r="Y89" s="34" cm="1">
        <f t="array" ref="Y89">T89-Y$93-Y$3</f>
        <v>27.0071283290354</v>
      </c>
      <c r="Z89" s="34" cm="1">
        <f t="array" ref="Z89">U89-Z$93-Z$3</f>
        <v>191.739418469414</v>
      </c>
      <c r="AA89" s="34" cm="1">
        <f t="array" ref="AA89">V89-AA$93-AA$3</f>
        <v>4319.673943106710</v>
      </c>
      <c r="AB89" s="34" cm="1">
        <f t="array" ref="AB89">W89-AB$93-AB$3</f>
        <v>-44.2467796659209</v>
      </c>
      <c r="AC89" s="6"/>
      <c r="AD89" s="41">
        <v>4.3392</v>
      </c>
      <c r="AE89" s="35"/>
      <c r="AF89" s="41" cm="1">
        <f t="array" ref="AF89">Y89/$AD89</f>
        <v>6.22398790768699</v>
      </c>
      <c r="AG89" s="41" cm="1">
        <f t="array" ref="AG89">Z89/$AD89</f>
        <v>44.1877347136371</v>
      </c>
      <c r="AH89" s="41" cm="1">
        <f t="array" ref="AH89">AA89/$AD89</f>
        <v>995.5000790714211</v>
      </c>
      <c r="AI89" s="41" cm="1">
        <f t="array" ref="AI89">AB89/$AD89</f>
        <v>-10.1969901516226</v>
      </c>
    </row>
    <row r="90" ht="17" customHeight="1">
      <c r="A90" s="6"/>
      <c r="B90" t="s" s="32">
        <v>100</v>
      </c>
      <c r="C90" s="34">
        <v>2</v>
      </c>
      <c r="D90" t="s" s="32">
        <v>151</v>
      </c>
      <c r="E90" s="37">
        <v>2.58086454717298</v>
      </c>
      <c r="F90" s="38">
        <v>0.7767476063395951</v>
      </c>
      <c r="G90" s="42">
        <v>5.15871045315875</v>
      </c>
      <c r="H90" s="34">
        <v>488.627748484123</v>
      </c>
      <c r="I90" s="6"/>
      <c r="J90" s="34">
        <v>1.0336402873214</v>
      </c>
      <c r="K90" s="6"/>
      <c r="L90" s="34" cm="1">
        <f t="array" ref="L90">E90*$J90</f>
        <v>2.66768557207749</v>
      </c>
      <c r="M90" s="34" cm="1">
        <f t="array" ref="M90">F90*$J90</f>
        <v>0.802877618993069</v>
      </c>
      <c r="N90" s="34" cm="1">
        <f t="array" ref="N90">G90*$J90</f>
        <v>5.33225095501092</v>
      </c>
      <c r="O90" s="34" cm="1">
        <f t="array" ref="O90">H90*$J90</f>
        <v>505.065326336338</v>
      </c>
      <c r="P90" s="6"/>
      <c r="Q90" s="34">
        <v>244.9954</v>
      </c>
      <c r="R90" s="34" cm="1">
        <f t="array" ref="R90">Q90/1000</f>
        <v>0.2449954</v>
      </c>
      <c r="S90" s="6"/>
      <c r="T90" s="34" cm="1">
        <f t="array" ref="T90">$R90*L90</f>
        <v>0.653570693805353</v>
      </c>
      <c r="U90" s="34" cm="1">
        <f t="array" ref="U90">$R90*M90</f>
        <v>0.196701323416255</v>
      </c>
      <c r="V90" s="34" cm="1">
        <f t="array" ref="V90">$R90*N90</f>
        <v>1.30637695562328</v>
      </c>
      <c r="W90" s="34" cm="1">
        <f t="array" ref="W90">$R90*O90</f>
        <v>123.738681651902</v>
      </c>
      <c r="X90" s="6"/>
      <c r="Y90" s="34" cm="1">
        <f t="array" ref="Y90">T90-Y$93-Y$3</f>
        <v>0.548566221000517</v>
      </c>
      <c r="Z90" s="34" cm="1">
        <f t="array" ref="Z90">U90-Z$93-Z$3</f>
        <v>0.086983316312709</v>
      </c>
      <c r="AA90" s="34" cm="1">
        <f t="array" ref="AA90">V90-AA$93-AA$3</f>
        <v>-0.64441513570259</v>
      </c>
      <c r="AB90" s="34" cm="1">
        <f t="array" ref="AB90">W90-AB$93-AB$3</f>
        <v>123.521261170659</v>
      </c>
      <c r="AC90" s="6"/>
      <c r="AD90" s="41">
        <v>3.1138</v>
      </c>
      <c r="AE90" s="35"/>
      <c r="AF90" s="41" cm="1">
        <f t="array" ref="AF90">Y90/$AD90</f>
        <v>0.176172593294533</v>
      </c>
      <c r="AG90" s="41" cm="1">
        <f t="array" ref="AG90">Z90/$AD90</f>
        <v>0.0279347794696862</v>
      </c>
      <c r="AH90" s="41" cm="1">
        <f t="array" ref="AH90">AA90/$AD90</f>
        <v>-0.206954568598686</v>
      </c>
      <c r="AI90" s="41" cm="1">
        <f t="array" ref="AI90">AB90/$AD90</f>
        <v>39.6689771888557</v>
      </c>
    </row>
    <row r="91" ht="17" customHeight="1">
      <c r="A91" s="6"/>
      <c r="B91" t="s" s="32">
        <v>102</v>
      </c>
      <c r="C91" s="34">
        <v>2</v>
      </c>
      <c r="D91" t="s" s="32">
        <v>152</v>
      </c>
      <c r="E91" s="37">
        <v>2.75218140448293</v>
      </c>
      <c r="F91" s="61">
        <v>0.00444367741622345</v>
      </c>
      <c r="G91" s="39">
        <v>3.76316290989714</v>
      </c>
      <c r="H91" s="40">
        <v>254.222622883568</v>
      </c>
      <c r="I91" s="6"/>
      <c r="J91" s="34">
        <v>1.03080582467947</v>
      </c>
      <c r="K91" s="6"/>
      <c r="L91" s="34" cm="1">
        <f t="array" ref="L91">E91*$J91</f>
        <v>2.83696462231553</v>
      </c>
      <c r="M91" s="34" cm="1">
        <f t="array" ref="M91">F91*$J91</f>
        <v>0.00458056856363975</v>
      </c>
      <c r="N91" s="34" cm="1">
        <f t="array" ref="N91">G91*$J91</f>
        <v>3.87909024673972</v>
      </c>
      <c r="O91" s="34" cm="1">
        <f t="array" ref="O91">H91*$J91</f>
        <v>262.054160433674</v>
      </c>
      <c r="P91" s="6"/>
      <c r="Q91" s="34">
        <v>244.8374</v>
      </c>
      <c r="R91" s="34" cm="1">
        <f t="array" ref="R91">Q91/1000</f>
        <v>0.2448374</v>
      </c>
      <c r="S91" s="6"/>
      <c r="T91" s="34" cm="1">
        <f t="array" ref="T91">$R91*L91</f>
        <v>0.694595042019716</v>
      </c>
      <c r="U91" s="34" cm="1">
        <f t="array" ref="U91">$R91*M91</f>
        <v>0.00112149449764329</v>
      </c>
      <c r="V91" s="34" cm="1">
        <f t="array" ref="V91">$R91*N91</f>
        <v>0.949746370377112</v>
      </c>
      <c r="W91" s="34" cm="1">
        <f t="array" ref="W91">$R91*O91</f>
        <v>64.16065929976359</v>
      </c>
      <c r="X91" s="6"/>
      <c r="Y91" s="34" cm="1">
        <f t="array" ref="Y91">T91-Y$93-Y$3</f>
        <v>0.58959056921488</v>
      </c>
      <c r="Z91" s="34" cm="1">
        <f t="array" ref="Z91">U91-Z$93-Z$3</f>
        <v>-0.108596512605903</v>
      </c>
      <c r="AA91" s="34" cm="1">
        <f t="array" ref="AA91">V91-AA$93-AA$3</f>
        <v>-1.00104572094876</v>
      </c>
      <c r="AB91" s="34" cm="1">
        <f t="array" ref="AB91">W91-AB$93-AB$3</f>
        <v>63.9432388185205</v>
      </c>
      <c r="AC91" s="6"/>
      <c r="AD91" s="41">
        <v>3.4294</v>
      </c>
      <c r="AE91" s="35"/>
      <c r="AF91" s="41" cm="1">
        <f t="array" ref="AF91">Y91/$AD91</f>
        <v>0.171922368115379</v>
      </c>
      <c r="AG91" s="41" cm="1">
        <f t="array" ref="AG91">Z91/$AD91</f>
        <v>-0.0316663301469362</v>
      </c>
      <c r="AH91" s="41" cm="1">
        <f t="array" ref="AH91">AA91/$AD91</f>
        <v>-0.291901125837977</v>
      </c>
      <c r="AI91" s="41" cm="1">
        <f t="array" ref="AI91">AB91/$AD91</f>
        <v>18.6456053007875</v>
      </c>
    </row>
    <row r="92" ht="17" customHeight="1">
      <c r="A92" s="6"/>
      <c r="B92" t="s" s="32">
        <v>104</v>
      </c>
      <c r="C92" s="34">
        <v>2</v>
      </c>
      <c r="D92" t="s" s="32">
        <v>153</v>
      </c>
      <c r="E92" s="37">
        <v>3.18649737588065</v>
      </c>
      <c r="F92" s="61">
        <v>0.00444367741622345</v>
      </c>
      <c r="G92" s="42">
        <v>6.92267615662201</v>
      </c>
      <c r="H92" s="34">
        <v>1235.979964349410</v>
      </c>
      <c r="I92" s="6"/>
      <c r="J92" s="34">
        <v>1.02861137125562</v>
      </c>
      <c r="K92" s="6"/>
      <c r="L92" s="34" cm="1">
        <f t="array" ref="L92">E92*$J92</f>
        <v>3.27766743530703</v>
      </c>
      <c r="M92" s="34" cm="1">
        <f t="array" ref="M92">F92*$J92</f>
        <v>0.00457081712051923</v>
      </c>
      <c r="N92" s="34" cm="1">
        <f t="array" ref="N92">G92*$J92</f>
        <v>7.12074341422155</v>
      </c>
      <c r="O92" s="34" cm="1">
        <f t="array" ref="O92">H92*$J92</f>
        <v>1271.343045973920</v>
      </c>
      <c r="P92" s="6"/>
      <c r="Q92" s="34">
        <v>245.7604</v>
      </c>
      <c r="R92" s="34" cm="1">
        <f t="array" ref="R92">Q92/1000</f>
        <v>0.2457604</v>
      </c>
      <c r="S92" s="6"/>
      <c r="T92" s="34" cm="1">
        <f t="array" ref="T92">$R92*L92</f>
        <v>0.80552085996803</v>
      </c>
      <c r="U92" s="34" cm="1">
        <f t="array" ref="U92">$R92*M92</f>
        <v>0.00112332584386565</v>
      </c>
      <c r="V92" s="34" cm="1">
        <f t="array" ref="V92">$R92*N92</f>
        <v>1.74999674977645</v>
      </c>
      <c r="W92" s="34" cm="1">
        <f t="array" ref="W92">$R92*O92</f>
        <v>312.445775515769</v>
      </c>
      <c r="X92" s="6"/>
      <c r="Y92" s="34" cm="1">
        <f t="array" ref="Y92">T92-Y$93-Y$3</f>
        <v>0.700516387163194</v>
      </c>
      <c r="Z92" s="34" cm="1">
        <f t="array" ref="Z92">U92-Z$93-Z$3</f>
        <v>-0.10859468125968</v>
      </c>
      <c r="AA92" s="34" cm="1">
        <f t="array" ref="AA92">V92-AA$93-AA$3</f>
        <v>-0.20079534154942</v>
      </c>
      <c r="AB92" s="34" cm="1">
        <f t="array" ref="AB92">W92-AB$93-AB$3</f>
        <v>312.228355034526</v>
      </c>
      <c r="AC92" s="6"/>
      <c r="AD92" s="41">
        <v>1.489</v>
      </c>
      <c r="AE92" s="35"/>
      <c r="AF92" s="41" cm="1">
        <f t="array" ref="AF92">Y92/$AD92</f>
        <v>0.470460971902749</v>
      </c>
      <c r="AG92" s="41" cm="1">
        <f t="array" ref="AG92">Z92/$AD92</f>
        <v>-0.0729312835860846</v>
      </c>
      <c r="AH92" s="41" cm="1">
        <f t="array" ref="AH92">AA92/$AD92</f>
        <v>-0.134852479213848</v>
      </c>
      <c r="AI92" s="41" cm="1">
        <f t="array" ref="AI92">AB92/$AD92</f>
        <v>209.689963085645</v>
      </c>
    </row>
    <row r="93" ht="17" customHeight="1">
      <c r="A93" s="6"/>
      <c r="B93" t="s" s="32">
        <v>106</v>
      </c>
      <c r="C93" s="34">
        <v>2</v>
      </c>
      <c r="D93" t="s" s="32">
        <v>154</v>
      </c>
      <c r="E93" s="37">
        <v>0.404435203366663</v>
      </c>
      <c r="F93" s="61">
        <v>0.00444367741622345</v>
      </c>
      <c r="G93" s="39">
        <v>9.360397996545469</v>
      </c>
      <c r="H93" s="40">
        <v>0.606502032662143</v>
      </c>
      <c r="I93" s="6"/>
      <c r="J93" s="34">
        <v>1.0309071913634</v>
      </c>
      <c r="K93" s="6"/>
      <c r="L93" s="34" cm="1">
        <f t="array" ref="L93">E93*$J93</f>
        <v>0.416935159591212</v>
      </c>
      <c r="M93" s="34" cm="1">
        <f t="array" ref="M93">F93*$J93</f>
        <v>0.00458101900448389</v>
      </c>
      <c r="N93" s="34" cm="1">
        <f t="array" ref="N93">G93*$J93</f>
        <v>9.649701608662291</v>
      </c>
      <c r="O93" s="34" cm="1">
        <f t="array" ref="O93">H93*$J93</f>
        <v>0.625247307047923</v>
      </c>
      <c r="P93" s="6"/>
      <c r="Q93" s="34">
        <v>245.25</v>
      </c>
      <c r="R93" s="34" cm="1">
        <f t="array" ref="R93">Q93/1000</f>
        <v>0.24525</v>
      </c>
      <c r="S93" s="6"/>
      <c r="T93" s="34" cm="1">
        <f t="array" ref="T93">$R93*L93</f>
        <v>0.102253347889745</v>
      </c>
      <c r="U93" s="34" cm="1">
        <f t="array" ref="U93">$R93*M93</f>
        <v>0.00112349491084967</v>
      </c>
      <c r="V93" s="34" cm="1">
        <f t="array" ref="V93">$R93*N93</f>
        <v>2.36658931952443</v>
      </c>
      <c r="W93" s="34" cm="1">
        <f t="array" ref="W93">$R93*O93</f>
        <v>0.153341902053503</v>
      </c>
      <c r="X93" s="6"/>
      <c r="Y93" s="34" cm="1">
        <f t="array" ref="Y93">AVERAGE(T93,T95)</f>
        <v>0.105004472804836</v>
      </c>
      <c r="Z93" s="34" cm="1">
        <f t="array" ref="Z93">AVERAGE(U93:U95)</f>
        <v>0.109718007103546</v>
      </c>
      <c r="AA93" s="34" cm="1">
        <f t="array" ref="AA93">AVERAGE(V93:V95)</f>
        <v>1.95079209132587</v>
      </c>
      <c r="AB93" s="34" cm="1">
        <f t="array" ref="AB93">AVERAGE(W93:W95)</f>
        <v>0.217420481243124</v>
      </c>
      <c r="AC93" s="6"/>
      <c r="AD93" s="35"/>
      <c r="AE93" s="35"/>
      <c r="AF93" s="35" cm="1">
        <f t="array" ref="AF93">Y93/$AD93</f>
      </c>
      <c r="AG93" s="35"/>
      <c r="AH93" s="35" cm="1">
        <f t="array" ref="AH93">AA93/$AD93</f>
      </c>
      <c r="AI93" s="35" cm="1">
        <f t="array" ref="AI93">AB93/$AD93</f>
      </c>
    </row>
    <row r="94" ht="17" customHeight="1">
      <c r="A94" s="6"/>
      <c r="B94" t="s" s="32">
        <v>108</v>
      </c>
      <c r="C94" s="34">
        <v>2</v>
      </c>
      <c r="D94" t="s" s="32">
        <v>155</v>
      </c>
      <c r="E94" s="37">
        <v>0.325950080570853</v>
      </c>
      <c r="F94" s="38">
        <v>1.24987511483156</v>
      </c>
      <c r="G94" s="42">
        <v>8.02476035439326</v>
      </c>
      <c r="H94" s="34">
        <v>0.987308268776805</v>
      </c>
      <c r="I94" s="6"/>
      <c r="J94" s="34">
        <v>1.02989770723104</v>
      </c>
      <c r="K94" s="6"/>
      <c r="L94" s="34" cm="1">
        <f t="array" ref="L94">E94*$J94</f>
        <v>0.335695240651694</v>
      </c>
      <c r="M94" s="34" cm="1">
        <f t="array" ref="M94">F94*$J94</f>
        <v>1.28724351509016</v>
      </c>
      <c r="N94" s="34" cm="1">
        <f t="array" ref="N94">G94*$J94</f>
        <v>8.264682290068169</v>
      </c>
      <c r="O94" s="34" cm="1">
        <f t="array" ref="O94">H94*$J94</f>
        <v>1.01682652234348</v>
      </c>
      <c r="P94" s="6"/>
      <c r="Q94" s="34">
        <v>253.97</v>
      </c>
      <c r="R94" s="34" cm="1">
        <f t="array" ref="R94">Q94/1000</f>
        <v>0.25397</v>
      </c>
      <c r="S94" s="6"/>
      <c r="T94" s="34" cm="1">
        <f t="array" ref="T94">$R94*L94</f>
        <v>0.0852565202683107</v>
      </c>
      <c r="U94" s="34" cm="1">
        <f t="array" ref="U94">$R94*M94</f>
        <v>0.326921235527448</v>
      </c>
      <c r="V94" s="34" cm="1">
        <f t="array" ref="V94">$R94*N94</f>
        <v>2.09898136120861</v>
      </c>
      <c r="W94" s="34" cm="1">
        <f t="array" ref="W94">$R94*O94</f>
        <v>0.258243431879574</v>
      </c>
      <c r="X94" s="6"/>
      <c r="Y94" s="6"/>
      <c r="Z94" s="6"/>
      <c r="AA94" s="6"/>
      <c r="AB94" s="6"/>
      <c r="AC94" s="6"/>
      <c r="AD94" s="35"/>
      <c r="AE94" s="35"/>
      <c r="AF94" s="35" cm="1">
        <f t="array" ref="AF94">Y94/$AD94</f>
      </c>
      <c r="AG94" s="35" cm="1">
        <f t="array" ref="AG94">Z94/$AD94</f>
      </c>
      <c r="AH94" s="35" cm="1">
        <f t="array" ref="AH94">AA94/$AD94</f>
      </c>
      <c r="AI94" s="35" cm="1">
        <f t="array" ref="AI94">AB94/$AD94</f>
      </c>
    </row>
    <row r="95" ht="17" customHeight="1">
      <c r="A95" s="5"/>
      <c r="B95" t="s" s="8">
        <v>110</v>
      </c>
      <c r="C95" s="44">
        <v>2</v>
      </c>
      <c r="D95" t="s" s="8">
        <v>156</v>
      </c>
      <c r="E95" s="48">
        <v>0.431655148347265</v>
      </c>
      <c r="F95" s="61">
        <v>0.00444367741622345</v>
      </c>
      <c r="G95" s="39">
        <v>5.5553659090335</v>
      </c>
      <c r="H95" s="49">
        <v>0.9641177263735879</v>
      </c>
      <c r="I95" s="5"/>
      <c r="J95" s="50">
        <v>1.03081937633689</v>
      </c>
      <c r="K95" s="5"/>
      <c r="L95" s="50" cm="1">
        <f t="array" ref="L95">E95*$J95</f>
        <v>0.444958490811935</v>
      </c>
      <c r="M95" s="50" cm="1">
        <f t="array" ref="M95">F95*$J95</f>
        <v>0.00458062878283378</v>
      </c>
      <c r="N95" s="50" cm="1">
        <f t="array" ref="N95">G95*$J95</f>
        <v>5.72657882167313</v>
      </c>
      <c r="O95" s="50" cm="1">
        <f t="array" ref="O95">H95*$J95</f>
        <v>0.993831233415762</v>
      </c>
      <c r="P95" s="5"/>
      <c r="Q95" s="44">
        <v>242.17</v>
      </c>
      <c r="R95" s="50" cm="1">
        <f t="array" ref="R95">Q95/1000</f>
        <v>0.24217</v>
      </c>
      <c r="S95" s="5"/>
      <c r="T95" s="50" cm="1">
        <f t="array" ref="T95">$R95*L95</f>
        <v>0.107755597719926</v>
      </c>
      <c r="U95" s="50" cm="1">
        <f t="array" ref="U95">$R95*M95</f>
        <v>0.00110929087233886</v>
      </c>
      <c r="V95" s="50" cm="1">
        <f t="array" ref="V95">$R95*N95</f>
        <v>1.38680559324458</v>
      </c>
      <c r="W95" s="50" cm="1">
        <f t="array" ref="W95">$R95*O95</f>
        <v>0.240676109796295</v>
      </c>
      <c r="X95" s="5"/>
      <c r="Y95" s="5"/>
      <c r="Z95" s="5"/>
      <c r="AA95" s="5"/>
      <c r="AB95" s="5"/>
      <c r="AC95" s="5"/>
      <c r="AD95" s="11"/>
      <c r="AE95" s="11"/>
      <c r="AF95" s="51" cm="1">
        <f t="array" ref="AF95">Y95/$AD95</f>
      </c>
      <c r="AG95" s="51" cm="1">
        <f t="array" ref="AG95">Z95/$AD95</f>
      </c>
      <c r="AH95" s="51" cm="1">
        <f t="array" ref="AH95">AA95/$AD95</f>
      </c>
      <c r="AI95" s="51" cm="1">
        <f t="array" ref="AI95">AB95/$AD95</f>
      </c>
    </row>
    <row r="96" ht="17" customHeight="1">
      <c r="A96" s="45">
        <v>4</v>
      </c>
      <c r="B96" t="s" s="25">
        <v>22</v>
      </c>
      <c r="C96" s="45">
        <v>4</v>
      </c>
      <c r="D96" t="s" s="62">
        <v>157</v>
      </c>
      <c r="E96" s="54">
        <v>261.673960190001</v>
      </c>
      <c r="F96" s="38">
        <v>2330.464113575690</v>
      </c>
      <c r="G96" s="39">
        <v>16528.8510267898</v>
      </c>
      <c r="H96" s="55">
        <v>87.268021172304</v>
      </c>
      <c r="I96" s="26"/>
      <c r="J96" s="56">
        <v>1.05847321478034</v>
      </c>
      <c r="K96" s="26"/>
      <c r="L96" s="56" cm="1">
        <f t="array" ref="L96">E96*$J96</f>
        <v>276.974877866613</v>
      </c>
      <c r="M96" s="56" cm="1">
        <f t="array" ref="M96">F96*$J96</f>
        <v>2466.733842226680</v>
      </c>
      <c r="N96" s="56" cm="1">
        <f t="array" ref="N96">G96*$J96</f>
        <v>17495.3460829515</v>
      </c>
      <c r="O96" s="56" cm="1">
        <f t="array" ref="O96">H96*$J96</f>
        <v>92.3708629177674</v>
      </c>
      <c r="P96" s="26"/>
      <c r="Q96" s="45">
        <v>231.021</v>
      </c>
      <c r="R96" s="56" cm="1">
        <f t="array" ref="R96">Q96/1000</f>
        <v>0.231021</v>
      </c>
      <c r="S96" s="26"/>
      <c r="T96" s="56" cm="1">
        <f t="array" ref="T96">$R96*L96</f>
        <v>63.9870132596228</v>
      </c>
      <c r="U96" s="56" cm="1">
        <f t="array" ref="U96">$R96*M96</f>
        <v>569.867318965050</v>
      </c>
      <c r="V96" s="56" cm="1">
        <f t="array" ref="V96">$R96*N96</f>
        <v>4041.792347429540</v>
      </c>
      <c r="W96" s="56" cm="1">
        <f t="array" ref="W96">$R96*O96</f>
        <v>21.3396091221255</v>
      </c>
      <c r="X96" s="26"/>
      <c r="Y96" s="45" cm="1">
        <f t="array" ref="Y96">T96-Y$102-Y$3</f>
        <v>54.6953309195113</v>
      </c>
      <c r="Z96" s="45" cm="1">
        <f t="array" ref="Z96">U96-Z$102-Z$3</f>
        <v>554.1057763346309</v>
      </c>
      <c r="AA96" s="45" cm="1">
        <f t="array" ref="AA96">V96-AA$102-AA$3</f>
        <v>4037.077839464110</v>
      </c>
      <c r="AB96" s="45" cm="1">
        <f t="array" ref="AB96">W96-AB$102-AB$3</f>
        <v>26.7780357555756</v>
      </c>
      <c r="AC96" s="26"/>
      <c r="AD96" s="57">
        <v>4.151</v>
      </c>
      <c r="AE96" s="58"/>
      <c r="AF96" s="59" cm="1">
        <f t="array" ref="AF96">Y96/$AD96</f>
        <v>13.176422770299</v>
      </c>
      <c r="AG96" s="59" cm="1">
        <f t="array" ref="AG96">Z96/$AD96</f>
        <v>133.487298562908</v>
      </c>
      <c r="AH96" s="59" cm="1">
        <f t="array" ref="AH96">AA96/$AD96</f>
        <v>972.555490114216</v>
      </c>
      <c r="AI96" s="59" cm="1">
        <f t="array" ref="AI96">AB96/$AD96</f>
        <v>6.45098428223936</v>
      </c>
    </row>
    <row r="97" ht="17" customHeight="1">
      <c r="A97" s="6"/>
      <c r="B97" t="s" s="32">
        <v>24</v>
      </c>
      <c r="C97" s="34">
        <v>4</v>
      </c>
      <c r="D97" t="s" s="63">
        <v>158</v>
      </c>
      <c r="E97" s="37">
        <v>440.765563260591</v>
      </c>
      <c r="F97" s="38">
        <v>166.225729418681</v>
      </c>
      <c r="G97" s="42">
        <v>16429.7424715228</v>
      </c>
      <c r="H97" s="34">
        <v>-37.9140675383087</v>
      </c>
      <c r="I97" s="6"/>
      <c r="J97" s="34">
        <v>1.04051682576415</v>
      </c>
      <c r="K97" s="6"/>
      <c r="L97" s="34" cm="1">
        <f t="array" ref="L97">E97*$J97</f>
        <v>458.623984790058</v>
      </c>
      <c r="M97" s="34" cm="1">
        <f t="array" ref="M97">F97*$J97</f>
        <v>172.960668335056</v>
      </c>
      <c r="N97" s="34" cm="1">
        <f t="array" ref="N97">G97*$J97</f>
        <v>17095.4234845913</v>
      </c>
      <c r="O97" s="34" cm="1">
        <f t="array" ref="O97">H97*$J97</f>
        <v>-39.4502252067686</v>
      </c>
      <c r="P97" s="6"/>
      <c r="Q97" s="34">
        <v>226.5376</v>
      </c>
      <c r="R97" s="34" cm="1">
        <f t="array" ref="R97">Q97/1000</f>
        <v>0.2265376</v>
      </c>
      <c r="S97" s="6"/>
      <c r="T97" s="34" cm="1">
        <f t="array" ref="T97">$R97*L97</f>
        <v>103.895576816776</v>
      </c>
      <c r="U97" s="34" cm="1">
        <f t="array" ref="U97">$R97*M97</f>
        <v>39.1820946990196</v>
      </c>
      <c r="V97" s="34" cm="1">
        <f t="array" ref="V97">$R97*N97</f>
        <v>3872.756207182950</v>
      </c>
      <c r="W97" s="34" cm="1">
        <f t="array" ref="W97">$R97*O97</f>
        <v>-8.936959337800859</v>
      </c>
      <c r="X97" s="6"/>
      <c r="Y97" s="34" cm="1">
        <f t="array" ref="Y97">T97-Y$102-Y$3</f>
        <v>94.60389447666449</v>
      </c>
      <c r="Z97" s="34" cm="1">
        <f t="array" ref="Z97">U97-Z$102-Z$3</f>
        <v>23.4205520686002</v>
      </c>
      <c r="AA97" s="34" cm="1">
        <f t="array" ref="AA97">V97-AA$102-AA$3</f>
        <v>3868.041699217520</v>
      </c>
      <c r="AB97" s="34" cm="1">
        <f t="array" ref="AB97">W97-AB$102-AB$3</f>
        <v>-3.4985327043508</v>
      </c>
      <c r="AC97" s="6"/>
      <c r="AD97" s="41">
        <v>4.2742</v>
      </c>
      <c r="AE97" s="35"/>
      <c r="AF97" s="41" cm="1">
        <f t="array" ref="AF97">Y97/$AD97</f>
        <v>22.1337079398869</v>
      </c>
      <c r="AG97" s="41" cm="1">
        <f t="array" ref="AG97">Z97/$AD97</f>
        <v>5.47951711866553</v>
      </c>
      <c r="AH97" s="41" cm="1">
        <f t="array" ref="AH97">AA97/$AD97</f>
        <v>904.974427780057</v>
      </c>
      <c r="AI97" s="41" cm="1">
        <f t="array" ref="AI97">AB97/$AD97</f>
        <v>-0.818523397209022</v>
      </c>
    </row>
    <row r="98" ht="17" customHeight="1">
      <c r="A98" s="6"/>
      <c r="B98" t="s" s="32">
        <v>26</v>
      </c>
      <c r="C98" s="34">
        <v>4</v>
      </c>
      <c r="D98" t="s" s="63">
        <v>159</v>
      </c>
      <c r="E98" s="37">
        <v>3.38973484337798</v>
      </c>
      <c r="F98" s="38">
        <v>155.638900742977</v>
      </c>
      <c r="G98" s="39">
        <v>17768.8637763003</v>
      </c>
      <c r="H98" s="40">
        <v>-8.34959955170393</v>
      </c>
      <c r="I98" s="6"/>
      <c r="J98" s="34">
        <v>1.03974036296198</v>
      </c>
      <c r="K98" s="6"/>
      <c r="L98" s="34" cm="1">
        <f t="array" ref="L98">E98*$J98</f>
        <v>3.52444413639869</v>
      </c>
      <c r="M98" s="34" cm="1">
        <f t="array" ref="M98">F98*$J98</f>
        <v>161.824047149506</v>
      </c>
      <c r="N98" s="34" cm="1">
        <f t="array" ref="N98">G98*$J98</f>
        <v>18475.0048721925</v>
      </c>
      <c r="O98" s="34" cm="1">
        <f t="array" ref="O98">H98*$J98</f>
        <v>-8.681415668475831</v>
      </c>
      <c r="P98" s="6"/>
      <c r="Q98" s="34">
        <v>127.1058</v>
      </c>
      <c r="R98" s="34" cm="1">
        <f t="array" ref="R98">Q98/1000</f>
        <v>0.1271058</v>
      </c>
      <c r="S98" s="6"/>
      <c r="T98" s="34" cm="1">
        <f t="array" ref="T98">$R98*L98</f>
        <v>0.447977291512265</v>
      </c>
      <c r="U98" s="34" cm="1">
        <f t="array" ref="U98">$R98*M98</f>
        <v>20.5687749721757</v>
      </c>
      <c r="V98" s="34" cm="1">
        <f t="array" ref="V98">$R98*N98</f>
        <v>2348.280274283930</v>
      </c>
      <c r="W98" s="34" cm="1">
        <f t="array" ref="W98">$R98*O98</f>
        <v>-1.10345828367416</v>
      </c>
      <c r="X98" s="6"/>
      <c r="Y98" s="34" cm="1">
        <f t="array" ref="Y98">T98-Y$102-Y$3</f>
        <v>-8.84370504859924</v>
      </c>
      <c r="Z98" s="34" cm="1">
        <f t="array" ref="Z98">U98-Z$102-Z$3</f>
        <v>4.8072323417563</v>
      </c>
      <c r="AA98" s="34" cm="1">
        <f t="array" ref="AA98">V98-AA$102-AA$3</f>
        <v>2343.5657663185</v>
      </c>
      <c r="AB98" s="34" cm="1">
        <f t="array" ref="AB98">W98-AB$102-AB$3</f>
        <v>4.3349683497759</v>
      </c>
      <c r="AC98" s="6"/>
      <c r="AD98" s="41">
        <v>4.4778</v>
      </c>
      <c r="AE98" s="35"/>
      <c r="AF98" s="41" cm="1">
        <f t="array" ref="AF98">Y98/$AD98</f>
        <v>-1.97501117705106</v>
      </c>
      <c r="AG98" s="41" cm="1">
        <f t="array" ref="AG98">Z98/$AD98</f>
        <v>1.07357013304665</v>
      </c>
      <c r="AH98" s="41" cm="1">
        <f t="array" ref="AH98">AA98/$AD98</f>
        <v>523.374372754143</v>
      </c>
      <c r="AI98" s="41" cm="1">
        <f t="array" ref="AI98">AB98/$AD98</f>
        <v>0.968102271154563</v>
      </c>
    </row>
    <row r="99" ht="17" customHeight="1">
      <c r="A99" s="6"/>
      <c r="B99" t="s" s="32">
        <v>28</v>
      </c>
      <c r="C99" s="34">
        <v>4</v>
      </c>
      <c r="D99" t="s" s="63">
        <v>160</v>
      </c>
      <c r="E99" s="37">
        <v>13.459446708656</v>
      </c>
      <c r="F99" s="38">
        <v>13.3169339010655</v>
      </c>
      <c r="G99" s="39">
        <v>18.1945373024958</v>
      </c>
      <c r="H99" s="40">
        <v>1562.562266429040</v>
      </c>
      <c r="I99" s="6"/>
      <c r="J99" s="34">
        <v>1.04103705439069</v>
      </c>
      <c r="K99" s="6"/>
      <c r="L99" s="34" cm="1">
        <f t="array" ref="L99">E99*$J99</f>
        <v>14.0117827553077</v>
      </c>
      <c r="M99" s="34" cm="1">
        <f t="array" ref="M99">F99*$J99</f>
        <v>13.8634216418807</v>
      </c>
      <c r="N99" s="34" cm="1">
        <f t="array" ref="N99">G99*$J99</f>
        <v>18.9411875193918</v>
      </c>
      <c r="O99" s="34" cm="1">
        <f t="array" ref="O99">H99*$J99</f>
        <v>1626.685219145330</v>
      </c>
      <c r="P99" s="6"/>
      <c r="Q99" s="34">
        <v>227.027</v>
      </c>
      <c r="R99" s="34" cm="1">
        <f t="array" ref="R99">Q99/1000</f>
        <v>0.227027</v>
      </c>
      <c r="S99" s="6"/>
      <c r="T99" s="34" cm="1">
        <f t="array" ref="T99">$R99*L99</f>
        <v>3.18105300358924</v>
      </c>
      <c r="U99" s="34" cm="1">
        <f t="array" ref="U99">$R99*M99</f>
        <v>3.14737102509125</v>
      </c>
      <c r="V99" s="34" cm="1">
        <f t="array" ref="V99">$R99*N99</f>
        <v>4.30016097896496</v>
      </c>
      <c r="W99" s="34" cm="1">
        <f t="array" ref="W99">$R99*O99</f>
        <v>369.301465246907</v>
      </c>
      <c r="X99" s="6"/>
      <c r="Y99" s="34" cm="1">
        <f t="array" ref="Y99">T99-Y$102-Y$3</f>
        <v>-6.11062933652226</v>
      </c>
      <c r="Z99" s="34" cm="1">
        <f t="array" ref="Z99">U99-Z$102-Z$3</f>
        <v>-12.6141716053282</v>
      </c>
      <c r="AA99" s="34" cm="1">
        <f t="array" ref="AA99">V99-AA$102-AA$3</f>
        <v>-0.41434698646229</v>
      </c>
      <c r="AB99" s="34" cm="1">
        <f t="array" ref="AB99">W99-AB$102-AB$3</f>
        <v>374.739891880357</v>
      </c>
      <c r="AC99" s="6"/>
      <c r="AD99" s="41">
        <v>2.4186</v>
      </c>
      <c r="AE99" s="35"/>
      <c r="AF99" s="41" cm="1">
        <f t="array" ref="AF99">Y99/$AD99</f>
        <v>-2.52651506512952</v>
      </c>
      <c r="AG99" s="41" cm="1">
        <f t="array" ref="AG99">Z99/$AD99</f>
        <v>-5.21548482813537</v>
      </c>
      <c r="AH99" s="41" cm="1">
        <f t="array" ref="AH99">AA99/$AD99</f>
        <v>-0.171316871935124</v>
      </c>
      <c r="AI99" s="41" cm="1">
        <f t="array" ref="AI99">AB99/$AD99</f>
        <v>154.940830182898</v>
      </c>
    </row>
    <row r="100" ht="17" customHeight="1">
      <c r="A100" s="6"/>
      <c r="B100" t="s" s="32">
        <v>30</v>
      </c>
      <c r="C100" s="34">
        <v>4</v>
      </c>
      <c r="D100" t="s" s="63">
        <v>161</v>
      </c>
      <c r="E100" s="37">
        <v>49.6693301468738</v>
      </c>
      <c r="F100" s="38">
        <v>28.7905899964658</v>
      </c>
      <c r="G100" s="39">
        <v>16.518097917719</v>
      </c>
      <c r="H100" s="40">
        <v>1537.877764348520</v>
      </c>
      <c r="I100" s="6"/>
      <c r="J100" s="34">
        <v>1.03082343229458</v>
      </c>
      <c r="K100" s="6"/>
      <c r="L100" s="34" cm="1">
        <f t="array" ref="L100">E100*$J100</f>
        <v>51.2003093817731</v>
      </c>
      <c r="M100" s="34" cm="1">
        <f t="array" ref="M100">F100*$J100</f>
        <v>29.6780147979429</v>
      </c>
      <c r="N100" s="34" cm="1">
        <f t="array" ref="N100">G100*$J100</f>
        <v>17.0272423905211</v>
      </c>
      <c r="O100" s="34" cm="1">
        <f t="array" ref="O100">H100*$J100</f>
        <v>1585.280435495260</v>
      </c>
      <c r="P100" s="6"/>
      <c r="Q100" s="34">
        <v>224.358</v>
      </c>
      <c r="R100" s="34" cm="1">
        <f t="array" ref="R100">Q100/1000</f>
        <v>0.224358</v>
      </c>
      <c r="S100" s="6"/>
      <c r="T100" s="34" cm="1">
        <f t="array" ref="T100">$R100*L100</f>
        <v>11.4871990122758</v>
      </c>
      <c r="U100" s="34" cm="1">
        <f t="array" ref="U100">$R100*M100</f>
        <v>6.65850004403687</v>
      </c>
      <c r="V100" s="34" cm="1">
        <f t="array" ref="V100">$R100*N100</f>
        <v>3.82019804825253</v>
      </c>
      <c r="W100" s="34" cm="1">
        <f t="array" ref="W100">$R100*O100</f>
        <v>355.670347946846</v>
      </c>
      <c r="X100" s="6"/>
      <c r="Y100" s="34" cm="1">
        <f t="array" ref="Y100">T100-Y$102-Y$3</f>
        <v>2.1955166721643</v>
      </c>
      <c r="Z100" s="34" cm="1">
        <f t="array" ref="Z100">U100-Z$102-Z$3</f>
        <v>-9.10304258638253</v>
      </c>
      <c r="AA100" s="34" cm="1">
        <f t="array" ref="AA100">V100-AA$102-AA$3</f>
        <v>-0.89430991717472</v>
      </c>
      <c r="AB100" s="34" cm="1">
        <f t="array" ref="AB100">W100-AB$102-AB$3</f>
        <v>361.108774580296</v>
      </c>
      <c r="AC100" s="6"/>
      <c r="AD100" s="41">
        <v>2.5692</v>
      </c>
      <c r="AE100" s="35"/>
      <c r="AF100" s="41" cm="1">
        <f t="array" ref="AF100">Y100/$AD100</f>
        <v>0.854552651472949</v>
      </c>
      <c r="AG100" s="41" cm="1">
        <f t="array" ref="AG100">Z100/$AD100</f>
        <v>-3.54314284072183</v>
      </c>
      <c r="AH100" s="41" cm="1">
        <f t="array" ref="AH100">AA100/$AD100</f>
        <v>-0.348088867030484</v>
      </c>
      <c r="AI100" s="41" cm="1">
        <f t="array" ref="AI100">AB100/$AD100</f>
        <v>140.553002716914</v>
      </c>
    </row>
    <row r="101" ht="17" customHeight="1">
      <c r="A101" s="6"/>
      <c r="B101" t="s" s="32">
        <v>32</v>
      </c>
      <c r="C101" s="34">
        <v>4</v>
      </c>
      <c r="D101" t="s" s="63">
        <v>162</v>
      </c>
      <c r="E101" s="37">
        <v>57.0909124413421</v>
      </c>
      <c r="F101" s="38">
        <v>10.8614655732941</v>
      </c>
      <c r="G101" s="42">
        <v>15.2463513875684</v>
      </c>
      <c r="H101" s="34">
        <v>1478.116534159260</v>
      </c>
      <c r="I101" s="6"/>
      <c r="J101" s="34">
        <v>1.03098546324946</v>
      </c>
      <c r="K101" s="6"/>
      <c r="L101" s="34" cm="1">
        <f t="array" ref="L101">E101*$J101</f>
        <v>58.8599008106714</v>
      </c>
      <c r="M101" s="34" cm="1">
        <f t="array" ref="M101">F101*$J101</f>
        <v>11.1980131156507</v>
      </c>
      <c r="N101" s="34" cm="1">
        <f t="array" ref="N101">G101*$J101</f>
        <v>15.7187666481763</v>
      </c>
      <c r="O101" s="34" cm="1">
        <f t="array" ref="O101">H101*$J101</f>
        <v>1523.916659706870</v>
      </c>
      <c r="P101" s="6"/>
      <c r="Q101" s="34">
        <v>228.095</v>
      </c>
      <c r="R101" s="34" cm="1">
        <f t="array" ref="R101">Q101/1000</f>
        <v>0.228095</v>
      </c>
      <c r="S101" s="6"/>
      <c r="T101" s="34" cm="1">
        <f t="array" ref="T101">$R101*L101</f>
        <v>13.4256490754101</v>
      </c>
      <c r="U101" s="34" cm="1">
        <f t="array" ref="U101">$R101*M101</f>
        <v>2.55421080161435</v>
      </c>
      <c r="V101" s="34" cm="1">
        <f t="array" ref="V101">$R101*N101</f>
        <v>3.58537207861577</v>
      </c>
      <c r="W101" s="34" cm="1">
        <f t="array" ref="W101">$R101*O101</f>
        <v>347.597770495839</v>
      </c>
      <c r="X101" s="6"/>
      <c r="Y101" s="34" cm="1">
        <f t="array" ref="Y101">T101-Y$102-Y$3</f>
        <v>4.1339667352986</v>
      </c>
      <c r="Z101" s="34" cm="1">
        <f t="array" ref="Z101">U101-Z$102-Z$3</f>
        <v>-13.2073318288051</v>
      </c>
      <c r="AA101" s="34" cm="1">
        <f t="array" ref="AA101">V101-AA$102-AA$3</f>
        <v>-1.12913588681148</v>
      </c>
      <c r="AB101" s="34" cm="1">
        <f t="array" ref="AB101">W101-AB$102-AB$3</f>
        <v>353.036197129289</v>
      </c>
      <c r="AC101" s="6"/>
      <c r="AD101" s="41">
        <v>2.2904</v>
      </c>
      <c r="AE101" s="35"/>
      <c r="AF101" s="41" cm="1">
        <f t="array" ref="AF101">Y101/$AD101</f>
        <v>1.80491038041329</v>
      </c>
      <c r="AG101" s="41" cm="1">
        <f t="array" ref="AG101">Z101/$AD101</f>
        <v>-5.76638658260789</v>
      </c>
      <c r="AH101" s="41" cm="1">
        <f t="array" ref="AH101">AA101/$AD101</f>
        <v>-0.492986328506584</v>
      </c>
      <c r="AI101" s="41" cm="1">
        <f t="array" ref="AI101">AB101/$AD101</f>
        <v>154.137354666997</v>
      </c>
    </row>
    <row r="102" ht="17" customHeight="1">
      <c r="A102" s="6"/>
      <c r="B102" t="s" s="32">
        <v>34</v>
      </c>
      <c r="C102" s="34">
        <v>4</v>
      </c>
      <c r="D102" t="s" s="63">
        <v>163</v>
      </c>
      <c r="E102" s="37">
        <v>7.24882421592602</v>
      </c>
      <c r="F102" s="38">
        <v>85.3437510062334</v>
      </c>
      <c r="G102" s="39">
        <v>16.1455358320693</v>
      </c>
      <c r="H102" s="40">
        <v>-22.6115683938234</v>
      </c>
      <c r="I102" s="6"/>
      <c r="J102" s="34">
        <v>1.03273226804775</v>
      </c>
      <c r="K102" s="6"/>
      <c r="L102" s="34" cm="1">
        <f t="array" ref="L102">E102*$J102</f>
        <v>7.48609467319273</v>
      </c>
      <c r="M102" s="34" cm="1">
        <f t="array" ref="M102">F102*$J102</f>
        <v>88.1372455403699</v>
      </c>
      <c r="N102" s="34" cm="1">
        <f t="array" ref="N102">G102*$J102</f>
        <v>16.6740158386991</v>
      </c>
      <c r="O102" s="34" cm="1">
        <f t="array" ref="O102">H102*$J102</f>
        <v>-23.3516963114701</v>
      </c>
      <c r="P102" s="6"/>
      <c r="Q102" s="34">
        <v>225.45</v>
      </c>
      <c r="R102" s="34" cm="1">
        <f t="array" ref="R102">Q102/1000</f>
        <v>0.22545</v>
      </c>
      <c r="S102" s="6"/>
      <c r="T102" s="34" cm="1">
        <f t="array" ref="T102">$R102*L102</f>
        <v>1.6877400440713</v>
      </c>
      <c r="U102" s="34" cm="1">
        <f t="array" ref="U102">$R102*M102</f>
        <v>19.8705420070764</v>
      </c>
      <c r="V102" s="34" cm="1">
        <f t="array" ref="V102">$R102*N102</f>
        <v>3.75915687083471</v>
      </c>
      <c r="W102" s="34" cm="1">
        <f t="array" ref="W102">$R102*O102</f>
        <v>-5.26463993342093</v>
      </c>
      <c r="X102" s="6"/>
      <c r="Y102" s="34" cm="1">
        <f t="array" ref="Y102">AVERAGE(T102:T104)</f>
        <v>9.2916823401115</v>
      </c>
      <c r="Z102" s="34" cm="1">
        <f t="array" ref="Z102">AVERAGE(U102:U104)</f>
        <v>15.7615426304194</v>
      </c>
      <c r="AA102" s="34" cm="1">
        <f t="array" ref="AA102">AVERAGE(V102:V104)</f>
        <v>4.71450796542725</v>
      </c>
      <c r="AB102" s="34" cm="1">
        <f t="array" ref="AB102">AVERAGE(W102:W104)</f>
        <v>-5.43842663345006</v>
      </c>
      <c r="AC102" s="6"/>
      <c r="AD102" s="35"/>
      <c r="AE102" s="35"/>
      <c r="AF102" s="35" cm="1">
        <f t="array" ref="AF102">Y102/$AD102</f>
      </c>
      <c r="AG102" s="35" cm="1">
        <f t="array" ref="AG102">Z102/$AD102</f>
      </c>
      <c r="AH102" s="35" cm="1">
        <f t="array" ref="AH102">AA102/$AD102</f>
      </c>
      <c r="AI102" s="35" cm="1">
        <f t="array" ref="AI102">AB102/$AD102</f>
      </c>
    </row>
    <row r="103" ht="17" customHeight="1">
      <c r="A103" s="6"/>
      <c r="B103" t="s" s="32">
        <v>36</v>
      </c>
      <c r="C103" s="34">
        <v>4</v>
      </c>
      <c r="D103" t="s" s="63">
        <v>164</v>
      </c>
      <c r="E103" s="37">
        <v>30.1546620680649</v>
      </c>
      <c r="F103" s="38">
        <v>58.8374182954962</v>
      </c>
      <c r="G103" s="42">
        <v>31.2858721702201</v>
      </c>
      <c r="H103" s="34">
        <v>-24.3162963974846</v>
      </c>
      <c r="I103" s="6"/>
      <c r="J103" s="34">
        <v>1.03688831780705</v>
      </c>
      <c r="K103" s="6"/>
      <c r="L103" s="34" cm="1">
        <f t="array" ref="L103">E103*$J103</f>
        <v>31.2670168257959</v>
      </c>
      <c r="M103" s="34" cm="1">
        <f t="array" ref="M103">F103*$J103</f>
        <v>61.0078316805268</v>
      </c>
      <c r="N103" s="34" cm="1">
        <f t="array" ref="N103">G103*$J103</f>
        <v>32.4399553657059</v>
      </c>
      <c r="O103" s="34" cm="1">
        <f t="array" ref="O103">H103*$J103</f>
        <v>-25.2132836668854</v>
      </c>
      <c r="P103" s="6"/>
      <c r="Q103" s="34">
        <v>224.02</v>
      </c>
      <c r="R103" s="34" cm="1">
        <f t="array" ref="R103">Q103/1000</f>
        <v>0.22402</v>
      </c>
      <c r="S103" s="6"/>
      <c r="T103" s="34" cm="1">
        <f t="array" ref="T103">$R103*L103</f>
        <v>7.0044371093148</v>
      </c>
      <c r="U103" s="34" cm="1">
        <f t="array" ref="U103">$R103*M103</f>
        <v>13.6669744530716</v>
      </c>
      <c r="V103" s="34" cm="1">
        <f t="array" ref="V103">$R103*N103</f>
        <v>7.26719880102544</v>
      </c>
      <c r="W103" s="34" cm="1">
        <f t="array" ref="W103">$R103*O103</f>
        <v>-5.64827980705567</v>
      </c>
      <c r="X103" s="6"/>
      <c r="Y103" s="6"/>
      <c r="Z103" s="6"/>
      <c r="AA103" s="6"/>
      <c r="AB103" s="6"/>
      <c r="AC103" s="6"/>
      <c r="AD103" s="35"/>
      <c r="AE103" s="35"/>
      <c r="AF103" s="35" cm="1">
        <f t="array" ref="AF103">Y103/$AD103</f>
      </c>
      <c r="AG103" s="35" cm="1">
        <f t="array" ref="AG103">Z103/$AD103</f>
      </c>
      <c r="AH103" s="35" cm="1">
        <f t="array" ref="AH103">AA103/$AD103</f>
      </c>
      <c r="AI103" s="35" cm="1">
        <f t="array" ref="AI103">AB103/$AD103</f>
      </c>
    </row>
    <row r="104" ht="17" customHeight="1">
      <c r="A104" s="6"/>
      <c r="B104" t="s" s="32">
        <v>38</v>
      </c>
      <c r="C104" s="34">
        <v>4</v>
      </c>
      <c r="D104" t="s" s="63">
        <v>165</v>
      </c>
      <c r="E104" s="37">
        <v>81.9877100160342</v>
      </c>
      <c r="F104" s="38">
        <v>58.755243265968</v>
      </c>
      <c r="G104" s="39">
        <v>13.3227971741295</v>
      </c>
      <c r="H104" s="40">
        <v>-23.0897223023465</v>
      </c>
      <c r="I104" s="6"/>
      <c r="J104" s="34">
        <v>1.0355056636359</v>
      </c>
      <c r="K104" s="6"/>
      <c r="L104" s="34" cm="1">
        <f t="array" ref="L104">E104*$J104</f>
        <v>84.89873807014121</v>
      </c>
      <c r="M104" s="34" cm="1">
        <f t="array" ref="M104">F104*$J104</f>
        <v>60.8413871702149</v>
      </c>
      <c r="N104" s="34" cm="1">
        <f t="array" ref="N104">G104*$J104</f>
        <v>13.7958319292835</v>
      </c>
      <c r="O104" s="34" cm="1">
        <f t="array" ref="O104">H104*$J104</f>
        <v>-23.909538215860</v>
      </c>
      <c r="P104" s="6"/>
      <c r="Q104" s="34">
        <v>225.95</v>
      </c>
      <c r="R104" s="34" cm="1">
        <f t="array" ref="R104">Q104/1000</f>
        <v>0.22595</v>
      </c>
      <c r="S104" s="6"/>
      <c r="T104" s="34" cm="1">
        <f t="array" ref="T104">$R104*L104</f>
        <v>19.1828698669484</v>
      </c>
      <c r="U104" s="34" cm="1">
        <f t="array" ref="U104">$R104*M104</f>
        <v>13.7471114311101</v>
      </c>
      <c r="V104" s="34" cm="1">
        <f t="array" ref="V104">$R104*N104</f>
        <v>3.11716822442161</v>
      </c>
      <c r="W104" s="34" cm="1">
        <f t="array" ref="W104">$R104*O104</f>
        <v>-5.40236015987357</v>
      </c>
      <c r="X104" s="6"/>
      <c r="Y104" s="6"/>
      <c r="Z104" s="6"/>
      <c r="AA104" s="6"/>
      <c r="AB104" s="6"/>
      <c r="AC104" s="6"/>
      <c r="AD104" s="35"/>
      <c r="AE104" s="35"/>
      <c r="AF104" s="35" cm="1">
        <f t="array" ref="AF104">Y104/$AD104</f>
      </c>
      <c r="AG104" s="35" cm="1">
        <f t="array" ref="AG104">Z104/$AD104</f>
      </c>
      <c r="AH104" s="35" cm="1">
        <f t="array" ref="AH104">AA104/$AD104</f>
      </c>
      <c r="AI104" s="35" cm="1">
        <f t="array" ref="AI104">AB104/$AD104</f>
      </c>
    </row>
    <row r="105" ht="17" customHeight="1">
      <c r="A105" s="6"/>
      <c r="B105" t="s" s="32">
        <v>40</v>
      </c>
      <c r="C105" s="34">
        <v>4</v>
      </c>
      <c r="D105" t="s" s="63">
        <v>166</v>
      </c>
      <c r="E105" s="37">
        <v>22.7183412575174</v>
      </c>
      <c r="F105" s="38">
        <v>137.800019910547</v>
      </c>
      <c r="G105" s="42">
        <v>1999.009968438190</v>
      </c>
      <c r="H105" s="34">
        <v>-53.5175152619801</v>
      </c>
      <c r="I105" s="6"/>
      <c r="J105" s="34">
        <v>1.03393479261158</v>
      </c>
      <c r="K105" s="6"/>
      <c r="L105" s="34" cm="1">
        <f t="array" ref="L105">E105*$J105</f>
        <v>23.4892834565704</v>
      </c>
      <c r="M105" s="34" cm="1">
        <f t="array" ref="M105">F105*$J105</f>
        <v>142.476235008083</v>
      </c>
      <c r="N105" s="34" cm="1">
        <f t="array" ref="N105">G105*$J105</f>
        <v>2066.845957145620</v>
      </c>
      <c r="O105" s="34" cm="1">
        <f t="array" ref="O105">H105*$J105</f>
        <v>-55.3336210434825</v>
      </c>
      <c r="P105" s="6"/>
      <c r="Q105" s="34">
        <v>225.0914</v>
      </c>
      <c r="R105" s="34" cm="1">
        <f t="array" ref="R105">Q105/1000</f>
        <v>0.2250914</v>
      </c>
      <c r="S105" s="6"/>
      <c r="T105" s="34" cm="1">
        <f t="array" ref="T105">$R105*L105</f>
        <v>5.28723569823627</v>
      </c>
      <c r="U105" s="34" cm="1">
        <f t="array" ref="U105">$R105*M105</f>
        <v>32.0701752046984</v>
      </c>
      <c r="V105" s="34" cm="1">
        <f t="array" ref="V105">$R105*N105</f>
        <v>465.229250078248</v>
      </c>
      <c r="W105" s="34" cm="1">
        <f t="array" ref="W105">$R105*O105</f>
        <v>-12.4551222277469</v>
      </c>
      <c r="X105" s="6"/>
      <c r="Y105" s="34" cm="1">
        <f t="array" ref="Y105">T105-Y$111-Y$3</f>
        <v>0.49747913782239</v>
      </c>
      <c r="Z105" s="34" cm="1">
        <f t="array" ref="Z105">U105-Z$111-Z$3</f>
        <v>28.9854980540745</v>
      </c>
      <c r="AA105" s="34" cm="1">
        <f t="array" ref="AA105">V105-AA$111-AA$3</f>
        <v>463.098244584502</v>
      </c>
      <c r="AB105" s="34" cm="1">
        <f t="array" ref="AB105">W105-AB$111-AB$3</f>
        <v>-4.78736371505648</v>
      </c>
      <c r="AC105" s="6"/>
      <c r="AD105" s="41">
        <v>4.5326</v>
      </c>
      <c r="AE105" s="35"/>
      <c r="AF105" s="41" cm="1">
        <f t="array" ref="AF105">Y105/$AD105</f>
        <v>0.109755799722541</v>
      </c>
      <c r="AG105" s="41" cm="1">
        <f t="array" ref="AG105">Z105/$AD105</f>
        <v>6.39489433307031</v>
      </c>
      <c r="AH105" s="41" cm="1">
        <f t="array" ref="AH105">AA105/$AD105</f>
        <v>102.170552130014</v>
      </c>
      <c r="AI105" s="41" cm="1">
        <f t="array" ref="AI105">AB105/$AD105</f>
        <v>-1.05620697062535</v>
      </c>
    </row>
    <row r="106" ht="17" customHeight="1">
      <c r="A106" s="6"/>
      <c r="B106" t="s" s="32">
        <v>42</v>
      </c>
      <c r="C106" s="34">
        <v>4</v>
      </c>
      <c r="D106" t="s" s="63">
        <v>167</v>
      </c>
      <c r="E106" s="37">
        <v>187.901762481702</v>
      </c>
      <c r="F106" s="38">
        <v>142.542716770946</v>
      </c>
      <c r="G106" s="39">
        <v>2109.603421511930</v>
      </c>
      <c r="H106" s="40">
        <v>-52.6269976763553</v>
      </c>
      <c r="I106" s="6"/>
      <c r="J106" s="34">
        <v>1.02858263138681</v>
      </c>
      <c r="K106" s="6"/>
      <c r="L106" s="34" cm="1">
        <f t="array" ref="L106">E106*$J106</f>
        <v>193.272489295648</v>
      </c>
      <c r="M106" s="34" cm="1">
        <f t="array" ref="M106">F106*$J106</f>
        <v>146.616962701284</v>
      </c>
      <c r="N106" s="34" cm="1">
        <f t="array" ref="N106">G106*$J106</f>
        <v>2169.901438481360</v>
      </c>
      <c r="O106" s="34" cm="1">
        <f t="array" ref="O106">H106*$J106</f>
        <v>-54.1312157519331</v>
      </c>
      <c r="P106" s="6"/>
      <c r="Q106" s="34">
        <v>226.0886</v>
      </c>
      <c r="R106" s="34" cm="1">
        <f t="array" ref="R106">Q106/1000</f>
        <v>0.2260886</v>
      </c>
      <c r="S106" s="6"/>
      <c r="T106" s="34" cm="1">
        <f t="array" ref="T106">$R106*L106</f>
        <v>43.696706523368</v>
      </c>
      <c r="U106" s="34" cm="1">
        <f t="array" ref="U106">$R106*M106</f>
        <v>33.1484238333855</v>
      </c>
      <c r="V106" s="34" cm="1">
        <f t="array" ref="V106">$R106*N106</f>
        <v>490.589978364237</v>
      </c>
      <c r="W106" s="34" cm="1">
        <f t="array" ref="W106">$R106*O106</f>
        <v>-12.2384507856525</v>
      </c>
      <c r="X106" s="6"/>
      <c r="Y106" s="34" cm="1">
        <f t="array" ref="Y106">T106-Y$111-Y$3</f>
        <v>38.9069499629541</v>
      </c>
      <c r="Z106" s="34" cm="1">
        <f t="array" ref="Z106">U106-Z$111-Z$3</f>
        <v>30.0637466827616</v>
      </c>
      <c r="AA106" s="34" cm="1">
        <f t="array" ref="AA106">V106-AA$111-AA$3</f>
        <v>488.458972870491</v>
      </c>
      <c r="AB106" s="34" cm="1">
        <f t="array" ref="AB106">W106-AB$111-AB$3</f>
        <v>-4.57069227296208</v>
      </c>
      <c r="AC106" s="6"/>
      <c r="AD106" s="41">
        <v>4.6812</v>
      </c>
      <c r="AE106" s="35"/>
      <c r="AF106" s="41" cm="1">
        <f t="array" ref="AF106">Y106/$AD106</f>
        <v>8.311319739159639</v>
      </c>
      <c r="AG106" s="41" cm="1">
        <f t="array" ref="AG106">Z106/$AD106</f>
        <v>6.422230770478</v>
      </c>
      <c r="AH106" s="41" cm="1">
        <f t="array" ref="AH106">AA106/$AD106</f>
        <v>104.344820317545</v>
      </c>
      <c r="AI106" s="41" cm="1">
        <f t="array" ref="AI106">AB106/$AD106</f>
        <v>-0.976393290814765</v>
      </c>
    </row>
    <row r="107" ht="17" customHeight="1">
      <c r="A107" s="6"/>
      <c r="B107" t="s" s="32">
        <v>44</v>
      </c>
      <c r="C107" s="34">
        <v>4</v>
      </c>
      <c r="D107" t="s" s="63">
        <v>168</v>
      </c>
      <c r="E107" s="37">
        <v>8.87088295727254</v>
      </c>
      <c r="F107" s="38">
        <v>201.248478100649</v>
      </c>
      <c r="G107" s="42">
        <v>2368.239283794780</v>
      </c>
      <c r="H107" s="34">
        <v>-43.4906437045505</v>
      </c>
      <c r="I107" s="6"/>
      <c r="J107" s="34">
        <v>1.03078819563054</v>
      </c>
      <c r="K107" s="6"/>
      <c r="L107" s="34" cm="1">
        <f t="array" ref="L107">E107*$J107</f>
        <v>9.144001437176669</v>
      </c>
      <c r="M107" s="34" cm="1">
        <f t="array" ref="M107">F107*$J107</f>
        <v>207.444555614760</v>
      </c>
      <c r="N107" s="34" cm="1">
        <f t="array" ref="N107">G107*$J107</f>
        <v>2441.153098164180</v>
      </c>
      <c r="O107" s="34" cm="1">
        <f t="array" ref="O107">H107*$J107</f>
        <v>-44.8296421510243</v>
      </c>
      <c r="P107" s="6"/>
      <c r="Q107" s="34">
        <v>217.1414</v>
      </c>
      <c r="R107" s="34" cm="1">
        <f t="array" ref="R107">Q107/1000</f>
        <v>0.2171414</v>
      </c>
      <c r="S107" s="6"/>
      <c r="T107" s="34" cm="1">
        <f t="array" ref="T107">$R107*L107</f>
        <v>1.98554127367055</v>
      </c>
      <c r="U107" s="34" cm="1">
        <f t="array" ref="U107">$R107*M107</f>
        <v>45.0448012285668</v>
      </c>
      <c r="V107" s="34" cm="1">
        <f t="array" ref="V107">$R107*N107</f>
        <v>530.075401349707</v>
      </c>
      <c r="W107" s="34" cm="1">
        <f t="array" ref="W107">$R107*O107</f>
        <v>-9.73437125817243</v>
      </c>
      <c r="X107" s="6"/>
      <c r="Y107" s="34" cm="1">
        <f t="array" ref="Y107">T107-Y$111-Y$3</f>
        <v>-2.80421528674333</v>
      </c>
      <c r="Z107" s="34" cm="1">
        <f t="array" ref="Z107">U107-Z$111-Z$3</f>
        <v>41.9601240779429</v>
      </c>
      <c r="AA107" s="34" cm="1">
        <f t="array" ref="AA107">V107-AA$111-AA$3</f>
        <v>527.944395855961</v>
      </c>
      <c r="AB107" s="34" cm="1">
        <f t="array" ref="AB107">W107-AB$111-AB$3</f>
        <v>-2.06661274548201</v>
      </c>
      <c r="AC107" s="6"/>
      <c r="AD107" s="41">
        <v>4.4818</v>
      </c>
      <c r="AE107" s="35"/>
      <c r="AF107" s="41" cm="1">
        <f t="array" ref="AF107">Y107/$AD107</f>
        <v>-0.6256895191091369</v>
      </c>
      <c r="AG107" s="41" cm="1">
        <f t="array" ref="AG107">Z107/$AD107</f>
        <v>9.362337471092619</v>
      </c>
      <c r="AH107" s="41" cm="1">
        <f t="array" ref="AH107">AA107/$AD107</f>
        <v>117.797401904583</v>
      </c>
      <c r="AI107" s="41" cm="1">
        <f t="array" ref="AI107">AB107/$AD107</f>
        <v>-0.461112219528317</v>
      </c>
    </row>
    <row r="108" ht="17" customHeight="1">
      <c r="A108" s="6"/>
      <c r="B108" t="s" s="32">
        <v>46</v>
      </c>
      <c r="C108" s="34">
        <v>4</v>
      </c>
      <c r="D108" t="s" s="63">
        <v>169</v>
      </c>
      <c r="E108" s="37">
        <v>5.68983243810799</v>
      </c>
      <c r="F108" s="38">
        <v>13.6182531729544</v>
      </c>
      <c r="G108" s="39">
        <v>13.3389322430942</v>
      </c>
      <c r="H108" s="40">
        <v>403.479265330526</v>
      </c>
      <c r="I108" s="6"/>
      <c r="J108" s="34">
        <v>1.04311926605505</v>
      </c>
      <c r="K108" s="6"/>
      <c r="L108" s="34" cm="1">
        <f t="array" ref="L108">E108*$J108</f>
        <v>5.93517383681542</v>
      </c>
      <c r="M108" s="34" cm="1">
        <f t="array" ref="M108">F108*$J108</f>
        <v>14.205462254724</v>
      </c>
      <c r="N108" s="34" cm="1">
        <f t="array" ref="N108">G108*$J108</f>
        <v>13.9140972113745</v>
      </c>
      <c r="O108" s="34" cm="1">
        <f t="array" ref="O108">H108*$J108</f>
        <v>420.876995120009</v>
      </c>
      <c r="P108" s="6"/>
      <c r="Q108" s="34">
        <v>223.7192</v>
      </c>
      <c r="R108" s="34" cm="1">
        <f t="array" ref="R108">Q108/1000</f>
        <v>0.2237192</v>
      </c>
      <c r="S108" s="6"/>
      <c r="T108" s="34" cm="1">
        <f t="array" ref="T108">$R108*L108</f>
        <v>1.32781234263328</v>
      </c>
      <c r="U108" s="34" cm="1">
        <f t="array" ref="U108">$R108*M108</f>
        <v>3.17803465125705</v>
      </c>
      <c r="V108" s="34" cm="1">
        <f t="array" ref="V108">$R108*N108</f>
        <v>3.11285069685093</v>
      </c>
      <c r="W108" s="34" cm="1">
        <f t="array" ref="W108">$R108*O108</f>
        <v>94.1582646466523</v>
      </c>
      <c r="X108" s="6"/>
      <c r="Y108" s="34" cm="1">
        <f t="array" ref="Y108">T108-Y$111-Y$3</f>
        <v>-3.4619442177806</v>
      </c>
      <c r="Z108" s="34" cm="1">
        <f t="array" ref="Z108">U108-Z$111-Z$3</f>
        <v>0.09335750063312</v>
      </c>
      <c r="AA108" s="34" cm="1">
        <f t="array" ref="AA108">V108-AA$111-AA$3</f>
        <v>0.98184520310518</v>
      </c>
      <c r="AB108" s="34" cm="1">
        <f t="array" ref="AB108">W108-AB$111-AB$3</f>
        <v>101.826023159343</v>
      </c>
      <c r="AC108" s="6"/>
      <c r="AD108" s="41">
        <v>1.8682</v>
      </c>
      <c r="AE108" s="35"/>
      <c r="AF108" s="41" cm="1">
        <f t="array" ref="AF108">Y108/$AD108</f>
        <v>-1.85309079208896</v>
      </c>
      <c r="AG108" s="41" cm="1">
        <f t="array" ref="AG108">Z108/$AD108</f>
        <v>0.04997189842261</v>
      </c>
      <c r="AH108" s="41" cm="1">
        <f t="array" ref="AH108">AA108/$AD108</f>
        <v>0.525556794296746</v>
      </c>
      <c r="AI108" s="41" cm="1">
        <f t="array" ref="AI108">AB108/$AD108</f>
        <v>54.5048833954304</v>
      </c>
    </row>
    <row r="109" ht="17" customHeight="1">
      <c r="A109" s="6"/>
      <c r="B109" t="s" s="32">
        <v>48</v>
      </c>
      <c r="C109" s="34">
        <v>4</v>
      </c>
      <c r="D109" t="s" s="63">
        <v>170</v>
      </c>
      <c r="E109" s="37">
        <v>48.1472821163152</v>
      </c>
      <c r="F109" s="38">
        <v>11.9301162577508</v>
      </c>
      <c r="G109" s="42">
        <v>1196.854874317540</v>
      </c>
      <c r="H109" s="34">
        <v>184.881664323004</v>
      </c>
      <c r="I109" s="6"/>
      <c r="J109" s="34">
        <v>1.03587034729656</v>
      </c>
      <c r="K109" s="6"/>
      <c r="L109" s="34" cm="1">
        <f t="array" ref="L109">E109*$J109</f>
        <v>49.8743418472129</v>
      </c>
      <c r="M109" s="34" cm="1">
        <f t="array" ref="M109">F109*$J109</f>
        <v>12.3580536712047</v>
      </c>
      <c r="N109" s="34" cm="1">
        <f t="array" ref="N109">G109*$J109</f>
        <v>1239.786474322890</v>
      </c>
      <c r="O109" s="34" cm="1">
        <f t="array" ref="O109">H109*$J109</f>
        <v>191.513433831036</v>
      </c>
      <c r="P109" s="6"/>
      <c r="Q109" s="34">
        <v>228.4436</v>
      </c>
      <c r="R109" s="34" cm="1">
        <f t="array" ref="R109">Q109/1000</f>
        <v>0.2284436</v>
      </c>
      <c r="S109" s="6"/>
      <c r="T109" s="34" cm="1">
        <f t="array" ref="T109">$R109*L109</f>
        <v>11.393474199208</v>
      </c>
      <c r="U109" s="34" cm="1">
        <f t="array" ref="U109">$R109*M109</f>
        <v>2.82311826964322</v>
      </c>
      <c r="V109" s="34" cm="1">
        <f t="array" ref="V109">$R109*N109</f>
        <v>283.221285425629</v>
      </c>
      <c r="W109" s="34" cm="1">
        <f t="array" ref="W109">$R109*O109</f>
        <v>43.7500182727237</v>
      </c>
      <c r="X109" s="6"/>
      <c r="Y109" s="34" cm="1">
        <f t="array" ref="Y109">T109-Y$111-Y$3</f>
        <v>6.60371763879412</v>
      </c>
      <c r="Z109" s="34" cm="1">
        <f t="array" ref="Z109">U109-Z$111-Z$3</f>
        <v>-0.26155888098071</v>
      </c>
      <c r="AA109" s="34" cm="1">
        <f t="array" ref="AA109">V109-AA$111-AA$3</f>
        <v>281.090279931883</v>
      </c>
      <c r="AB109" s="34" cm="1">
        <f t="array" ref="AB109">W109-AB$111-AB$3</f>
        <v>51.4177767854141</v>
      </c>
      <c r="AC109" s="6"/>
      <c r="AD109" s="41">
        <v>2.1506</v>
      </c>
      <c r="AE109" s="35"/>
      <c r="AF109" s="41" cm="1">
        <f t="array" ref="AF109">Y109/$AD109</f>
        <v>3.07063965348931</v>
      </c>
      <c r="AG109" s="41" cm="1">
        <f t="array" ref="AG109">Z109/$AD109</f>
        <v>-0.121621352636804</v>
      </c>
      <c r="AH109" s="41" cm="1">
        <f t="array" ref="AH109">AA109/$AD109</f>
        <v>130.703189775822</v>
      </c>
      <c r="AI109" s="41" cm="1">
        <f t="array" ref="AI109">AB109/$AD109</f>
        <v>23.9085728566047</v>
      </c>
    </row>
    <row r="110" ht="17" customHeight="1">
      <c r="A110" s="6"/>
      <c r="B110" t="s" s="32">
        <v>50</v>
      </c>
      <c r="C110" s="34">
        <v>4</v>
      </c>
      <c r="D110" t="s" s="63">
        <v>171</v>
      </c>
      <c r="E110" s="37">
        <v>3.76296981917361</v>
      </c>
      <c r="F110" s="38">
        <v>23.5443029986867</v>
      </c>
      <c r="G110" s="39">
        <v>12.3027824038701</v>
      </c>
      <c r="H110" s="40">
        <v>320.755548442493</v>
      </c>
      <c r="I110" s="6"/>
      <c r="J110" s="34">
        <v>1.03515514043677</v>
      </c>
      <c r="K110" s="6"/>
      <c r="L110" s="34" cm="1">
        <f t="array" ref="L110">E110*$J110</f>
        <v>3.89525755162599</v>
      </c>
      <c r="M110" s="34" cm="1">
        <f t="array" ref="M110">F110*$J110</f>
        <v>24.3720062770914</v>
      </c>
      <c r="N110" s="34" cm="1">
        <f t="array" ref="N110">G110*$J110</f>
        <v>12.7352884470412</v>
      </c>
      <c r="O110" s="34" cm="1">
        <f t="array" ref="O110">H110*$J110</f>
        <v>332.031754793862</v>
      </c>
      <c r="P110" s="6"/>
      <c r="Q110" s="34">
        <v>222.3912</v>
      </c>
      <c r="R110" s="34" cm="1">
        <f t="array" ref="R110">Q110/1000</f>
        <v>0.2223912</v>
      </c>
      <c r="S110" s="6"/>
      <c r="T110" s="34" cm="1">
        <f t="array" ref="T110">$R110*L110</f>
        <v>0.866271001215166</v>
      </c>
      <c r="U110" s="34" cm="1">
        <f t="array" ref="U110">$R110*M110</f>
        <v>5.42011972236989</v>
      </c>
      <c r="V110" s="34" cm="1">
        <f t="array" ref="V110">$R110*N110</f>
        <v>2.83221608008363</v>
      </c>
      <c r="W110" s="34" cm="1">
        <f t="array" ref="W110">$R110*O110</f>
        <v>73.8409403867127</v>
      </c>
      <c r="X110" s="6"/>
      <c r="Y110" s="34" cm="1">
        <f t="array" ref="Y110">T110-Y$111-Y$3</f>
        <v>-3.92348555919871</v>
      </c>
      <c r="Z110" s="34" cm="1">
        <f t="array" ref="Z110">U110-Z$111-Z$3</f>
        <v>2.33544257174596</v>
      </c>
      <c r="AA110" s="34" cm="1">
        <f t="array" ref="AA110">V110-AA$111-AA$3</f>
        <v>0.70121058633788</v>
      </c>
      <c r="AB110" s="34" cm="1">
        <f t="array" ref="AB110">W110-AB$111-AB$3</f>
        <v>81.5086988994031</v>
      </c>
      <c r="AC110" s="6"/>
      <c r="AD110" s="41">
        <v>2.1884</v>
      </c>
      <c r="AE110" s="35"/>
      <c r="AF110" s="41" cm="1">
        <f t="array" ref="AF110">Y110/$AD110</f>
        <v>-1.79285576640409</v>
      </c>
      <c r="AG110" s="41" cm="1">
        <f t="array" ref="AG110">Z110/$AD110</f>
        <v>1.06719181673641</v>
      </c>
      <c r="AH110" s="41" cm="1">
        <f t="array" ref="AH110">AA110/$AD110</f>
        <v>0.320421580304277</v>
      </c>
      <c r="AI110" s="41" cm="1">
        <f t="array" ref="AI110">AB110/$AD110</f>
        <v>37.2457955124306</v>
      </c>
    </row>
    <row r="111" ht="17" customHeight="1">
      <c r="A111" s="6"/>
      <c r="B111" t="s" s="32">
        <v>52</v>
      </c>
      <c r="C111" s="34">
        <v>4</v>
      </c>
      <c r="D111" t="s" s="63">
        <v>172</v>
      </c>
      <c r="E111" s="37">
        <v>60.3450641751723</v>
      </c>
      <c r="F111" s="38">
        <v>15.3353493398237</v>
      </c>
      <c r="G111" s="42">
        <v>9.188591114108011</v>
      </c>
      <c r="H111" s="34">
        <v>-48.5774764568219</v>
      </c>
      <c r="I111" s="6"/>
      <c r="J111" s="34">
        <v>1.03040999971066</v>
      </c>
      <c r="K111" s="6"/>
      <c r="L111" s="34" cm="1">
        <f t="array" ref="L111">E111*$J111</f>
        <v>62.180157559279</v>
      </c>
      <c r="M111" s="34" cm="1">
        <f t="array" ref="M111">F111*$J111</f>
        <v>15.8016973088106</v>
      </c>
      <c r="N111" s="34" cm="1">
        <f t="array" ref="N111">G111*$J111</f>
        <v>9.468016167229409</v>
      </c>
      <c r="O111" s="34" cm="1">
        <f t="array" ref="O111">H111*$J111</f>
        <v>-50.0547175018184</v>
      </c>
      <c r="P111" s="6"/>
      <c r="Q111" s="34">
        <v>228.72</v>
      </c>
      <c r="R111" s="34" cm="1">
        <f t="array" ref="R111">Q111/1000</f>
        <v>0.22872</v>
      </c>
      <c r="S111" s="6"/>
      <c r="T111" s="34" cm="1">
        <f t="array" ref="T111">$R111*L111</f>
        <v>14.2218456369583</v>
      </c>
      <c r="U111" s="34" cm="1">
        <f t="array" ref="U111">$R111*M111</f>
        <v>3.61416420847116</v>
      </c>
      <c r="V111" s="34" cm="1">
        <f t="array" ref="V111">$R111*N111</f>
        <v>2.16552465776871</v>
      </c>
      <c r="W111" s="34" cm="1">
        <f t="array" ref="W111">$R111*O111</f>
        <v>-11.4485149870159</v>
      </c>
      <c r="X111" s="6"/>
      <c r="Y111" s="34" cm="1">
        <f t="array" ref="Y111">AVERAGE(T111:T113)</f>
        <v>4.78975656041388</v>
      </c>
      <c r="Z111" s="34" cm="1">
        <f t="array" ref="Z111">AVERAGE(U111:U113)</f>
        <v>3.08467715062393</v>
      </c>
      <c r="AA111" s="34" cm="1">
        <f t="array" ref="AA111">AVERAGE(V111:V113)</f>
        <v>2.13100549374575</v>
      </c>
      <c r="AB111" s="34" cm="1">
        <f t="array" ref="AB111">AVERAGE(W111:W113)</f>
        <v>-7.66775851269042</v>
      </c>
      <c r="AC111" s="6"/>
      <c r="AD111" s="35"/>
      <c r="AE111" s="35"/>
      <c r="AF111" s="35" cm="1">
        <f t="array" ref="AF111">Y111/$AD111</f>
      </c>
      <c r="AG111" s="35"/>
      <c r="AH111" s="35" cm="1">
        <f t="array" ref="AH111">AA111/$AD111</f>
      </c>
      <c r="AI111" s="35" cm="1">
        <f t="array" ref="AI111">AB111/$AD111</f>
      </c>
    </row>
    <row r="112" ht="17" customHeight="1">
      <c r="A112" s="6"/>
      <c r="B112" t="s" s="32">
        <v>54</v>
      </c>
      <c r="C112" s="34">
        <v>4</v>
      </c>
      <c r="D112" t="s" s="63">
        <v>173</v>
      </c>
      <c r="E112" s="37">
        <v>0.322400345101249</v>
      </c>
      <c r="F112" s="38">
        <v>18.3109540527096</v>
      </c>
      <c r="G112" s="39">
        <v>7.82048599748108</v>
      </c>
      <c r="H112" s="40">
        <v>0.247077602766914</v>
      </c>
      <c r="I112" s="6"/>
      <c r="J112" s="34">
        <v>1.02774833281898</v>
      </c>
      <c r="K112" s="6"/>
      <c r="L112" s="34" cm="1">
        <f t="array" ref="L112">E112*$J112</f>
        <v>0.331346417178072</v>
      </c>
      <c r="M112" s="34" cm="1">
        <f t="array" ref="M112">F112*$J112</f>
        <v>18.8190524999972</v>
      </c>
      <c r="N112" s="34" cm="1">
        <f t="array" ref="N112">G112*$J112</f>
        <v>8.03749144574536</v>
      </c>
      <c r="O112" s="34" cm="1">
        <f t="array" ref="O112">H112*$J112</f>
        <v>0.253933594320606</v>
      </c>
      <c r="P112" s="6"/>
      <c r="Q112" s="34">
        <v>228.1</v>
      </c>
      <c r="R112" s="34" cm="1">
        <f t="array" ref="R112">Q112/1000</f>
        <v>0.2281</v>
      </c>
      <c r="S112" s="6"/>
      <c r="T112" s="34" cm="1">
        <f t="array" ref="T112">$R112*L112</f>
        <v>0.0755801177583182</v>
      </c>
      <c r="U112" s="34" cm="1">
        <f t="array" ref="U112">$R112*M112</f>
        <v>4.29262587524936</v>
      </c>
      <c r="V112" s="34" cm="1">
        <f t="array" ref="V112">$R112*N112</f>
        <v>1.83335179877452</v>
      </c>
      <c r="W112" s="34" cm="1">
        <f t="array" ref="W112">$R112*O112</f>
        <v>0.0579222528645302</v>
      </c>
      <c r="X112" s="6"/>
      <c r="Y112" s="6"/>
      <c r="Z112" s="6"/>
      <c r="AA112" s="6"/>
      <c r="AB112" s="6"/>
      <c r="AC112" s="6"/>
      <c r="AD112" s="35"/>
      <c r="AE112" s="35"/>
      <c r="AF112" s="35" cm="1">
        <f t="array" ref="AF112">Y112/$AD112</f>
      </c>
      <c r="AG112" s="35" cm="1">
        <f t="array" ref="AG112">Z112/$AD112</f>
      </c>
      <c r="AH112" s="35" cm="1">
        <f t="array" ref="AH112">AA112/$AD112</f>
      </c>
      <c r="AI112" s="35" cm="1">
        <f t="array" ref="AI112">AB112/$AD112</f>
      </c>
    </row>
    <row r="113" ht="17" customHeight="1">
      <c r="A113" s="6"/>
      <c r="B113" t="s" s="32">
        <v>56</v>
      </c>
      <c r="C113" s="34">
        <v>4</v>
      </c>
      <c r="D113" t="s" s="63">
        <v>174</v>
      </c>
      <c r="E113" s="37">
        <v>0.307821527056955</v>
      </c>
      <c r="F113" s="38">
        <v>5.7723723537611</v>
      </c>
      <c r="G113" s="42">
        <v>10.2579003408577</v>
      </c>
      <c r="H113" s="34">
        <v>-49.7555454835299</v>
      </c>
      <c r="I113" s="6"/>
      <c r="J113" s="34">
        <v>1.02944047311458</v>
      </c>
      <c r="K113" s="6"/>
      <c r="L113" s="34" cm="1">
        <f t="array" ref="L113">E113*$J113</f>
        <v>0.316883938448364</v>
      </c>
      <c r="M113" s="34" cm="1">
        <f t="array" ref="M113">F113*$J113</f>
        <v>5.94231372684935</v>
      </c>
      <c r="N113" s="34" cm="1">
        <f t="array" ref="N113">G113*$J113</f>
        <v>10.5598977800548</v>
      </c>
      <c r="O113" s="34" cm="1">
        <f t="array" ref="O113">H113*$J113</f>
        <v>-51.220372282639</v>
      </c>
      <c r="P113" s="6"/>
      <c r="Q113" s="34">
        <v>226.72</v>
      </c>
      <c r="R113" s="34" cm="1">
        <f t="array" ref="R113">Q113/1000</f>
        <v>0.22672</v>
      </c>
      <c r="S113" s="6"/>
      <c r="T113" s="34" cm="1">
        <f t="array" ref="T113">$R113*L113</f>
        <v>0.0718439265250131</v>
      </c>
      <c r="U113" s="34" cm="1">
        <f t="array" ref="U113">$R113*M113</f>
        <v>1.34724136815128</v>
      </c>
      <c r="V113" s="34" cm="1">
        <f t="array" ref="V113">$R113*N113</f>
        <v>2.39414002469402</v>
      </c>
      <c r="W113" s="34" cm="1">
        <f t="array" ref="W113">$R113*O113</f>
        <v>-11.6126828039199</v>
      </c>
      <c r="X113" s="6"/>
      <c r="Y113" s="6"/>
      <c r="Z113" s="6"/>
      <c r="AA113" s="6"/>
      <c r="AB113" s="6"/>
      <c r="AC113" s="6"/>
      <c r="AD113" s="35"/>
      <c r="AE113" s="35"/>
      <c r="AF113" s="35" cm="1">
        <f t="array" ref="AF113">Y113/$AD113</f>
      </c>
      <c r="AG113" s="35" cm="1">
        <f t="array" ref="AG113">Z113/$AD113</f>
      </c>
      <c r="AH113" s="35" cm="1">
        <f t="array" ref="AH113">AA113/$AD113</f>
      </c>
      <c r="AI113" s="35" cm="1">
        <f t="array" ref="AI113">AB113/$AD113</f>
      </c>
    </row>
    <row r="114" ht="17" customHeight="1">
      <c r="A114" s="6"/>
      <c r="B114" t="s" s="32">
        <v>58</v>
      </c>
      <c r="C114" s="34">
        <v>4</v>
      </c>
      <c r="D114" t="s" s="63">
        <v>175</v>
      </c>
      <c r="E114" s="37">
        <v>8.564177720479099</v>
      </c>
      <c r="F114" s="38">
        <v>1047.703125224060</v>
      </c>
      <c r="G114" s="39">
        <v>35574.1679189242</v>
      </c>
      <c r="H114" s="40">
        <v>-429.615660439632</v>
      </c>
      <c r="I114" s="6"/>
      <c r="J114" s="34">
        <v>1.02951110360551</v>
      </c>
      <c r="K114" s="6"/>
      <c r="L114" s="34" cm="1">
        <f t="array" ref="L114">E114*$J114</f>
        <v>8.81691605648416</v>
      </c>
      <c r="M114" s="34" cm="1">
        <f t="array" ref="M114">F114*$J114</f>
        <v>1078.622000700360</v>
      </c>
      <c r="N114" s="34" cm="1">
        <f t="array" ref="N114">G114*$J114</f>
        <v>36624.0008740594</v>
      </c>
      <c r="O114" s="34" cm="1">
        <f t="array" ref="O114">H114*$J114</f>
        <v>-442.294092705416</v>
      </c>
      <c r="P114" s="6"/>
      <c r="Q114" s="34">
        <v>226.4238</v>
      </c>
      <c r="R114" s="34" cm="1">
        <f t="array" ref="R114">Q114/1000</f>
        <v>0.2264238</v>
      </c>
      <c r="S114" s="6"/>
      <c r="T114" s="34" cm="1">
        <f t="array" ref="T114">$R114*L114</f>
        <v>1.99635963779016</v>
      </c>
      <c r="U114" s="34" cm="1">
        <f t="array" ref="U114">$R114*M114</f>
        <v>244.225692162178</v>
      </c>
      <c r="V114" s="34" cm="1">
        <f t="array" ref="V114">$R114*N114</f>
        <v>8292.545449107851</v>
      </c>
      <c r="W114" s="34" cm="1">
        <f t="array" ref="W114">$R114*O114</f>
        <v>-100.145909187913</v>
      </c>
      <c r="X114" s="6"/>
      <c r="Y114" s="34" cm="1">
        <f t="array" ref="Y114">T114-Y$120-Y$3</f>
        <v>1.37804151522973</v>
      </c>
      <c r="Z114" s="34" cm="1">
        <f t="array" ref="Z114">U114-Z$120-Z$3</f>
        <v>243.168431453904</v>
      </c>
      <c r="AA114" s="34" cm="1">
        <f t="array" ref="AA114">V114-AA$120-AA$3</f>
        <v>8290.794522930080</v>
      </c>
      <c r="AB114" s="34" cm="1">
        <f t="array" ref="AB114">W114-AB$120-AB$3</f>
        <v>-99.2844844762221</v>
      </c>
      <c r="AC114" s="6"/>
      <c r="AD114" s="41">
        <v>3.9574</v>
      </c>
      <c r="AE114" s="35"/>
      <c r="AF114" s="41" cm="1">
        <f t="array" ref="AF114">Y114/$AD114</f>
        <v>0.348218910201074</v>
      </c>
      <c r="AG114" s="41" cm="1">
        <f t="array" ref="AG114">Z114/$AD114</f>
        <v>61.4465132293688</v>
      </c>
      <c r="AH114" s="41" cm="1">
        <f t="array" ref="AH114">AA114/$AD114</f>
        <v>2095.0104924774</v>
      </c>
      <c r="AI114" s="41" cm="1">
        <f t="array" ref="AI114">AB114/$AD114</f>
        <v>-25.0883116380002</v>
      </c>
    </row>
    <row r="115" ht="17" customHeight="1">
      <c r="A115" s="6"/>
      <c r="B115" t="s" s="32">
        <v>60</v>
      </c>
      <c r="C115" s="34">
        <v>4</v>
      </c>
      <c r="D115" t="s" s="63">
        <v>176</v>
      </c>
      <c r="E115" s="37">
        <v>251.147990997191</v>
      </c>
      <c r="F115" s="38">
        <v>899.947732685656</v>
      </c>
      <c r="G115" s="42">
        <v>35610.3073681392</v>
      </c>
      <c r="H115" s="34">
        <v>-399.207302906278</v>
      </c>
      <c r="I115" s="6"/>
      <c r="J115" s="34">
        <v>1.02739311687116</v>
      </c>
      <c r="K115" s="6"/>
      <c r="L115" s="34" cm="1">
        <f t="array" ref="L115">E115*$J115</f>
        <v>258.027717266534</v>
      </c>
      <c r="M115" s="34" cm="1">
        <f t="array" ref="M115">F115*$J115</f>
        <v>924.600106105050</v>
      </c>
      <c r="N115" s="34" cm="1">
        <f t="array" ref="N115">G115*$J115</f>
        <v>36585.7846796926</v>
      </c>
      <c r="O115" s="34" cm="1">
        <f t="array" ref="O115">H115*$J115</f>
        <v>-410.142835210610</v>
      </c>
      <c r="P115" s="6"/>
      <c r="Q115" s="34">
        <v>227.3944</v>
      </c>
      <c r="R115" s="34" cm="1">
        <f t="array" ref="R115">Q115/1000</f>
        <v>0.2273944</v>
      </c>
      <c r="S115" s="6"/>
      <c r="T115" s="34" cm="1">
        <f t="array" ref="T115">$R115*L115</f>
        <v>58.6740579511931</v>
      </c>
      <c r="U115" s="34" cm="1">
        <f t="array" ref="U115">$R115*M115</f>
        <v>210.248886367694</v>
      </c>
      <c r="V115" s="34" cm="1">
        <f t="array" ref="V115">$R115*N115</f>
        <v>8319.402555767891</v>
      </c>
      <c r="W115" s="34" cm="1">
        <f t="array" ref="W115">$R115*O115</f>
        <v>-93.26418392701549</v>
      </c>
      <c r="X115" s="6"/>
      <c r="Y115" s="34" cm="1">
        <f t="array" ref="Y115">T115-Y$120-Y$3</f>
        <v>58.0557398286327</v>
      </c>
      <c r="Z115" s="34" cm="1">
        <f t="array" ref="Z115">U115-Z$120-Z$3</f>
        <v>209.191625659420</v>
      </c>
      <c r="AA115" s="34" cm="1">
        <f t="array" ref="AA115">V115-AA$120-AA$3</f>
        <v>8317.651629590120</v>
      </c>
      <c r="AB115" s="34" cm="1">
        <f t="array" ref="AB115">W115-AB$120-AB$3</f>
        <v>-92.40275921532459</v>
      </c>
      <c r="AC115" s="6"/>
      <c r="AD115" s="41">
        <v>4.3856</v>
      </c>
      <c r="AE115" s="35"/>
      <c r="AF115" s="41" cm="1">
        <f t="array" ref="AF115">Y115/$AD115</f>
        <v>13.2378100667258</v>
      </c>
      <c r="AG115" s="41" cm="1">
        <f t="array" ref="AG115">Z115/$AD115</f>
        <v>47.6996592619984</v>
      </c>
      <c r="AH115" s="41" cm="1">
        <f t="array" ref="AH115">AA115/$AD115</f>
        <v>1896.5823671995</v>
      </c>
      <c r="AI115" s="41" cm="1">
        <f t="array" ref="AI115">AB115/$AD115</f>
        <v>-21.0695820903239</v>
      </c>
    </row>
    <row r="116" ht="17" customHeight="1">
      <c r="A116" s="6"/>
      <c r="B116" t="s" s="32">
        <v>62</v>
      </c>
      <c r="C116" s="34">
        <v>4</v>
      </c>
      <c r="D116" t="s" s="63">
        <v>177</v>
      </c>
      <c r="E116" s="37">
        <v>6667.4587057694</v>
      </c>
      <c r="F116" s="38">
        <v>1110.5089703162</v>
      </c>
      <c r="G116" s="39">
        <v>36564.9619751503</v>
      </c>
      <c r="H116" s="40">
        <v>-455.420133723249</v>
      </c>
      <c r="I116" s="6"/>
      <c r="J116" s="34">
        <v>1.02744787885074</v>
      </c>
      <c r="K116" s="6"/>
      <c r="L116" s="34" cm="1">
        <f t="array" ref="L116">E116*$J116</f>
        <v>6850.466304567670</v>
      </c>
      <c r="M116" s="34" cm="1">
        <f t="array" ref="M116">F116*$J116</f>
        <v>1140.9900859961</v>
      </c>
      <c r="N116" s="34" cm="1">
        <f t="array" ref="N116">G116*$J116</f>
        <v>37568.5926216261</v>
      </c>
      <c r="O116" s="34" cm="1">
        <f t="array" ref="O116">H116*$J116</f>
        <v>-467.920450379873</v>
      </c>
      <c r="P116" s="6"/>
      <c r="Q116" s="34">
        <v>228.3498</v>
      </c>
      <c r="R116" s="34" cm="1">
        <f t="array" ref="R116">Q116/1000</f>
        <v>0.2283498</v>
      </c>
      <c r="S116" s="6"/>
      <c r="T116" s="34" cm="1">
        <f t="array" ref="T116">$R116*L116</f>
        <v>1564.302610554770</v>
      </c>
      <c r="U116" s="34" cm="1">
        <f t="array" ref="U116">$R116*M116</f>
        <v>260.544857939192</v>
      </c>
      <c r="V116" s="34" cm="1">
        <f t="array" ref="V116">$R116*N116</f>
        <v>8578.7806114298</v>
      </c>
      <c r="W116" s="34" cm="1">
        <f t="array" ref="W116">$R116*O116</f>
        <v>-106.849541260154</v>
      </c>
      <c r="X116" s="6"/>
      <c r="Y116" s="34" cm="1">
        <f t="array" ref="Y116">T116-Y$120-Y$3</f>
        <v>1563.684292432210</v>
      </c>
      <c r="Z116" s="34" cm="1">
        <f t="array" ref="Z116">U116-Z$120-Z$3</f>
        <v>259.487597230918</v>
      </c>
      <c r="AA116" s="34" cm="1">
        <f t="array" ref="AA116">V116-AA$120-AA$3</f>
        <v>8577.029685252030</v>
      </c>
      <c r="AB116" s="34" cm="1">
        <f t="array" ref="AB116">W116-AB$120-AB$3</f>
        <v>-105.988116548463</v>
      </c>
      <c r="AC116" s="6"/>
      <c r="AD116" s="41">
        <v>4.994</v>
      </c>
      <c r="AE116" s="35"/>
      <c r="AF116" s="41" cm="1">
        <f t="array" ref="AF116">Y116/$AD116</f>
        <v>313.112593598761</v>
      </c>
      <c r="AG116" s="41" cm="1">
        <f t="array" ref="AG116">Z116/$AD116</f>
        <v>51.9598712917337</v>
      </c>
      <c r="AH116" s="41" cm="1">
        <f t="array" ref="AH116">AA116/$AD116</f>
        <v>1717.4668973272</v>
      </c>
      <c r="AI116" s="41" cm="1">
        <f t="array" ref="AI116">AB116/$AD116</f>
        <v>-21.2230910189153</v>
      </c>
    </row>
    <row r="117" ht="17" customHeight="1">
      <c r="A117" s="6"/>
      <c r="B117" t="s" s="32">
        <v>64</v>
      </c>
      <c r="C117" s="34">
        <v>4</v>
      </c>
      <c r="D117" t="s" s="63">
        <v>178</v>
      </c>
      <c r="E117" s="37">
        <v>3.86221083827752</v>
      </c>
      <c r="F117" s="38">
        <v>2.73269785618599</v>
      </c>
      <c r="G117" s="42">
        <v>10.2210226520903</v>
      </c>
      <c r="H117" s="34">
        <v>1139.077165251470</v>
      </c>
      <c r="I117" s="6"/>
      <c r="J117" s="34">
        <v>1.03457749455409</v>
      </c>
      <c r="K117" s="6"/>
      <c r="L117" s="34" cm="1">
        <f t="array" ref="L117">E117*$J117</f>
        <v>3.99575641250481</v>
      </c>
      <c r="M117" s="34" cm="1">
        <f t="array" ref="M117">F117*$J117</f>
        <v>2.82718770142623</v>
      </c>
      <c r="N117" s="34" cm="1">
        <f t="array" ref="N117">G117*$J117</f>
        <v>10.5744400071802</v>
      </c>
      <c r="O117" s="34" cm="1">
        <f t="array" ref="O117">H117*$J117</f>
        <v>1178.463599729640</v>
      </c>
      <c r="P117" s="6"/>
      <c r="Q117" s="34">
        <v>227.2728</v>
      </c>
      <c r="R117" s="34" cm="1">
        <f t="array" ref="R117">Q117/1000</f>
        <v>0.2272728</v>
      </c>
      <c r="S117" s="6"/>
      <c r="T117" s="34" cm="1">
        <f t="array" ref="T117">$R117*L117</f>
        <v>0.908126747987923</v>
      </c>
      <c r="U117" s="34" cm="1">
        <f t="array" ref="U117">$R117*M117</f>
        <v>0.6425428650287029</v>
      </c>
      <c r="V117" s="34" cm="1">
        <f t="array" ref="V117">$R117*N117</f>
        <v>2.40328258886386</v>
      </c>
      <c r="W117" s="34" cm="1">
        <f t="array" ref="W117">$R117*O117</f>
        <v>267.832722008635</v>
      </c>
      <c r="X117" s="6"/>
      <c r="Y117" s="34" cm="1">
        <f t="array" ref="Y117">T117-Y$120-Y$3</f>
        <v>0.289808625427496</v>
      </c>
      <c r="Z117" s="34" cm="1">
        <f t="array" ref="Z117">U117-Z$120-Z$3</f>
        <v>-0.414717843245577</v>
      </c>
      <c r="AA117" s="34" cm="1">
        <f t="array" ref="AA117">V117-AA$120-AA$3</f>
        <v>0.65235641109482</v>
      </c>
      <c r="AB117" s="34" cm="1">
        <f t="array" ref="AB117">W117-AB$120-AB$3</f>
        <v>268.694146720326</v>
      </c>
      <c r="AC117" s="6"/>
      <c r="AD117" s="41">
        <v>2.613</v>
      </c>
      <c r="AE117" s="35"/>
      <c r="AF117" s="41" cm="1">
        <f t="array" ref="AF117">Y117/$AD117</f>
        <v>0.110910304411594</v>
      </c>
      <c r="AG117" s="41" cm="1">
        <f t="array" ref="AG117">Z117/$AD117</f>
        <v>-0.158713296305234</v>
      </c>
      <c r="AH117" s="41" cm="1">
        <f t="array" ref="AH117">AA117/$AD117</f>
        <v>0.249658021850295</v>
      </c>
      <c r="AI117" s="41" cm="1">
        <f t="array" ref="AI117">AB117/$AD117</f>
        <v>102.829753815662</v>
      </c>
    </row>
    <row r="118" ht="17" customHeight="1">
      <c r="A118" s="6"/>
      <c r="B118" t="s" s="32">
        <v>66</v>
      </c>
      <c r="C118" s="34">
        <v>4</v>
      </c>
      <c r="D118" t="s" s="63">
        <v>179</v>
      </c>
      <c r="E118" s="37">
        <v>1.68132428947109</v>
      </c>
      <c r="F118" s="38">
        <v>7.37092697495362</v>
      </c>
      <c r="G118" s="39">
        <v>15.3635460958371</v>
      </c>
      <c r="H118" s="40">
        <v>1207.387858572380</v>
      </c>
      <c r="I118" s="6"/>
      <c r="J118" s="34">
        <v>1.02960585978375</v>
      </c>
      <c r="K118" s="6"/>
      <c r="L118" s="34" cm="1">
        <f t="array" ref="L118">E118*$J118</f>
        <v>1.73110134063618</v>
      </c>
      <c r="M118" s="34" cm="1">
        <f t="array" ref="M118">F118*$J118</f>
        <v>7.58914960545036</v>
      </c>
      <c r="N118" s="34" cm="1">
        <f t="array" ref="N118">G118*$J118</f>
        <v>15.8183970873316</v>
      </c>
      <c r="O118" s="34" cm="1">
        <f t="array" ref="O118">H118*$J118</f>
        <v>1243.133614217880</v>
      </c>
      <c r="P118" s="6"/>
      <c r="Q118" s="34">
        <v>226.5796</v>
      </c>
      <c r="R118" s="34" cm="1">
        <f t="array" ref="R118">Q118/1000</f>
        <v>0.2265796</v>
      </c>
      <c r="S118" s="6"/>
      <c r="T118" s="34" cm="1">
        <f t="array" ref="T118">$R118*L118</f>
        <v>0.392232249320809</v>
      </c>
      <c r="U118" s="34" cm="1">
        <f t="array" ref="U118">$R118*M118</f>
        <v>1.7195464819431</v>
      </c>
      <c r="V118" s="34" cm="1">
        <f t="array" ref="V118">$R118*N118</f>
        <v>3.58412608468876</v>
      </c>
      <c r="W118" s="34" cm="1">
        <f t="array" ref="W118">$R118*O118</f>
        <v>281.668717056042</v>
      </c>
      <c r="X118" s="6"/>
      <c r="Y118" s="34" cm="1">
        <f t="array" ref="Y118">T118-Y$120-Y$3</f>
        <v>-0.226085873239618</v>
      </c>
      <c r="Z118" s="34" cm="1">
        <f t="array" ref="Z118">U118-Z$120-Z$3</f>
        <v>0.66228577366882</v>
      </c>
      <c r="AA118" s="34" cm="1">
        <f t="array" ref="AA118">V118-AA$120-AA$3</f>
        <v>1.83319990691972</v>
      </c>
      <c r="AB118" s="34" cm="1">
        <f t="array" ref="AB118">W118-AB$120-AB$3</f>
        <v>282.530141767733</v>
      </c>
      <c r="AC118" s="6"/>
      <c r="AD118" s="41">
        <v>2.896</v>
      </c>
      <c r="AE118" s="35"/>
      <c r="AF118" s="41" cm="1">
        <f t="array" ref="AF118">Y118/$AD118</f>
        <v>-0.07806832639489571</v>
      </c>
      <c r="AG118" s="41" cm="1">
        <f t="array" ref="AG118">Z118/$AD118</f>
        <v>0.22868983897404</v>
      </c>
      <c r="AH118" s="41" cm="1">
        <f t="array" ref="AH118">AA118/$AD118</f>
        <v>0.633011017582776</v>
      </c>
      <c r="AI118" s="41" cm="1">
        <f t="array" ref="AI118">AB118/$AD118</f>
        <v>97.558750610405</v>
      </c>
    </row>
    <row r="119" ht="17" customHeight="1">
      <c r="A119" s="6"/>
      <c r="B119" t="s" s="32">
        <v>68</v>
      </c>
      <c r="C119" s="34">
        <v>4</v>
      </c>
      <c r="D119" t="s" s="63">
        <v>180</v>
      </c>
      <c r="E119" s="37">
        <v>21.9363501551538</v>
      </c>
      <c r="F119" s="38">
        <v>4.99688404642352</v>
      </c>
      <c r="G119" s="42">
        <v>10.0959760580152</v>
      </c>
      <c r="H119" s="34">
        <v>1303.948790752160</v>
      </c>
      <c r="I119" s="6"/>
      <c r="J119" s="34">
        <v>1.02995466549917</v>
      </c>
      <c r="K119" s="6"/>
      <c r="L119" s="34" cm="1">
        <f t="array" ref="L119">E119*$J119</f>
        <v>22.5934461863241</v>
      </c>
      <c r="M119" s="34" cm="1">
        <f t="array" ref="M119">F119*$J119</f>
        <v>5.14656403657228</v>
      </c>
      <c r="N119" s="34" cm="1">
        <f t="array" ref="N119">G119*$J119</f>
        <v>10.3983976437207</v>
      </c>
      <c r="O119" s="34" cm="1">
        <f t="array" ref="O119">H119*$J119</f>
        <v>1343.008140607190</v>
      </c>
      <c r="P119" s="6"/>
      <c r="Q119" s="34">
        <v>227.164</v>
      </c>
      <c r="R119" s="34" cm="1">
        <f t="array" ref="R119">Q119/1000</f>
        <v>0.227164</v>
      </c>
      <c r="S119" s="6"/>
      <c r="T119" s="34" cm="1">
        <f t="array" ref="T119">$R119*L119</f>
        <v>5.13241760947013</v>
      </c>
      <c r="U119" s="34" cm="1">
        <f t="array" ref="U119">$R119*M119</f>
        <v>1.16911407280391</v>
      </c>
      <c r="V119" s="34" cm="1">
        <f t="array" ref="V119">$R119*N119</f>
        <v>2.36214160233817</v>
      </c>
      <c r="W119" s="34" cm="1">
        <f t="array" ref="W119">$R119*O119</f>
        <v>305.083101252892</v>
      </c>
      <c r="X119" s="6"/>
      <c r="Y119" s="34" cm="1">
        <f t="array" ref="Y119">T119-Y$120-Y$3</f>
        <v>4.5140994869097</v>
      </c>
      <c r="Z119" s="34" cm="1">
        <f t="array" ref="Z119">U119-Z$120-Z$3</f>
        <v>0.11185336452963</v>
      </c>
      <c r="AA119" s="34" cm="1">
        <f t="array" ref="AA119">V119-AA$120-AA$3</f>
        <v>0.61121542456913</v>
      </c>
      <c r="AB119" s="34" cm="1">
        <f t="array" ref="AB119">W119-AB$120-AB$3</f>
        <v>305.944525964583</v>
      </c>
      <c r="AC119" s="6"/>
      <c r="AD119" s="41">
        <v>2.6178</v>
      </c>
      <c r="AE119" s="35"/>
      <c r="AF119" s="41" cm="1">
        <f t="array" ref="AF119">Y119/$AD119</f>
        <v>1.72438669375418</v>
      </c>
      <c r="AG119" s="41" cm="1">
        <f t="array" ref="AG119">Z119/$AD119</f>
        <v>0.0427280023415196</v>
      </c>
      <c r="AH119" s="41" cm="1">
        <f t="array" ref="AH119">AA119/$AD119</f>
        <v>0.233484385579162</v>
      </c>
      <c r="AI119" s="41" cm="1">
        <f t="array" ref="AI119">AB119/$AD119</f>
        <v>116.870855666813</v>
      </c>
    </row>
    <row r="120" ht="17" customHeight="1">
      <c r="A120" s="6"/>
      <c r="B120" t="s" s="32">
        <v>70</v>
      </c>
      <c r="C120" s="34">
        <v>4</v>
      </c>
      <c r="D120" t="s" s="63">
        <v>181</v>
      </c>
      <c r="E120" s="37">
        <v>3.04161475881327</v>
      </c>
      <c r="F120" s="38">
        <v>10.1152836558681</v>
      </c>
      <c r="G120" s="39">
        <v>10.7340702197552</v>
      </c>
      <c r="H120" s="40">
        <v>-2.7853819687244</v>
      </c>
      <c r="I120" s="6"/>
      <c r="J120" s="34">
        <v>1.02789479227002</v>
      </c>
      <c r="K120" s="6"/>
      <c r="L120" s="34" cm="1">
        <f t="array" ref="L120">E120*$J120</f>
        <v>3.12645997067579</v>
      </c>
      <c r="M120" s="34" cm="1">
        <f t="array" ref="M120">F120*$J120</f>
        <v>10.3974473922009</v>
      </c>
      <c r="N120" s="34" cm="1">
        <f t="array" ref="N120">G120*$J120</f>
        <v>11.0334948787471</v>
      </c>
      <c r="O120" s="34" cm="1">
        <f t="array" ref="O120">H120*$J120</f>
        <v>-2.86307962013463</v>
      </c>
      <c r="P120" s="6"/>
      <c r="Q120" s="34">
        <v>227.06</v>
      </c>
      <c r="R120" s="34" cm="1">
        <f t="array" ref="R120">Q120/1000</f>
        <v>0.22706</v>
      </c>
      <c r="S120" s="6"/>
      <c r="T120" s="34" cm="1">
        <f t="array" ref="T120">$R120*L120</f>
        <v>0.709894000941645</v>
      </c>
      <c r="U120" s="34" cm="1">
        <f t="array" ref="U120">$R120*M120</f>
        <v>2.36084440487314</v>
      </c>
      <c r="V120" s="34" cm="1">
        <f t="array" ref="V120">$R120*N120</f>
        <v>2.50526534716832</v>
      </c>
      <c r="W120" s="34" cm="1">
        <f t="array" ref="W120">$R120*O120</f>
        <v>-0.650090858547769</v>
      </c>
      <c r="X120" s="6"/>
      <c r="Y120" s="34" cm="1">
        <f t="array" ref="Y120">AVERAGE(T120:T122)</f>
        <v>0.618318122560427</v>
      </c>
      <c r="Z120" s="34" cm="1">
        <f t="array" ref="Z120">AVERAGE(U120:U122)</f>
        <v>1.05726070827428</v>
      </c>
      <c r="AA120" s="34" cm="1">
        <f t="array" ref="AA120">AVERAGE(V120:V122)</f>
        <v>1.75092617776904</v>
      </c>
      <c r="AB120" s="34" cm="1">
        <f t="array" ref="AB120">AVERAGE(W120:W122)</f>
        <v>-0.861424711690855</v>
      </c>
      <c r="AC120" s="6"/>
      <c r="AD120" s="35"/>
      <c r="AE120" s="35"/>
      <c r="AF120" s="35" cm="1">
        <f t="array" ref="AF120">Y120/$AD120</f>
      </c>
      <c r="AG120" s="35"/>
      <c r="AH120" s="35" cm="1">
        <f t="array" ref="AH120">AA120/$AD120</f>
      </c>
      <c r="AI120" s="35" cm="1">
        <f t="array" ref="AI120">AB120/$AD120</f>
      </c>
    </row>
    <row r="121" ht="17" customHeight="1">
      <c r="A121" s="6"/>
      <c r="B121" t="s" s="32">
        <v>72</v>
      </c>
      <c r="C121" s="34">
        <v>4</v>
      </c>
      <c r="D121" t="s" s="63">
        <v>182</v>
      </c>
      <c r="E121" s="37">
        <v>1.08461038411941</v>
      </c>
      <c r="F121" s="38">
        <v>3.28081001928265</v>
      </c>
      <c r="G121" s="42">
        <v>6.71168080266446</v>
      </c>
      <c r="H121" s="34">
        <v>-3.88327877293942</v>
      </c>
      <c r="I121" s="6"/>
      <c r="J121" s="34">
        <v>1.02804282519222</v>
      </c>
      <c r="K121" s="6"/>
      <c r="L121" s="34" cm="1">
        <f t="array" ref="L121">E121*$J121</f>
        <v>1.11502592352294</v>
      </c>
      <c r="M121" s="34" cm="1">
        <f t="array" ref="M121">F121*$J121</f>
        <v>3.37281320114228</v>
      </c>
      <c r="N121" s="34" cm="1">
        <f t="array" ref="N121">G121*$J121</f>
        <v>6.89989529415956</v>
      </c>
      <c r="O121" s="34" cm="1">
        <f t="array" ref="O121">H121*$J121</f>
        <v>-3.99217688074162</v>
      </c>
      <c r="P121" s="6"/>
      <c r="Q121" s="34">
        <v>226.74</v>
      </c>
      <c r="R121" s="34" cm="1">
        <f t="array" ref="R121">Q121/1000</f>
        <v>0.22674</v>
      </c>
      <c r="S121" s="6"/>
      <c r="T121" s="34" cm="1">
        <f t="array" ref="T121">$R121*L121</f>
        <v>0.252820977899591</v>
      </c>
      <c r="U121" s="34" cm="1">
        <f t="array" ref="U121">$R121*M121</f>
        <v>0.764751665227001</v>
      </c>
      <c r="V121" s="34" cm="1">
        <f t="array" ref="V121">$R121*N121</f>
        <v>1.56448225899774</v>
      </c>
      <c r="W121" s="34" cm="1">
        <f t="array" ref="W121">$R121*O121</f>
        <v>-0.905186185939355</v>
      </c>
      <c r="X121" s="6"/>
      <c r="Y121" s="6"/>
      <c r="Z121" s="6"/>
      <c r="AA121" s="6"/>
      <c r="AB121" s="6"/>
      <c r="AC121" s="6"/>
      <c r="AD121" s="35"/>
      <c r="AE121" s="35"/>
      <c r="AF121" s="35" cm="1">
        <f t="array" ref="AF121">Y121/$AD121</f>
      </c>
      <c r="AG121" s="35" cm="1">
        <f t="array" ref="AG121">Z121/$AD121</f>
      </c>
      <c r="AH121" s="35" cm="1">
        <f t="array" ref="AH121">AA121/$AD121</f>
      </c>
      <c r="AI121" s="35" cm="1">
        <f t="array" ref="AI121">AB121/$AD121</f>
      </c>
    </row>
    <row r="122" ht="17" customHeight="1">
      <c r="A122" s="6"/>
      <c r="B122" t="s" s="8">
        <v>74</v>
      </c>
      <c r="C122" s="34">
        <v>4</v>
      </c>
      <c r="D122" t="s" s="63">
        <v>183</v>
      </c>
      <c r="E122" s="37">
        <v>3.78586983210549</v>
      </c>
      <c r="F122" s="38">
        <v>0.195972508528123</v>
      </c>
      <c r="G122" s="39">
        <v>5.01973030279893</v>
      </c>
      <c r="H122" s="40">
        <v>-4.36614779766254</v>
      </c>
      <c r="I122" s="6"/>
      <c r="J122" s="34">
        <v>1.03059381187046</v>
      </c>
      <c r="K122" s="6"/>
      <c r="L122" s="34" cm="1">
        <f t="array" ref="L122">E122*$J122</f>
        <v>3.90169402151498</v>
      </c>
      <c r="M122" s="34" cm="1">
        <f t="array" ref="M122">F122*$J122</f>
        <v>0.201968054585815</v>
      </c>
      <c r="N122" s="34" cm="1">
        <f t="array" ref="N122">G122*$J122</f>
        <v>5.17330298732321</v>
      </c>
      <c r="O122" s="34" cm="1">
        <f t="array" ref="O122">H122*$J122</f>
        <v>-4.49972490198285</v>
      </c>
      <c r="P122" s="6"/>
      <c r="Q122" s="34">
        <v>228.68</v>
      </c>
      <c r="R122" s="34" cm="1">
        <f t="array" ref="R122">Q122/1000</f>
        <v>0.22868</v>
      </c>
      <c r="S122" s="6"/>
      <c r="T122" s="34" cm="1">
        <f t="array" ref="T122">$R122*L122</f>
        <v>0.8922393888400461</v>
      </c>
      <c r="U122" s="34" cm="1">
        <f t="array" ref="U122">$R122*M122</f>
        <v>0.0461860547226842</v>
      </c>
      <c r="V122" s="34" cm="1">
        <f t="array" ref="V122">$R122*N122</f>
        <v>1.18303092714107</v>
      </c>
      <c r="W122" s="34" cm="1">
        <f t="array" ref="W122">$R122*O122</f>
        <v>-1.02899709058544</v>
      </c>
      <c r="X122" s="6"/>
      <c r="Y122" s="6"/>
      <c r="Z122" s="6"/>
      <c r="AA122" s="6"/>
      <c r="AB122" s="6"/>
      <c r="AC122" s="6"/>
      <c r="AD122" s="35"/>
      <c r="AE122" s="35"/>
      <c r="AF122" s="35" cm="1">
        <f t="array" ref="AF122">Y122/$AD122</f>
      </c>
      <c r="AG122" s="35" cm="1">
        <f t="array" ref="AG122">Z122/$AD122</f>
      </c>
      <c r="AH122" s="35" cm="1">
        <f t="array" ref="AH122">AA122/$AD122</f>
      </c>
      <c r="AI122" s="35" cm="1">
        <f t="array" ref="AI122">AB122/$AD122</f>
      </c>
    </row>
    <row r="123" ht="17" customHeight="1">
      <c r="A123" s="6"/>
      <c r="B123" t="s" s="25">
        <v>76</v>
      </c>
      <c r="C123" s="34">
        <v>4</v>
      </c>
      <c r="D123" t="s" s="63">
        <v>184</v>
      </c>
      <c r="E123" s="37">
        <v>227.588179465066</v>
      </c>
      <c r="F123" s="38">
        <v>228.268221534254</v>
      </c>
      <c r="G123" s="42">
        <v>1333.655162310160</v>
      </c>
      <c r="H123" s="34">
        <v>-131.644594490854</v>
      </c>
      <c r="I123" s="6"/>
      <c r="J123" s="34">
        <v>1.0362064858611</v>
      </c>
      <c r="K123" s="6"/>
      <c r="L123" s="34" cm="1">
        <f t="array" ref="L123">E123*$J123</f>
        <v>235.828347667021</v>
      </c>
      <c r="M123" s="34" cm="1">
        <f t="array" ref="M123">F123*$J123</f>
        <v>236.533011669772</v>
      </c>
      <c r="N123" s="34" cm="1">
        <f t="array" ref="N123">G123*$J123</f>
        <v>1381.942129087930</v>
      </c>
      <c r="O123" s="34" cm="1">
        <f t="array" ref="O123">H123*$J123</f>
        <v>-136.410982639977</v>
      </c>
      <c r="P123" s="6"/>
      <c r="Q123" s="34">
        <v>222.4648</v>
      </c>
      <c r="R123" s="34" cm="1">
        <f t="array" ref="R123">Q123/1000</f>
        <v>0.2224648</v>
      </c>
      <c r="S123" s="6"/>
      <c r="T123" s="34" cm="1">
        <f t="array" ref="T123">$R123*L123</f>
        <v>52.4635061980743</v>
      </c>
      <c r="U123" s="34" cm="1">
        <f t="array" ref="U123">$R123*M123</f>
        <v>52.6202691345135</v>
      </c>
      <c r="V123" s="34" cm="1">
        <f t="array" ref="V123">$R123*N123</f>
        <v>307.433479359121</v>
      </c>
      <c r="W123" s="34" cm="1">
        <f t="array" ref="W123">$R123*O123</f>
        <v>-30.346641970806</v>
      </c>
      <c r="X123" s="6"/>
      <c r="Y123" s="34" cm="1">
        <f t="array" ref="Y123">T123-Y$129-Y$3</f>
        <v>50.353835251797</v>
      </c>
      <c r="Z123" s="34" cm="1">
        <f t="array" ref="Z123">U123-Z$129-Z$3</f>
        <v>52.6192406232146</v>
      </c>
      <c r="AA123" s="34" cm="1">
        <f t="array" ref="AA123">V123-AA$129-AA$3</f>
        <v>306.384590326859</v>
      </c>
      <c r="AB123" s="34" cm="1">
        <f t="array" ref="AB123">W123-AB$129-AB$3</f>
        <v>-3.6748547161111</v>
      </c>
      <c r="AC123" s="6"/>
      <c r="AD123" s="41">
        <v>4.3892</v>
      </c>
      <c r="AE123" s="35"/>
      <c r="AF123" s="41" cm="1">
        <f t="array" ref="AF123">Y123/$AD123</f>
        <v>11.472212533445</v>
      </c>
      <c r="AG123" s="41" cm="1">
        <f t="array" ref="AG123">Z123/$AD123</f>
        <v>11.9883442593672</v>
      </c>
      <c r="AH123" s="41" cm="1">
        <f t="array" ref="AH123">AA123/$AD123</f>
        <v>69.8041990173287</v>
      </c>
      <c r="AI123" s="41" cm="1">
        <f t="array" ref="AI123">AB123/$AD123</f>
        <v>-0.8372493201747701</v>
      </c>
    </row>
    <row r="124" ht="17" customHeight="1">
      <c r="A124" s="6"/>
      <c r="B124" t="s" s="32">
        <v>78</v>
      </c>
      <c r="C124" s="34">
        <v>4</v>
      </c>
      <c r="D124" t="s" s="63">
        <v>185</v>
      </c>
      <c r="E124" s="37">
        <v>111.547120053756</v>
      </c>
      <c r="F124" s="38">
        <v>206.873563772048</v>
      </c>
      <c r="G124" s="39">
        <v>1742.431328182720</v>
      </c>
      <c r="H124" s="40">
        <v>-143.378031942936</v>
      </c>
      <c r="I124" s="6"/>
      <c r="J124" s="34">
        <v>1.03419921811896</v>
      </c>
      <c r="K124" s="6"/>
      <c r="L124" s="34" cm="1">
        <f t="array" ref="L124">E124*$J124</f>
        <v>115.361944343016</v>
      </c>
      <c r="M124" s="34" cm="1">
        <f t="array" ref="M124">F124*$J124</f>
        <v>213.948477902535</v>
      </c>
      <c r="N124" s="34" cm="1">
        <f t="array" ref="N124">G124*$J124</f>
        <v>1802.021117232550</v>
      </c>
      <c r="O124" s="34" cm="1">
        <f t="array" ref="O124">H124*$J124</f>
        <v>-148.281448530820</v>
      </c>
      <c r="P124" s="6"/>
      <c r="Q124" s="34">
        <v>221.5122</v>
      </c>
      <c r="R124" s="34" cm="1">
        <f t="array" ref="R124">Q124/1000</f>
        <v>0.2215122</v>
      </c>
      <c r="S124" s="6"/>
      <c r="T124" s="34" cm="1">
        <f t="array" ref="T124">$R124*L124</f>
        <v>25.554078087699</v>
      </c>
      <c r="U124" s="34" cm="1">
        <f t="array" ref="U124">$R124*M124</f>
        <v>47.3921980268419</v>
      </c>
      <c r="V124" s="34" cm="1">
        <f t="array" ref="V124">$R124*N124</f>
        <v>399.169662124640</v>
      </c>
      <c r="W124" s="34" cm="1">
        <f t="array" ref="W124">$R124*O124</f>
        <v>-32.8461498832487</v>
      </c>
      <c r="X124" s="6"/>
      <c r="Y124" s="34" cm="1">
        <f t="array" ref="Y124">T124-Y$129-Y$3</f>
        <v>23.4444071414217</v>
      </c>
      <c r="Z124" s="34" cm="1">
        <f t="array" ref="Z124">U124-Z$129-Z$3</f>
        <v>47.391169515543</v>
      </c>
      <c r="AA124" s="34" cm="1">
        <f t="array" ref="AA124">V124-AA$129-AA$3</f>
        <v>398.120773092378</v>
      </c>
      <c r="AB124" s="34" cm="1">
        <f t="array" ref="AB124">W124-AB$129-AB$3</f>
        <v>-6.1743626285538</v>
      </c>
      <c r="AC124" s="6"/>
      <c r="AD124" s="41">
        <v>4.4682</v>
      </c>
      <c r="AE124" s="35"/>
      <c r="AF124" s="41" cm="1">
        <f t="array" ref="AF124">Y124/$AD124</f>
        <v>5.24694667683221</v>
      </c>
      <c r="AG124" s="41" cm="1">
        <f t="array" ref="AG124">Z124/$AD124</f>
        <v>10.6063223480469</v>
      </c>
      <c r="AH124" s="41" cm="1">
        <f t="array" ref="AH124">AA124/$AD124</f>
        <v>89.10092947772659</v>
      </c>
      <c r="AI124" s="41" cm="1">
        <f t="array" ref="AI124">AB124/$AD124</f>
        <v>-1.38184562655069</v>
      </c>
    </row>
    <row r="125" ht="17" customHeight="1">
      <c r="A125" s="6"/>
      <c r="B125" t="s" s="32">
        <v>80</v>
      </c>
      <c r="C125" s="34">
        <v>4</v>
      </c>
      <c r="D125" t="s" s="63">
        <v>186</v>
      </c>
      <c r="E125" s="37">
        <v>91.3792663490493</v>
      </c>
      <c r="F125" s="38">
        <v>140.675175374803</v>
      </c>
      <c r="G125" s="42">
        <v>810.392632623786</v>
      </c>
      <c r="H125" s="34">
        <v>-142.056013232536</v>
      </c>
      <c r="I125" s="6"/>
      <c r="J125" s="34">
        <v>1.03176652892562</v>
      </c>
      <c r="K125" s="6"/>
      <c r="L125" s="34" cm="1">
        <f t="array" ref="L125">E125*$J125</f>
        <v>94.2820684567283</v>
      </c>
      <c r="M125" s="34" cm="1">
        <f t="array" ref="M125">F125*$J125</f>
        <v>145.143937402463</v>
      </c>
      <c r="N125" s="34" cm="1">
        <f t="array" ref="N125">G125*$J125</f>
        <v>836.135993629139</v>
      </c>
      <c r="O125" s="34" cm="1">
        <f t="array" ref="O125">H125*$J125</f>
        <v>-146.568639685946</v>
      </c>
      <c r="P125" s="6"/>
      <c r="Q125" s="34">
        <v>224.083</v>
      </c>
      <c r="R125" s="34" cm="1">
        <f t="array" ref="R125">Q125/1000</f>
        <v>0.224083</v>
      </c>
      <c r="S125" s="6"/>
      <c r="T125" s="34" cm="1">
        <f t="array" ref="T125">$R125*L125</f>
        <v>21.127008745989</v>
      </c>
      <c r="U125" s="34" cm="1">
        <f t="array" ref="U125">$R125*M125</f>
        <v>32.5242889249561</v>
      </c>
      <c r="V125" s="34" cm="1">
        <f t="array" ref="V125">$R125*N125</f>
        <v>187.363861860398</v>
      </c>
      <c r="W125" s="34" cm="1">
        <f t="array" ref="W125">$R125*O125</f>
        <v>-32.8435404867458</v>
      </c>
      <c r="X125" s="6"/>
      <c r="Y125" s="34" cm="1">
        <f t="array" ref="Y125">T125-Y$129-Y$3</f>
        <v>19.0173377997117</v>
      </c>
      <c r="Z125" s="34" cm="1">
        <f t="array" ref="Z125">U125-Z$129-Z$3</f>
        <v>32.5232604136572</v>
      </c>
      <c r="AA125" s="34" cm="1">
        <f t="array" ref="AA125">V125-AA$129-AA$3</f>
        <v>186.314972828136</v>
      </c>
      <c r="AB125" s="34" cm="1">
        <f t="array" ref="AB125">W125-AB$129-AB$3</f>
        <v>-6.1717532320509</v>
      </c>
      <c r="AC125" s="6"/>
      <c r="AD125" s="41">
        <v>4.2026</v>
      </c>
      <c r="AE125" s="35"/>
      <c r="AF125" s="41" cm="1">
        <f t="array" ref="AF125">Y125/$AD125</f>
        <v>4.52513629650971</v>
      </c>
      <c r="AG125" s="41" cm="1">
        <f t="array" ref="AG125">Z125/$AD125</f>
        <v>7.73884271966335</v>
      </c>
      <c r="AH125" s="41" cm="1">
        <f t="array" ref="AH125">AA125/$AD125</f>
        <v>44.3332634150612</v>
      </c>
      <c r="AI125" s="41" cm="1">
        <f t="array" ref="AI125">AB125/$AD125</f>
        <v>-1.46855594918643</v>
      </c>
    </row>
    <row r="126" ht="17" customHeight="1">
      <c r="A126" s="6"/>
      <c r="B126" t="s" s="32">
        <v>82</v>
      </c>
      <c r="C126" s="34">
        <v>4</v>
      </c>
      <c r="D126" t="s" s="63">
        <v>187</v>
      </c>
      <c r="E126" s="37">
        <v>6.75671615846636</v>
      </c>
      <c r="F126" s="38">
        <v>13.5224685019776</v>
      </c>
      <c r="G126" s="39">
        <v>286.228280632861</v>
      </c>
      <c r="H126" s="40">
        <v>451.197434085554</v>
      </c>
      <c r="I126" s="6"/>
      <c r="J126" s="34">
        <v>1.04686597663365</v>
      </c>
      <c r="K126" s="6"/>
      <c r="L126" s="34" cm="1">
        <f t="array" ref="L126">E126*$J126</f>
        <v>7.07337626006925</v>
      </c>
      <c r="M126" s="34" cm="1">
        <f t="array" ref="M126">F126*$J126</f>
        <v>14.1562121948206</v>
      </c>
      <c r="N126" s="34" cm="1">
        <f t="array" ref="N126">G126*$J126</f>
        <v>299.642648544890</v>
      </c>
      <c r="O126" s="34" cm="1">
        <f t="array" ref="O126">H126*$J126</f>
        <v>472.343242488570</v>
      </c>
      <c r="P126" s="6"/>
      <c r="Q126" s="34">
        <v>222.3706</v>
      </c>
      <c r="R126" s="34" cm="1">
        <f t="array" ref="R126">Q126/1000</f>
        <v>0.2223706</v>
      </c>
      <c r="S126" s="6"/>
      <c r="T126" s="34" cm="1">
        <f t="array" ref="T126">$R126*L126</f>
        <v>1.57291092297736</v>
      </c>
      <c r="U126" s="34" cm="1">
        <f t="array" ref="U126">$R126*M126</f>
        <v>3.14792539948957</v>
      </c>
      <c r="V126" s="34" cm="1">
        <f t="array" ref="V126">$R126*N126</f>
        <v>66.6317155425163</v>
      </c>
      <c r="W126" s="34" cm="1">
        <f t="array" ref="W126">$R126*O126</f>
        <v>105.035250238129</v>
      </c>
      <c r="X126" s="6"/>
      <c r="Y126" s="34" cm="1">
        <f t="array" ref="Y126">T126-Y$129-Y$3</f>
        <v>-0.53676002329992</v>
      </c>
      <c r="Z126" s="34" cm="1">
        <f t="array" ref="Z126">U126-Z$129-Z$3</f>
        <v>3.14689688819063</v>
      </c>
      <c r="AA126" s="34" cm="1">
        <f t="array" ref="AA126">V126-AA$129-AA$3</f>
        <v>65.58282651025461</v>
      </c>
      <c r="AB126" s="34" cm="1">
        <f t="array" ref="AB126">W126-AB$129-AB$3</f>
        <v>131.707037492824</v>
      </c>
      <c r="AC126" s="6"/>
      <c r="AD126" s="41">
        <v>3.154</v>
      </c>
      <c r="AE126" s="35"/>
      <c r="AF126" s="41" cm="1">
        <f t="array" ref="AF126">Y126/$AD126</f>
        <v>-0.17018390085603</v>
      </c>
      <c r="AG126" s="41" cm="1">
        <f t="array" ref="AG126">Z126/$AD126</f>
        <v>0.997747903674899</v>
      </c>
      <c r="AH126" s="41" cm="1">
        <f t="array" ref="AH126">AA126/$AD126</f>
        <v>20.7935404281086</v>
      </c>
      <c r="AI126" s="41" cm="1">
        <f t="array" ref="AI126">AB126/$AD126</f>
        <v>41.7587309742625</v>
      </c>
    </row>
    <row r="127" ht="17" customHeight="1">
      <c r="A127" s="6"/>
      <c r="B127" t="s" s="32">
        <v>84</v>
      </c>
      <c r="C127" s="34">
        <v>4</v>
      </c>
      <c r="D127" t="s" s="63">
        <v>188</v>
      </c>
      <c r="E127" s="37">
        <v>5.84041684395587</v>
      </c>
      <c r="F127" s="61">
        <v>0.00444367741622345</v>
      </c>
      <c r="G127" s="42">
        <v>29.1858112393382</v>
      </c>
      <c r="H127" s="34">
        <v>475.586908541219</v>
      </c>
      <c r="I127" s="6"/>
      <c r="J127" s="34">
        <v>1.05860228435521</v>
      </c>
      <c r="K127" s="6"/>
      <c r="L127" s="34" cm="1">
        <f t="array" ref="L127">E127*$J127</f>
        <v>6.18267861259833</v>
      </c>
      <c r="M127" s="34" cm="1">
        <f t="array" ref="M127">F127*$J127</f>
        <v>0.0047040870637518</v>
      </c>
      <c r="N127" s="34" cm="1">
        <f t="array" ref="N127">G127*$J127</f>
        <v>30.8961664487234</v>
      </c>
      <c r="O127" s="34" cm="1">
        <f t="array" ref="O127">H127*$J127</f>
        <v>503.457387791167</v>
      </c>
      <c r="P127" s="6"/>
      <c r="Q127" s="34">
        <v>223.6038</v>
      </c>
      <c r="R127" s="34" cm="1">
        <f t="array" ref="R127">Q127/1000</f>
        <v>0.2236038</v>
      </c>
      <c r="S127" s="6"/>
      <c r="T127" s="34" cm="1">
        <f t="array" ref="T127">$R127*L127</f>
        <v>1.38247043195571</v>
      </c>
      <c r="U127" s="34" cm="1">
        <f t="array" ref="U127">$R127*M127</f>
        <v>0.00105185174298574</v>
      </c>
      <c r="V127" s="34" cm="1">
        <f t="array" ref="V127">$R127*N127</f>
        <v>6.90850022336706</v>
      </c>
      <c r="W127" s="34" cm="1">
        <f t="array" ref="W127">$R127*O127</f>
        <v>112.574985048179</v>
      </c>
      <c r="X127" s="6"/>
      <c r="Y127" s="34" cm="1">
        <f t="array" ref="Y127">T127-Y$129-Y$3</f>
        <v>-0.72720051432157</v>
      </c>
      <c r="Z127" s="34" cm="1">
        <f t="array" ref="Z127">U127-Z$129-Z$3</f>
        <v>2.334044404744e-05</v>
      </c>
      <c r="AA127" s="34" cm="1">
        <f t="array" ref="AA127">V127-AA$129-AA$3</f>
        <v>5.85961119110536</v>
      </c>
      <c r="AB127" s="34" cm="1">
        <f t="array" ref="AB127">W127-AB$129-AB$3</f>
        <v>139.246772302874</v>
      </c>
      <c r="AC127" s="6"/>
      <c r="AD127" s="41">
        <v>3.2482</v>
      </c>
      <c r="AE127" s="35"/>
      <c r="AF127" s="41" cm="1">
        <f t="array" ref="AF127">Y127/$AD127</f>
        <v>-0.223877998374968</v>
      </c>
      <c r="AG127" s="41" cm="1">
        <f t="array" ref="AG127">Z127/$AD127</f>
        <v>7.18565483881534e-06</v>
      </c>
      <c r="AH127" s="41" cm="1">
        <f t="array" ref="AH127">AA127/$AD127</f>
        <v>1.80395640388688</v>
      </c>
      <c r="AI127" s="41" cm="1">
        <f t="array" ref="AI127">AB127/$AD127</f>
        <v>42.8689034858919</v>
      </c>
    </row>
    <row r="128" ht="17" customHeight="1">
      <c r="A128" s="6"/>
      <c r="B128" t="s" s="32">
        <v>86</v>
      </c>
      <c r="C128" s="34">
        <v>4</v>
      </c>
      <c r="D128" t="s" s="63">
        <v>189</v>
      </c>
      <c r="E128" s="37">
        <v>8.66629202929885</v>
      </c>
      <c r="F128" s="61">
        <v>0.00444367741622345</v>
      </c>
      <c r="G128" s="39">
        <v>10.7985172827921</v>
      </c>
      <c r="H128" s="40">
        <v>690.531656356586</v>
      </c>
      <c r="I128" s="6"/>
      <c r="J128" s="34">
        <v>1.04294091297797</v>
      </c>
      <c r="K128" s="6"/>
      <c r="L128" s="34" cm="1">
        <f t="array" ref="L128">E128*$J128</f>
        <v>9.03843052117065</v>
      </c>
      <c r="M128" s="34" cm="1">
        <f t="array" ref="M128">F128*$J128</f>
        <v>0.00463449298145567</v>
      </c>
      <c r="N128" s="34" cm="1">
        <f t="array" ref="N128">G128*$J128</f>
        <v>11.2622154737236</v>
      </c>
      <c r="O128" s="34" cm="1">
        <f t="array" ref="O128">H128*$J128</f>
        <v>720.183716120728</v>
      </c>
      <c r="P128" s="6"/>
      <c r="Q128" s="34">
        <v>223.6678</v>
      </c>
      <c r="R128" s="34" cm="1">
        <f t="array" ref="R128">Q128/1000</f>
        <v>0.2236678</v>
      </c>
      <c r="S128" s="6"/>
      <c r="T128" s="34" cm="1">
        <f t="array" ref="T128">$R128*L128</f>
        <v>2.02160587012309</v>
      </c>
      <c r="U128" s="34" cm="1">
        <f t="array" ref="U128">$R128*M128</f>
        <v>0.00103658684927763</v>
      </c>
      <c r="V128" s="34" cm="1">
        <f t="array" ref="V128">$R128*N128</f>
        <v>2.51899495813372</v>
      </c>
      <c r="W128" s="34" cm="1">
        <f t="array" ref="W128">$R128*O128</f>
        <v>161.081907380548</v>
      </c>
      <c r="X128" s="6"/>
      <c r="Y128" s="34" cm="1">
        <f t="array" ref="Y128">T128-Y$129-Y$3</f>
        <v>-0.08806507615419</v>
      </c>
      <c r="Z128" s="34" cm="1">
        <f t="array" ref="Z128">U128-Z$129-Z$3</f>
        <v>8.07555033933e-06</v>
      </c>
      <c r="AA128" s="34" cm="1">
        <f t="array" ref="AA128">V128-AA$129-AA$3</f>
        <v>1.47010592587202</v>
      </c>
      <c r="AB128" s="34" cm="1">
        <f t="array" ref="AB128">W128-AB$129-AB$3</f>
        <v>187.753694635243</v>
      </c>
      <c r="AC128" s="6"/>
      <c r="AD128" s="41">
        <v>1.5948</v>
      </c>
      <c r="AE128" s="35"/>
      <c r="AF128" s="41" cm="1">
        <f t="array" ref="AF128">Y128/$AD128</f>
        <v>-0.055220138045015</v>
      </c>
      <c r="AG128" s="41" cm="1">
        <f t="array" ref="AG128">Z128/$AD128</f>
        <v>5.0636759087848e-06</v>
      </c>
      <c r="AH128" s="41" cm="1">
        <f t="array" ref="AH128">AA128/$AD128</f>
        <v>0.921812092972172</v>
      </c>
      <c r="AI128" s="41" cm="1">
        <f t="array" ref="AI128">AB128/$AD128</f>
        <v>117.728677348409</v>
      </c>
    </row>
    <row r="129" ht="17" customHeight="1">
      <c r="A129" s="6"/>
      <c r="B129" t="s" s="32">
        <v>88</v>
      </c>
      <c r="C129" s="34">
        <v>4</v>
      </c>
      <c r="D129" t="s" s="63">
        <v>190</v>
      </c>
      <c r="E129" s="37">
        <v>26.8958785807196</v>
      </c>
      <c r="F129" s="61">
        <v>0.00444367741622345</v>
      </c>
      <c r="G129" s="42">
        <v>3.71845284571744</v>
      </c>
      <c r="H129" s="34">
        <v>-3.23359417880989</v>
      </c>
      <c r="I129" s="6"/>
      <c r="J129" s="34">
        <v>1.03348607684173</v>
      </c>
      <c r="K129" s="6"/>
      <c r="L129" s="34" cm="1">
        <f t="array" ref="L129">E129*$J129</f>
        <v>27.7965160375994</v>
      </c>
      <c r="M129" s="34" cm="1">
        <f t="array" ref="M129">F129*$J129</f>
        <v>0.00459247873964297</v>
      </c>
      <c r="N129" s="34" cm="1">
        <f t="array" ref="N129">G129*$J129</f>
        <v>3.84296924344148</v>
      </c>
      <c r="O129" s="34" cm="1">
        <f t="array" ref="O129">H129*$J129</f>
        <v>-3.34187456195649</v>
      </c>
      <c r="P129" s="6"/>
      <c r="Q129" s="34">
        <v>223.68</v>
      </c>
      <c r="R129" s="34" cm="1">
        <f t="array" ref="R129">Q129/1000</f>
        <v>0.22368</v>
      </c>
      <c r="S129" s="6"/>
      <c r="T129" s="34" cm="1">
        <f t="array" ref="T129">$R129*L129</f>
        <v>6.21752470729023</v>
      </c>
      <c r="U129" s="34" cm="1">
        <f t="array" ref="U129">$R129*M129</f>
        <v>0.00102724564448334</v>
      </c>
      <c r="V129" s="34" cm="1">
        <f t="array" ref="V129">$R129*N129</f>
        <v>0.85959536037299</v>
      </c>
      <c r="W129" s="34" cm="1">
        <f t="array" ref="W129">$R129*O129</f>
        <v>-0.7475105020184279</v>
      </c>
      <c r="X129" s="6"/>
      <c r="Y129" s="34" cm="1">
        <f t="array" ref="Y129">AVERAGE(T129:T131)</f>
        <v>2.10967094627728</v>
      </c>
      <c r="Z129" s="34" cm="1">
        <f t="array" ref="Z129">AVERAGE(U129:U131)</f>
        <v>0.0010285112989383</v>
      </c>
      <c r="AA129" s="34" cm="1">
        <f t="array" ref="AA129">AVERAGE(V129:V131)</f>
        <v>1.0488890322617</v>
      </c>
      <c r="AB129" s="34" cm="1">
        <f t="array" ref="AB129">AVERAGE(W129:W131)</f>
        <v>-26.6717872546949</v>
      </c>
      <c r="AC129" s="6"/>
      <c r="AD129" s="35"/>
      <c r="AE129" s="35"/>
      <c r="AF129" s="35" cm="1">
        <f t="array" ref="AF129">Y129/$AD129</f>
      </c>
      <c r="AG129" s="35" cm="1">
        <f t="array" ref="AG129">Z129/$AD129</f>
      </c>
      <c r="AH129" s="35" cm="1">
        <f t="array" ref="AH129">AA129/$AD129</f>
      </c>
      <c r="AI129" s="35" cm="1">
        <f t="array" ref="AI129">AB129/$AD129</f>
      </c>
    </row>
    <row r="130" ht="17" customHeight="1">
      <c r="A130" s="6"/>
      <c r="B130" t="s" s="32">
        <v>90</v>
      </c>
      <c r="C130" s="34">
        <v>4</v>
      </c>
      <c r="D130" t="s" s="63">
        <v>191</v>
      </c>
      <c r="E130" s="37">
        <v>-0.855604505945369</v>
      </c>
      <c r="F130" s="61">
        <v>0.00444367741622345</v>
      </c>
      <c r="G130" s="39">
        <v>5.07947626939592</v>
      </c>
      <c r="H130" s="40">
        <v>-3.43589216897009</v>
      </c>
      <c r="I130" s="6"/>
      <c r="J130" s="34">
        <v>1.03394209209372</v>
      </c>
      <c r="K130" s="6"/>
      <c r="L130" s="34" cm="1">
        <f t="array" ref="L130">E130*$J130</f>
        <v>-0.884645512881969</v>
      </c>
      <c r="M130" s="34" cm="1">
        <f t="array" ref="M130">F130*$J130</f>
        <v>0.00459450512431969</v>
      </c>
      <c r="N130" s="34" cm="1">
        <f t="array" ref="N130">G130*$J130</f>
        <v>5.25188432071962</v>
      </c>
      <c r="O130" s="34" cm="1">
        <f t="array" ref="O130">H130*$J130</f>
        <v>-3.55251353739336</v>
      </c>
      <c r="P130" s="6"/>
      <c r="Q130" s="34">
        <v>223.88</v>
      </c>
      <c r="R130" s="34" cm="1">
        <f t="array" ref="R130">Q130/1000</f>
        <v>0.22388</v>
      </c>
      <c r="S130" s="6"/>
      <c r="T130" s="34" cm="1">
        <f t="array" ref="T130">$R130*L130</f>
        <v>-0.198054437424015</v>
      </c>
      <c r="U130" s="34" cm="1">
        <f t="array" ref="U130">$R130*M130</f>
        <v>0.00102861780723269</v>
      </c>
      <c r="V130" s="34" cm="1">
        <f t="array" ref="V130">$R130*N130</f>
        <v>1.17579186172271</v>
      </c>
      <c r="W130" s="34" cm="1">
        <f t="array" ref="W130">$R130*O130</f>
        <v>-0.795336730751625</v>
      </c>
      <c r="X130" s="6"/>
      <c r="Y130" s="6"/>
      <c r="Z130" s="6"/>
      <c r="AA130" s="6"/>
      <c r="AB130" s="6"/>
      <c r="AC130" s="6"/>
      <c r="AD130" s="35"/>
      <c r="AE130" s="35"/>
      <c r="AF130" s="35" cm="1">
        <f t="array" ref="AF130">Y130/$AD130</f>
      </c>
      <c r="AG130" s="35" cm="1">
        <f t="array" ref="AG130">Z130/$AD130</f>
      </c>
      <c r="AH130" s="35" cm="1">
        <f t="array" ref="AH130">AA130/$AD130</f>
      </c>
      <c r="AI130" s="35" cm="1">
        <f t="array" ref="AI130">AB130/$AD130</f>
      </c>
    </row>
    <row r="131" ht="17" customHeight="1">
      <c r="A131" s="6"/>
      <c r="B131" t="s" s="8">
        <v>92</v>
      </c>
      <c r="C131" s="34">
        <v>4</v>
      </c>
      <c r="D131" t="s" s="63">
        <v>192</v>
      </c>
      <c r="E131" s="37">
        <v>1.33587142334673</v>
      </c>
      <c r="F131" s="61">
        <v>0.00444367741622345</v>
      </c>
      <c r="G131" s="42">
        <v>4.79587357854748</v>
      </c>
      <c r="H131" s="34">
        <v>-338.658395292275</v>
      </c>
      <c r="I131" s="6"/>
      <c r="J131" s="34">
        <v>1.03352292586826</v>
      </c>
      <c r="K131" s="6"/>
      <c r="L131" s="34" cm="1">
        <f t="array" ref="L131">E131*$J131</f>
        <v>1.38065374204111</v>
      </c>
      <c r="M131" s="34" cm="1">
        <f t="array" ref="M131">F131*$J131</f>
        <v>0.00459264248482997</v>
      </c>
      <c r="N131" s="34" cm="1">
        <f t="array" ref="N131">G131*$J131</f>
        <v>4.95664529299467</v>
      </c>
      <c r="O131" s="34" cm="1">
        <f t="array" ref="O131">H131*$J131</f>
        <v>-350.011215572322</v>
      </c>
      <c r="P131" s="6"/>
      <c r="Q131" s="34">
        <v>224.2</v>
      </c>
      <c r="R131" s="34" cm="1">
        <f t="array" ref="R131">Q131/1000</f>
        <v>0.2242</v>
      </c>
      <c r="S131" s="6"/>
      <c r="T131" s="34" cm="1">
        <f t="array" ref="T131">$R131*L131</f>
        <v>0.309542568965617</v>
      </c>
      <c r="U131" s="34" cm="1">
        <f t="array" ref="U131">$R131*M131</f>
        <v>0.00102967044509888</v>
      </c>
      <c r="V131" s="34" cm="1">
        <f t="array" ref="V131">$R131*N131</f>
        <v>1.11127987468941</v>
      </c>
      <c r="W131" s="34" cm="1">
        <f t="array" ref="W131">$R131*O131</f>
        <v>-78.4725145313146</v>
      </c>
      <c r="X131" s="6"/>
      <c r="Y131" s="6"/>
      <c r="Z131" s="6"/>
      <c r="AA131" s="6"/>
      <c r="AB131" s="6"/>
      <c r="AC131" s="6"/>
      <c r="AD131" s="35"/>
      <c r="AE131" s="35"/>
      <c r="AF131" s="35" cm="1">
        <f t="array" ref="AF131">Y131/$AD131</f>
      </c>
      <c r="AG131" s="35" cm="1">
        <f t="array" ref="AG131">Z131/$AD131</f>
      </c>
      <c r="AH131" s="35" cm="1">
        <f t="array" ref="AH131">AA131/$AD131</f>
      </c>
      <c r="AI131" s="35" cm="1">
        <f t="array" ref="AI131">AB131/$AD131</f>
      </c>
    </row>
    <row r="132" ht="17" customHeight="1">
      <c r="A132" s="6"/>
      <c r="B132" t="s" s="25">
        <v>94</v>
      </c>
      <c r="C132" s="34">
        <v>4</v>
      </c>
      <c r="D132" t="s" s="63">
        <v>193</v>
      </c>
      <c r="E132" s="37">
        <v>37.2666594813119</v>
      </c>
      <c r="F132" s="38">
        <v>1012.4673931744</v>
      </c>
      <c r="G132" s="39">
        <v>38341.8146218376</v>
      </c>
      <c r="H132" s="40">
        <v>177.309367750574</v>
      </c>
      <c r="I132" s="6"/>
      <c r="J132" s="34">
        <v>1.03904323827047</v>
      </c>
      <c r="K132" s="6"/>
      <c r="L132" s="34" cm="1">
        <f t="array" ref="L132">E132*$J132</f>
        <v>38.7216705469852</v>
      </c>
      <c r="M132" s="34" cm="1">
        <f t="array" ref="M132">F132*$J132</f>
        <v>1051.997398847190</v>
      </c>
      <c r="N132" s="34" cm="1">
        <f t="array" ref="N132">G132*$J132</f>
        <v>39838.8032258402</v>
      </c>
      <c r="O132" s="34" cm="1">
        <f t="array" ref="O132">H132*$J132</f>
        <v>184.232099643246</v>
      </c>
      <c r="P132" s="6"/>
      <c r="Q132" s="34">
        <v>224.257</v>
      </c>
      <c r="R132" s="34" cm="1">
        <f t="array" ref="R132">Q132/1000</f>
        <v>0.224257</v>
      </c>
      <c r="S132" s="6"/>
      <c r="T132" s="34" cm="1">
        <f t="array" ref="T132">$R132*L132</f>
        <v>8.683605671855259</v>
      </c>
      <c r="U132" s="34" cm="1">
        <f t="array" ref="U132">$R132*M132</f>
        <v>235.917780673274</v>
      </c>
      <c r="V132" s="34" cm="1">
        <f t="array" ref="V132">$R132*N132</f>
        <v>8934.130495017251</v>
      </c>
      <c r="W132" s="34" cm="1">
        <f t="array" ref="W132">$R132*O132</f>
        <v>41.3153379696954</v>
      </c>
      <c r="X132" s="6"/>
      <c r="Y132" s="34" cm="1">
        <f t="array" ref="Y132">T132-Y$138-Y$3</f>
        <v>8.492694486058991</v>
      </c>
      <c r="Z132" s="34" cm="1">
        <f t="array" ref="Z132">U132-Z$138-Z$3</f>
        <v>235.916738613574</v>
      </c>
      <c r="AA132" s="34" cm="1">
        <f t="array" ref="AA132">V132-AA$138-AA$3</f>
        <v>8931.851260999039</v>
      </c>
      <c r="AB132" s="34" cm="1">
        <f t="array" ref="AB132">W132-AB$138-AB$3</f>
        <v>41.0941964867323</v>
      </c>
      <c r="AC132" s="6"/>
      <c r="AD132" s="41">
        <v>4.3192</v>
      </c>
      <c r="AE132" s="35"/>
      <c r="AF132" s="41" cm="1">
        <f t="array" ref="AF132">Y132/$AD132</f>
        <v>1.96626562466637</v>
      </c>
      <c r="AG132" s="41" cm="1">
        <f t="array" ref="AG132">Z132/$AD132</f>
        <v>54.6204710625982</v>
      </c>
      <c r="AH132" s="41" cm="1">
        <f t="array" ref="AH132">AA132/$AD132</f>
        <v>2067.9411143265</v>
      </c>
      <c r="AI132" s="41" cm="1">
        <f t="array" ref="AI132">AB132/$AD132</f>
        <v>9.51430739181615</v>
      </c>
    </row>
    <row r="133" ht="17" customHeight="1">
      <c r="A133" s="6"/>
      <c r="B133" t="s" s="32">
        <v>96</v>
      </c>
      <c r="C133" s="34">
        <v>4</v>
      </c>
      <c r="D133" t="s" s="63">
        <v>194</v>
      </c>
      <c r="E133" s="37">
        <v>42.0518212391624</v>
      </c>
      <c r="F133" s="38">
        <v>940.329482335691</v>
      </c>
      <c r="G133" s="42">
        <v>37071.1516845571</v>
      </c>
      <c r="H133" s="34">
        <v>138.001724886228</v>
      </c>
      <c r="I133" s="6"/>
      <c r="J133" s="34">
        <v>1.02740261262552</v>
      </c>
      <c r="K133" s="6"/>
      <c r="L133" s="34" cm="1">
        <f t="array" ref="L133">E133*$J133</f>
        <v>43.2041510067768</v>
      </c>
      <c r="M133" s="34" cm="1">
        <f t="array" ref="M133">F133*$J133</f>
        <v>966.096966880492</v>
      </c>
      <c r="N133" s="34" cm="1">
        <f t="array" ref="N133">G133*$J133</f>
        <v>38086.9980937509</v>
      </c>
      <c r="O133" s="34" cm="1">
        <f t="array" ref="O133">H133*$J133</f>
        <v>141.783332694939</v>
      </c>
      <c r="P133" s="6"/>
      <c r="Q133" s="34">
        <v>226.0286</v>
      </c>
      <c r="R133" s="34" cm="1">
        <f t="array" ref="R133">Q133/1000</f>
        <v>0.2260286</v>
      </c>
      <c r="S133" s="6"/>
      <c r="T133" s="34" cm="1">
        <f t="array" ref="T133">$R133*L133</f>
        <v>9.765373766250351</v>
      </c>
      <c r="U133" s="34" cm="1">
        <f t="array" ref="U133">$R133*M133</f>
        <v>218.365544888244</v>
      </c>
      <c r="V133" s="34" cm="1">
        <f t="array" ref="V133">$R133*N133</f>
        <v>8608.750857333180</v>
      </c>
      <c r="W133" s="34" cm="1">
        <f t="array" ref="W133">$R133*O133</f>
        <v>32.0470881923713</v>
      </c>
      <c r="X133" s="6"/>
      <c r="Y133" s="34" cm="1">
        <f t="array" ref="Y133">T133-Y$138-Y$3</f>
        <v>9.57446258045408</v>
      </c>
      <c r="Z133" s="34" cm="1">
        <f t="array" ref="Z133">U133-Z$138-Z$3</f>
        <v>218.364502828544</v>
      </c>
      <c r="AA133" s="34" cm="1">
        <f t="array" ref="AA133">V133-AA$138-AA$3</f>
        <v>8606.471623314970</v>
      </c>
      <c r="AB133" s="34" cm="1">
        <f t="array" ref="AB133">W133-AB$138-AB$3</f>
        <v>31.8259467094082</v>
      </c>
      <c r="AC133" s="6"/>
      <c r="AD133" s="41">
        <v>4.3818</v>
      </c>
      <c r="AE133" s="35"/>
      <c r="AF133" s="41" cm="1">
        <f t="array" ref="AF133">Y133/$AD133</f>
        <v>2.18505239409696</v>
      </c>
      <c r="AG133" s="41" cm="1">
        <f t="array" ref="AG133">Z133/$AD133</f>
        <v>49.8344294190844</v>
      </c>
      <c r="AH133" s="41" cm="1">
        <f t="array" ref="AH133">AA133/$AD133</f>
        <v>1964.140678103740</v>
      </c>
      <c r="AI133" s="41" cm="1">
        <f t="array" ref="AI133">AB133/$AD133</f>
        <v>7.26321299680684</v>
      </c>
    </row>
    <row r="134" ht="17" customHeight="1">
      <c r="A134" s="6"/>
      <c r="B134" t="s" s="32">
        <v>98</v>
      </c>
      <c r="C134" s="34">
        <v>4</v>
      </c>
      <c r="D134" t="s" s="63">
        <v>195</v>
      </c>
      <c r="E134" s="37">
        <v>49.5260445901674</v>
      </c>
      <c r="F134" s="38">
        <v>1007.950639086470</v>
      </c>
      <c r="G134" s="39">
        <v>38648.1874891513</v>
      </c>
      <c r="H134" s="40">
        <v>138.915750849068</v>
      </c>
      <c r="I134" s="6"/>
      <c r="J134" s="34">
        <v>1.02950731679756</v>
      </c>
      <c r="K134" s="6"/>
      <c r="L134" s="34" cm="1">
        <f t="array" ref="L134">E134*$J134</f>
        <v>50.9874252776196</v>
      </c>
      <c r="M134" s="34" cm="1">
        <f t="array" ref="M134">F134*$J134</f>
        <v>1037.6925579103</v>
      </c>
      <c r="N134" s="34" cm="1">
        <f t="array" ref="N134">G134*$J134</f>
        <v>39788.5918010452</v>
      </c>
      <c r="O134" s="34" cm="1">
        <f t="array" ref="O134">H134*$J134</f>
        <v>143.014781917542</v>
      </c>
      <c r="P134" s="6"/>
      <c r="Q134" s="34">
        <v>216</v>
      </c>
      <c r="R134" s="34" cm="1">
        <f t="array" ref="R134">Q134/1000</f>
        <v>0.216</v>
      </c>
      <c r="S134" s="6"/>
      <c r="T134" s="34" cm="1">
        <f t="array" ref="T134">$R134*L134</f>
        <v>11.0132838599658</v>
      </c>
      <c r="U134" s="34" cm="1">
        <f t="array" ref="U134">$R134*M134</f>
        <v>224.141592508625</v>
      </c>
      <c r="V134" s="34" cm="1">
        <f t="array" ref="V134">$R134*N134</f>
        <v>8594.335829025760</v>
      </c>
      <c r="W134" s="34" cm="1">
        <f t="array" ref="W134">$R134*O134</f>
        <v>30.8911928941891</v>
      </c>
      <c r="X134" s="6"/>
      <c r="Y134" s="34" cm="1">
        <f t="array" ref="Y134">T134-Y$138-Y$3</f>
        <v>10.8223726741695</v>
      </c>
      <c r="Z134" s="34" cm="1">
        <f t="array" ref="Z134">U134-Z$138-Z$3</f>
        <v>224.140550448925</v>
      </c>
      <c r="AA134" s="34" cm="1">
        <f t="array" ref="AA134">V134-AA$138-AA$3</f>
        <v>8592.056595007551</v>
      </c>
      <c r="AB134" s="34" cm="1">
        <f t="array" ref="AB134">W134-AB$138-AB$3</f>
        <v>30.670051411226</v>
      </c>
      <c r="AC134" s="6"/>
      <c r="AD134" s="41">
        <v>4.3392</v>
      </c>
      <c r="AE134" s="35"/>
      <c r="AF134" s="41" cm="1">
        <f t="array" ref="AF134">Y134/$AD134</f>
        <v>2.49409399755012</v>
      </c>
      <c r="AG134" s="41" cm="1">
        <f t="array" ref="AG134">Z134/$AD134</f>
        <v>51.6548097457884</v>
      </c>
      <c r="AH134" s="41" cm="1">
        <f t="array" ref="AH134">AA134/$AD134</f>
        <v>1980.101538303730</v>
      </c>
      <c r="AI134" s="41" cm="1">
        <f t="array" ref="AI134">AB134/$AD134</f>
        <v>7.06813500443077</v>
      </c>
    </row>
    <row r="135" ht="17" customHeight="1">
      <c r="A135" s="6"/>
      <c r="B135" t="s" s="32">
        <v>100</v>
      </c>
      <c r="C135" s="34">
        <v>4</v>
      </c>
      <c r="D135" t="s" s="63">
        <v>196</v>
      </c>
      <c r="E135" s="37">
        <v>8.621252673338841</v>
      </c>
      <c r="F135" s="38">
        <v>0.7767476063395951</v>
      </c>
      <c r="G135" s="42">
        <v>5.26111867122307</v>
      </c>
      <c r="H135" s="34">
        <v>1185.837915508760</v>
      </c>
      <c r="I135" s="6"/>
      <c r="J135" s="34">
        <v>1.03434631991988</v>
      </c>
      <c r="K135" s="6"/>
      <c r="L135" s="34" cm="1">
        <f t="array" ref="L135">E135*$J135</f>
        <v>8.91736097576746</v>
      </c>
      <c r="M135" s="34" cm="1">
        <f t="array" ref="M135">F135*$J135</f>
        <v>0.803426028123936</v>
      </c>
      <c r="N135" s="34" cm="1">
        <f t="array" ref="N135">G135*$J135</f>
        <v>5.44181873624135</v>
      </c>
      <c r="O135" s="34" cm="1">
        <f t="array" ref="O135">H135*$J135</f>
        <v>1226.567083927950</v>
      </c>
      <c r="P135" s="6"/>
      <c r="Q135" s="34">
        <v>224.9954</v>
      </c>
      <c r="R135" s="34" cm="1">
        <f t="array" ref="R135">Q135/1000</f>
        <v>0.2249954</v>
      </c>
      <c r="S135" s="6"/>
      <c r="T135" s="34" cm="1">
        <f t="array" ref="T135">$R135*L135</f>
        <v>2.00636519968719</v>
      </c>
      <c r="U135" s="34" cm="1">
        <f t="array" ref="U135">$R135*M135</f>
        <v>0.180767160568156</v>
      </c>
      <c r="V135" s="34" cm="1">
        <f t="array" ref="V135">$R135*N135</f>
        <v>1.22438418328812</v>
      </c>
      <c r="W135" s="34" cm="1">
        <f t="array" ref="W135">$R135*O135</f>
        <v>275.971951675203</v>
      </c>
      <c r="X135" s="6"/>
      <c r="Y135" s="34" cm="1">
        <f t="array" ref="Y135">T135-Y$138-Y$3</f>
        <v>1.81545401389092</v>
      </c>
      <c r="Z135" s="34" cm="1">
        <f t="array" ref="Z135">U135-Z$138-Z$3</f>
        <v>0.179725100868034</v>
      </c>
      <c r="AA135" s="34" cm="1">
        <f t="array" ref="AA135">V135-AA$138-AA$3</f>
        <v>-1.05484983492165</v>
      </c>
      <c r="AB135" s="34" cm="1">
        <f t="array" ref="AB135">W135-AB$138-AB$3</f>
        <v>275.750810192240</v>
      </c>
      <c r="AC135" s="6"/>
      <c r="AD135" s="41">
        <v>3.1138</v>
      </c>
      <c r="AE135" s="35"/>
      <c r="AF135" s="41" cm="1">
        <f t="array" ref="AF135">Y135/$AD135</f>
        <v>0.583034881460248</v>
      </c>
      <c r="AG135" s="41" cm="1">
        <f t="array" ref="AG135">Z135/$AD135</f>
        <v>0.0577188968039161</v>
      </c>
      <c r="AH135" s="41" cm="1">
        <f t="array" ref="AH135">AA135/$AD135</f>
        <v>-0.338766084822933</v>
      </c>
      <c r="AI135" s="41" cm="1">
        <f t="array" ref="AI135">AB135/$AD135</f>
        <v>88.557649878682</v>
      </c>
    </row>
    <row r="136" ht="17" customHeight="1">
      <c r="A136" s="6"/>
      <c r="B136" t="s" s="32">
        <v>102</v>
      </c>
      <c r="C136" s="34">
        <v>4</v>
      </c>
      <c r="D136" t="s" s="63">
        <v>197</v>
      </c>
      <c r="E136" s="37">
        <v>0.39897635337265</v>
      </c>
      <c r="F136" s="43">
        <v>0.146117699282796</v>
      </c>
      <c r="G136" s="42">
        <v>6.97699015598629</v>
      </c>
      <c r="H136" s="34">
        <v>-4.62343036970927</v>
      </c>
      <c r="I136" s="6"/>
      <c r="J136" s="34">
        <v>1.02916121929402</v>
      </c>
      <c r="K136" s="6"/>
      <c r="L136" s="34" cm="1">
        <f t="array" ref="L136">E136*$J136</f>
        <v>0.410610990306478</v>
      </c>
      <c r="M136" s="34" cm="1">
        <f t="array" ref="M136">F136*$J136</f>
        <v>0.150378669554319</v>
      </c>
      <c r="N136" s="34" cm="1">
        <f t="array" ref="N136">G136*$J136</f>
        <v>7.18044769593723</v>
      </c>
      <c r="O136" s="34" cm="1">
        <f t="array" ref="O136">H136*$J136</f>
        <v>-4.75825523661099</v>
      </c>
      <c r="P136" s="6"/>
      <c r="Q136" s="34">
        <v>224.3574</v>
      </c>
      <c r="R136" s="34" cm="1">
        <f t="array" ref="R136">Q136/1000</f>
        <v>0.2243574</v>
      </c>
      <c r="S136" s="6"/>
      <c r="T136" s="34" cm="1">
        <f t="array" ref="T136">$R136*L136</f>
        <v>0.0921236141965866</v>
      </c>
      <c r="U136" s="34" cm="1">
        <f t="array" ref="U136">$R136*M136</f>
        <v>0.0337385673166662</v>
      </c>
      <c r="V136" s="34" cm="1">
        <f t="array" ref="V136">$R136*N136</f>
        <v>1.61098657589647</v>
      </c>
      <c r="W136" s="34" cm="1">
        <f t="array" ref="W136">$R136*O136</f>
        <v>-1.06754977342243</v>
      </c>
      <c r="X136" s="6"/>
      <c r="Y136" s="34" cm="1">
        <f t="array" ref="Y136">T136-Y$138-Y$3</f>
        <v>-0.09878757159967939</v>
      </c>
      <c r="Z136" s="34" cm="1">
        <f t="array" ref="Z136">U136-Z$138-Z$3</f>
        <v>0.0326965076165439</v>
      </c>
      <c r="AA136" s="34" cm="1">
        <f t="array" ref="AA136">V136-AA$138-AA$3</f>
        <v>-0.6682474423133</v>
      </c>
      <c r="AB136" s="34" cm="1">
        <f t="array" ref="AB136">W136-AB$138-AB$3</f>
        <v>-1.28869125638552</v>
      </c>
      <c r="AC136" s="6"/>
      <c r="AD136" s="41">
        <v>3.4294</v>
      </c>
      <c r="AE136" s="35"/>
      <c r="AF136" s="41" cm="1">
        <f t="array" ref="AF136">Y136/$AD136</f>
        <v>-0.0288060802471801</v>
      </c>
      <c r="AG136" s="41" cm="1">
        <f t="array" ref="AG136">Z136/$AD136</f>
        <v>0.009534177295312271</v>
      </c>
      <c r="AH136" s="41" cm="1">
        <f t="array" ref="AH136">AA136/$AD136</f>
        <v>-0.19485841322485</v>
      </c>
      <c r="AI136" s="41" cm="1">
        <f t="array" ref="AI136">AB136/$AD136</f>
        <v>-0.375777470223806</v>
      </c>
    </row>
    <row r="137" ht="17" customHeight="1">
      <c r="A137" s="6"/>
      <c r="B137" t="s" s="32">
        <v>104</v>
      </c>
      <c r="C137" s="34">
        <v>4</v>
      </c>
      <c r="D137" t="s" s="63">
        <v>198</v>
      </c>
      <c r="E137" s="37">
        <v>0.87159017030874</v>
      </c>
      <c r="F137" s="61">
        <v>0.00444367741622345</v>
      </c>
      <c r="G137" s="42">
        <v>8.923424620768481</v>
      </c>
      <c r="H137" s="34">
        <v>1371.145498294880</v>
      </c>
      <c r="I137" s="6"/>
      <c r="J137" s="34">
        <v>1.03185403745409</v>
      </c>
      <c r="K137" s="6"/>
      <c r="L137" s="34" cm="1">
        <f t="array" ref="L137">E137*$J137</f>
        <v>0.899353836238371</v>
      </c>
      <c r="M137" s="34" cm="1">
        <f t="array" ref="M137">F137*$J137</f>
        <v>0.00458522648307373</v>
      </c>
      <c r="N137" s="34" cm="1">
        <f t="array" ref="N137">G137*$J137</f>
        <v>9.20767172285719</v>
      </c>
      <c r="O137" s="34" cm="1">
        <f t="array" ref="O137">H137*$J137</f>
        <v>1414.822018352570</v>
      </c>
      <c r="P137" s="6"/>
      <c r="Q137" s="34">
        <v>225.7704</v>
      </c>
      <c r="R137" s="34" cm="1">
        <f t="array" ref="R137">Q137/1000</f>
        <v>0.2257704</v>
      </c>
      <c r="S137" s="6"/>
      <c r="T137" s="34" cm="1">
        <f t="array" ref="T137">$R137*L137</f>
        <v>0.203047475349072</v>
      </c>
      <c r="U137" s="34" cm="1">
        <f t="array" ref="U137">$R137*M137</f>
        <v>0.00103520841717415</v>
      </c>
      <c r="V137" s="34" cm="1">
        <f t="array" ref="V137">$R137*N137</f>
        <v>2.07881972793816</v>
      </c>
      <c r="W137" s="34" cm="1">
        <f t="array" ref="W137">$R137*O137</f>
        <v>319.424933012267</v>
      </c>
      <c r="X137" s="6"/>
      <c r="Y137" s="34" cm="1">
        <f t="array" ref="Y137">T137-Y$138-Y$3</f>
        <v>0.012136289552806</v>
      </c>
      <c r="Z137" s="34" cm="1">
        <f t="array" ref="Z137">U137-Z$138-Z$3</f>
        <v>-6.85128294812e-06</v>
      </c>
      <c r="AA137" s="34" cm="1">
        <f t="array" ref="AA137">V137-AA$138-AA$3</f>
        <v>-0.20041429027161</v>
      </c>
      <c r="AB137" s="34" cm="1">
        <f t="array" ref="AB137">W137-AB$138-AB$3</f>
        <v>319.203791529304</v>
      </c>
      <c r="AC137" s="6"/>
      <c r="AD137" s="41">
        <v>1.489</v>
      </c>
      <c r="AE137" s="35"/>
      <c r="AF137" s="41" cm="1">
        <f t="array" ref="AF137">Y137/$AD137</f>
        <v>0.008150630995840159</v>
      </c>
      <c r="AG137" s="41" cm="1">
        <f t="array" ref="AG137">Z137/$AD137</f>
        <v>-4.6012645722767e-06</v>
      </c>
      <c r="AH137" s="41" cm="1">
        <f t="array" ref="AH137">AA137/$AD137</f>
        <v>-0.134596568348966</v>
      </c>
      <c r="AI137" s="41" cm="1">
        <f t="array" ref="AI137">AB137/$AD137</f>
        <v>214.374608145940</v>
      </c>
    </row>
    <row r="138" ht="17" customHeight="1">
      <c r="A138" s="6"/>
      <c r="B138" t="s" s="32">
        <v>106</v>
      </c>
      <c r="C138" s="34">
        <v>4</v>
      </c>
      <c r="D138" t="s" s="63">
        <v>199</v>
      </c>
      <c r="E138" s="37">
        <v>0.095580232934903</v>
      </c>
      <c r="F138" s="61">
        <v>0.00444367741622345</v>
      </c>
      <c r="G138" s="39">
        <v>10.2396578902451</v>
      </c>
      <c r="H138" s="40">
        <v>0.796132936102773</v>
      </c>
      <c r="I138" s="6"/>
      <c r="J138" s="34">
        <v>1.02996736227871</v>
      </c>
      <c r="K138" s="6"/>
      <c r="L138" s="34" cm="1">
        <f t="array" ref="L138">E138*$J138</f>
        <v>0.09844452040194671</v>
      </c>
      <c r="M138" s="34" cm="1">
        <f t="array" ref="M138">F138*$J138</f>
        <v>0.00457684270720514</v>
      </c>
      <c r="N138" s="34" cm="1">
        <f t="array" ref="N138">G138*$J138</f>
        <v>10.5465134278521</v>
      </c>
      <c r="O138" s="34" cm="1">
        <f t="array" ref="O138">H138*$J138</f>
        <v>0.819990940220978</v>
      </c>
      <c r="P138" s="6"/>
      <c r="Q138" s="34">
        <v>225.32</v>
      </c>
      <c r="R138" s="34" cm="1">
        <f t="array" ref="R138">Q138/1000</f>
        <v>0.22532</v>
      </c>
      <c r="S138" s="6"/>
      <c r="T138" s="34" cm="1">
        <f t="array" ref="T138">$R138*L138</f>
        <v>0.0221815193369666</v>
      </c>
      <c r="U138" s="34" cm="1">
        <f t="array" ref="U138">$R138*M138</f>
        <v>0.00103125419878746</v>
      </c>
      <c r="V138" s="34" cm="1">
        <f t="array" ref="V138">$R138*N138</f>
        <v>2.37634040556364</v>
      </c>
      <c r="W138" s="34" cm="1">
        <f t="array" ref="W138">$R138*O138</f>
        <v>0.184760358650591</v>
      </c>
      <c r="X138" s="6"/>
      <c r="Y138" s="34" cm="1">
        <f t="array" ref="Y138">AVERAGE(T138:T140)</f>
        <v>0.190911185796266</v>
      </c>
      <c r="Z138" s="34" cm="1">
        <f t="array" ref="Z138">AVERAGE(U138:U140)</f>
        <v>0.00104205970012227</v>
      </c>
      <c r="AA138" s="34" cm="1">
        <f t="array" ref="AA138">AVERAGE(V138:V140)</f>
        <v>2.27923401820977</v>
      </c>
      <c r="AB138" s="34" cm="1">
        <f t="array" ref="AB138">AVERAGE(W138:W140)</f>
        <v>0.221141482963086</v>
      </c>
      <c r="AC138" s="6"/>
      <c r="AD138" s="35"/>
      <c r="AE138" s="35"/>
      <c r="AF138" s="35" cm="1">
        <f t="array" ref="AF138">Y138/$AD138</f>
      </c>
      <c r="AG138" s="35" cm="1">
        <f t="array" ref="AG138">Z138/$AD138</f>
      </c>
      <c r="AH138" s="35" cm="1">
        <f t="array" ref="AH138">AA138/$AD138</f>
      </c>
      <c r="AI138" s="35" cm="1">
        <f t="array" ref="AI138">AB138/$AD138</f>
      </c>
    </row>
    <row r="139" ht="17" customHeight="1">
      <c r="A139" s="6"/>
      <c r="B139" t="s" s="32">
        <v>108</v>
      </c>
      <c r="C139" s="34">
        <v>4</v>
      </c>
      <c r="D139" t="s" s="63">
        <v>200</v>
      </c>
      <c r="E139" s="37">
        <v>1.24711478646929</v>
      </c>
      <c r="F139" s="61">
        <v>0.00444367741622345</v>
      </c>
      <c r="G139" s="42">
        <v>13.0009178127194</v>
      </c>
      <c r="H139" s="34">
        <v>1.0566718834065</v>
      </c>
      <c r="I139" s="6"/>
      <c r="J139" s="34">
        <v>1.02958265824906</v>
      </c>
      <c r="K139" s="6"/>
      <c r="L139" s="34" cm="1">
        <f t="array" ref="L139">E139*$J139</f>
        <v>1.28400775699476</v>
      </c>
      <c r="M139" s="34" cm="1">
        <f t="array" ref="M139">F139*$J139</f>
        <v>0.00457513320659665</v>
      </c>
      <c r="N139" s="34" cm="1">
        <f t="array" ref="N139">G139*$J139</f>
        <v>13.3855195212972</v>
      </c>
      <c r="O139" s="34" cm="1">
        <f t="array" ref="O139">H139*$J139</f>
        <v>1.08793104661471</v>
      </c>
      <c r="P139" s="6"/>
      <c r="Q139" s="34">
        <v>233.87</v>
      </c>
      <c r="R139" s="34" cm="1">
        <f t="array" ref="R139">Q139/1000</f>
        <v>0.23387</v>
      </c>
      <c r="S139" s="6"/>
      <c r="T139" s="34" cm="1">
        <f t="array" ref="T139">$R139*L139</f>
        <v>0.300290894128365</v>
      </c>
      <c r="U139" s="34" cm="1">
        <f t="array" ref="U139">$R139*M139</f>
        <v>0.00106998640302676</v>
      </c>
      <c r="V139" s="34" cm="1">
        <f t="array" ref="V139">$R139*N139</f>
        <v>3.13047145044578</v>
      </c>
      <c r="W139" s="34" cm="1">
        <f t="array" ref="W139">$R139*O139</f>
        <v>0.254434433871782</v>
      </c>
      <c r="X139" s="6"/>
      <c r="Y139" s="6"/>
      <c r="Z139" s="6"/>
      <c r="AA139" s="6"/>
      <c r="AB139" s="6"/>
      <c r="AC139" s="6"/>
      <c r="AD139" s="35"/>
      <c r="AE139" s="35"/>
      <c r="AF139" s="35" cm="1">
        <f t="array" ref="AF139">Y139/$AD139</f>
      </c>
      <c r="AG139" s="35" cm="1">
        <f t="array" ref="AG139">Z139/$AD139</f>
      </c>
      <c r="AH139" s="35" cm="1">
        <f t="array" ref="AH139">AA139/$AD139</f>
      </c>
      <c r="AI139" s="35" cm="1">
        <f t="array" ref="AI139">AB139/$AD139</f>
      </c>
    </row>
    <row r="140" ht="17" customHeight="1">
      <c r="A140" s="5"/>
      <c r="B140" t="s" s="8">
        <v>110</v>
      </c>
      <c r="C140" s="44">
        <v>4</v>
      </c>
      <c r="D140" t="s" s="64">
        <v>201</v>
      </c>
      <c r="E140" s="48">
        <v>1.08502099880278</v>
      </c>
      <c r="F140" s="61">
        <v>0.00444367741622345</v>
      </c>
      <c r="G140" s="39">
        <v>5.77014789417324</v>
      </c>
      <c r="H140" s="49">
        <v>0.972160048092822</v>
      </c>
      <c r="I140" s="5"/>
      <c r="J140" s="50">
        <v>1.02937014428413</v>
      </c>
      <c r="K140" s="5"/>
      <c r="L140" s="50" cm="1">
        <f t="array" ref="L140">E140*$J140</f>
        <v>1.11688822208893</v>
      </c>
      <c r="M140" s="50" cm="1">
        <f t="array" ref="M140">F140*$J140</f>
        <v>0.00457418886309006</v>
      </c>
      <c r="N140" s="50" cm="1">
        <f t="array" ref="N140">G140*$J140</f>
        <v>5.93961797036588</v>
      </c>
      <c r="O140" s="50" cm="1">
        <f t="array" ref="O140">H140*$J140</f>
        <v>1.00071252897257</v>
      </c>
      <c r="P140" s="5"/>
      <c r="Q140" s="44">
        <v>224.07</v>
      </c>
      <c r="R140" s="50" cm="1">
        <f t="array" ref="R140">Q140/1000</f>
        <v>0.22407</v>
      </c>
      <c r="S140" s="5"/>
      <c r="T140" s="50" cm="1">
        <f t="array" ref="T140">$R140*L140</f>
        <v>0.250261143923467</v>
      </c>
      <c r="U140" s="50" cm="1">
        <f t="array" ref="U140">$R140*M140</f>
        <v>0.00102493849855259</v>
      </c>
      <c r="V140" s="50" cm="1">
        <f t="array" ref="V140">$R140*N140</f>
        <v>1.33089019861988</v>
      </c>
      <c r="W140" s="50" cm="1">
        <f t="array" ref="W140">$R140*O140</f>
        <v>0.224229656366884</v>
      </c>
      <c r="X140" s="5"/>
      <c r="Y140" s="5"/>
      <c r="Z140" s="5"/>
      <c r="AA140" s="5"/>
      <c r="AB140" s="5"/>
      <c r="AC140" s="5"/>
      <c r="AD140" s="11"/>
      <c r="AE140" s="11"/>
      <c r="AF140" s="51" cm="1">
        <f t="array" ref="AF140">Y140/$AD140</f>
      </c>
      <c r="AG140" s="51" cm="1">
        <f t="array" ref="AG140">Z140/$AD140</f>
      </c>
      <c r="AH140" s="51" cm="1">
        <f t="array" ref="AH140">AA140/$AD140</f>
      </c>
      <c r="AI140" s="51" cm="1">
        <f t="array" ref="AI140">AB140/$AD140</f>
      </c>
    </row>
    <row r="141" ht="17" customHeight="1">
      <c r="A141" s="45">
        <v>6</v>
      </c>
      <c r="B141" t="s" s="25">
        <v>22</v>
      </c>
      <c r="C141" s="45">
        <v>6</v>
      </c>
      <c r="D141" t="s" s="25">
        <v>202</v>
      </c>
      <c r="E141" s="54">
        <v>8231.604039922669</v>
      </c>
      <c r="F141" s="38">
        <v>343.288348307353</v>
      </c>
      <c r="G141" s="42">
        <v>30443.1796472737</v>
      </c>
      <c r="H141" s="45">
        <v>369.600860181699</v>
      </c>
      <c r="I141" s="26"/>
      <c r="J141" s="56">
        <v>1.03228742441071</v>
      </c>
      <c r="K141" s="26"/>
      <c r="L141" s="56" cm="1">
        <f t="array" ref="L141">E141*$J141</f>
        <v>8497.381333140571</v>
      </c>
      <c r="M141" s="56" cm="1">
        <f t="array" ref="M141">F141*$J141</f>
        <v>354.372244904404</v>
      </c>
      <c r="N141" s="56" cm="1">
        <f t="array" ref="N141">G141*$J141</f>
        <v>31426.1115089567</v>
      </c>
      <c r="O141" s="56" cm="1">
        <f t="array" ref="O141">H141*$J141</f>
        <v>381.534320016949</v>
      </c>
      <c r="P141" s="26"/>
      <c r="Q141" s="45">
        <v>211.221</v>
      </c>
      <c r="R141" s="56" cm="1">
        <f t="array" ref="R141">Q141/1000</f>
        <v>0.211221</v>
      </c>
      <c r="S141" s="26"/>
      <c r="T141" s="56" cm="1">
        <f t="array" ref="T141">$R141*L141</f>
        <v>1794.825382567280</v>
      </c>
      <c r="U141" s="56" cm="1">
        <f t="array" ref="U141">$R141*M141</f>
        <v>74.8508599409531</v>
      </c>
      <c r="V141" s="56" cm="1">
        <f t="array" ref="V141">$R141*N141</f>
        <v>6637.854699033340</v>
      </c>
      <c r="W141" s="56" cm="1">
        <f t="array" ref="W141">$R141*O141</f>
        <v>80.5880606083</v>
      </c>
      <c r="X141" s="26"/>
      <c r="Y141" s="45" cm="1">
        <f t="array" ref="Y141">T141-Y$147-Y$3</f>
        <v>1793.855629124040</v>
      </c>
      <c r="Z141" s="45" cm="1">
        <f t="array" ref="Z141">U141-Z$147-Z$3</f>
        <v>61.4363493217867</v>
      </c>
      <c r="AA141" s="45" cm="1">
        <f t="array" ref="AA141">V141-AA$147-AA$3</f>
        <v>6632.703301351340</v>
      </c>
      <c r="AB141" s="45" cm="1">
        <f t="array" ref="AB141">W141-AB$147-AB$3</f>
        <v>84.1984313361331</v>
      </c>
      <c r="AC141" s="26"/>
      <c r="AD141" s="57">
        <v>4.151</v>
      </c>
      <c r="AE141" s="58"/>
      <c r="AF141" s="59" cm="1">
        <f t="array" ref="AF141">Y141/$AD141</f>
        <v>432.150235876666</v>
      </c>
      <c r="AG141" s="59" cm="1">
        <f t="array" ref="AG141">Z141/$AD141</f>
        <v>14.8003732406135</v>
      </c>
      <c r="AH141" s="59" cm="1">
        <f t="array" ref="AH141">AA141/$AD141</f>
        <v>1597.856733642820</v>
      </c>
      <c r="AI141" s="59" cm="1">
        <f t="array" ref="AI141">AB141/$AD141</f>
        <v>20.2838909506464</v>
      </c>
    </row>
    <row r="142" ht="17" customHeight="1">
      <c r="A142" s="6"/>
      <c r="B142" t="s" s="32">
        <v>24</v>
      </c>
      <c r="C142" s="34">
        <v>6</v>
      </c>
      <c r="D142" t="s" s="32">
        <v>203</v>
      </c>
      <c r="E142" s="37">
        <v>13.036151505680</v>
      </c>
      <c r="F142" s="38">
        <v>298.025673317868</v>
      </c>
      <c r="G142" s="39">
        <v>21606.0807567454</v>
      </c>
      <c r="H142" s="40">
        <v>266.572038561714</v>
      </c>
      <c r="I142" s="6"/>
      <c r="J142" s="34">
        <v>1.02864445260138</v>
      </c>
      <c r="K142" s="6"/>
      <c r="L142" s="34" cm="1">
        <f t="array" ref="L142">E142*$J142</f>
        <v>13.4095649295889</v>
      </c>
      <c r="M142" s="34" cm="1">
        <f t="array" ref="M142">F142*$J142</f>
        <v>306.562455591216</v>
      </c>
      <c r="N142" s="34" cm="1">
        <f t="array" ref="N142">G142*$J142</f>
        <v>22224.9751128836</v>
      </c>
      <c r="O142" s="34" cm="1">
        <f t="array" ref="O142">H142*$J142</f>
        <v>274.207848685148</v>
      </c>
      <c r="P142" s="6"/>
      <c r="Q142" s="34">
        <v>207.1276</v>
      </c>
      <c r="R142" s="34" cm="1">
        <f t="array" ref="R142">Q142/1000</f>
        <v>0.2071276</v>
      </c>
      <c r="S142" s="6"/>
      <c r="T142" s="34" cm="1">
        <f t="array" ref="T142">$R142*L142</f>
        <v>2.77749100090992</v>
      </c>
      <c r="U142" s="34" cm="1">
        <f t="array" ref="U142">$R142*M142</f>
        <v>63.4975456767152</v>
      </c>
      <c r="V142" s="34" cm="1">
        <f t="array" ref="V142">$R142*N142</f>
        <v>4603.405755191310</v>
      </c>
      <c r="W142" s="34" cm="1">
        <f t="array" ref="W142">$R142*O142</f>
        <v>56.7960135993179</v>
      </c>
      <c r="X142" s="6"/>
      <c r="Y142" s="34" cm="1">
        <f t="array" ref="Y142">T142-Y$147-Y$3</f>
        <v>1.80773755766542</v>
      </c>
      <c r="Z142" s="34" cm="1">
        <f t="array" ref="Z142">U142-Z$147-Z$3</f>
        <v>50.0830350575488</v>
      </c>
      <c r="AA142" s="34" cm="1">
        <f t="array" ref="AA142">V142-AA$147-AA$3</f>
        <v>4598.254357509310</v>
      </c>
      <c r="AB142" s="34" cm="1">
        <f t="array" ref="AB142">W142-AB$147-AB$3</f>
        <v>60.406384327151</v>
      </c>
      <c r="AC142" s="6"/>
      <c r="AD142" s="41">
        <v>4.2742</v>
      </c>
      <c r="AE142" s="35"/>
      <c r="AF142" s="41" cm="1">
        <f t="array" ref="AF142">Y142/$AD142</f>
        <v>0.422941733579482</v>
      </c>
      <c r="AG142" s="41" cm="1">
        <f t="array" ref="AG142">Z142/$AD142</f>
        <v>11.7175225907886</v>
      </c>
      <c r="AH142" s="41" cm="1">
        <f t="array" ref="AH142">AA142/$AD142</f>
        <v>1075.816376751040</v>
      </c>
      <c r="AI142" s="41" cm="1">
        <f t="array" ref="AI142">AB142/$AD142</f>
        <v>14.1327931138344</v>
      </c>
    </row>
    <row r="143" ht="17" customHeight="1">
      <c r="A143" s="6"/>
      <c r="B143" t="s" s="32">
        <v>26</v>
      </c>
      <c r="C143" s="34">
        <v>6</v>
      </c>
      <c r="D143" t="s" s="32">
        <v>204</v>
      </c>
      <c r="E143" s="37">
        <v>82.57411867477779</v>
      </c>
      <c r="F143" s="38">
        <v>247.763360965945</v>
      </c>
      <c r="G143" s="42">
        <v>21815.8847428087</v>
      </c>
      <c r="H143" s="34">
        <v>326.929822997039</v>
      </c>
      <c r="I143" s="6"/>
      <c r="J143" s="34">
        <v>1.03291218218687</v>
      </c>
      <c r="K143" s="6"/>
      <c r="L143" s="34" cm="1">
        <f t="array" ref="L143">E143*$J143</f>
        <v>85.29181311252231</v>
      </c>
      <c r="M143" s="34" cm="1">
        <f t="array" ref="M143">F143*$J143</f>
        <v>255.917793841287</v>
      </c>
      <c r="N143" s="34" cm="1">
        <f t="array" ref="N143">G143*$J143</f>
        <v>22533.8931160318</v>
      </c>
      <c r="O143" s="34" cm="1">
        <f t="array" ref="O143">H143*$J143</f>
        <v>337.689796893839</v>
      </c>
      <c r="P143" s="6"/>
      <c r="Q143" s="34">
        <v>207.5358</v>
      </c>
      <c r="R143" s="34" cm="1">
        <f t="array" ref="R143">Q143/1000</f>
        <v>0.2075358</v>
      </c>
      <c r="S143" s="6"/>
      <c r="T143" s="34" cm="1">
        <f t="array" ref="T143">$R143*L143</f>
        <v>17.7011046677578</v>
      </c>
      <c r="U143" s="34" cm="1">
        <f t="array" ref="U143">$R143*M143</f>
        <v>53.1121040790866</v>
      </c>
      <c r="V143" s="34" cm="1">
        <f t="array" ref="V143">$R143*N143</f>
        <v>4676.589534950150</v>
      </c>
      <c r="W143" s="34" cm="1">
        <f t="array" ref="W143">$R143*O143</f>
        <v>70.0827221502004</v>
      </c>
      <c r="X143" s="6"/>
      <c r="Y143" s="34" cm="1">
        <f t="array" ref="Y143">T143-Y$147-Y$3</f>
        <v>16.7313512245133</v>
      </c>
      <c r="Z143" s="34" cm="1">
        <f t="array" ref="Z143">U143-Z$147-Z$3</f>
        <v>39.6975934599202</v>
      </c>
      <c r="AA143" s="34" cm="1">
        <f t="array" ref="AA143">V143-AA$147-AA$3</f>
        <v>4671.438137268150</v>
      </c>
      <c r="AB143" s="34" cm="1">
        <f t="array" ref="AB143">W143-AB$147-AB$3</f>
        <v>73.6930928780335</v>
      </c>
      <c r="AC143" s="6"/>
      <c r="AD143" s="41">
        <v>4.4778</v>
      </c>
      <c r="AE143" s="35"/>
      <c r="AF143" s="41" cm="1">
        <f t="array" ref="AF143">Y143/$AD143</f>
        <v>3.73651150665802</v>
      </c>
      <c r="AG143" s="41" cm="1">
        <f t="array" ref="AG143">Z143/$AD143</f>
        <v>8.86542352492746</v>
      </c>
      <c r="AH143" s="41" cm="1">
        <f t="array" ref="AH143">AA143/$AD143</f>
        <v>1043.244034407110</v>
      </c>
      <c r="AI143" s="41" cm="1">
        <f t="array" ref="AI143">AB143/$AD143</f>
        <v>16.4574328639139</v>
      </c>
    </row>
    <row r="144" ht="17" customHeight="1">
      <c r="A144" s="6"/>
      <c r="B144" t="s" s="32">
        <v>28</v>
      </c>
      <c r="C144" s="34">
        <v>6</v>
      </c>
      <c r="D144" t="s" s="32">
        <v>205</v>
      </c>
      <c r="E144" s="37">
        <v>3.23620322044233</v>
      </c>
      <c r="F144" s="43">
        <v>0.146117699282796</v>
      </c>
      <c r="G144" s="39">
        <v>63.1179832157132</v>
      </c>
      <c r="H144" s="40">
        <v>1299.615799975310</v>
      </c>
      <c r="I144" s="6"/>
      <c r="J144" s="34">
        <v>1.03650902837489</v>
      </c>
      <c r="K144" s="6"/>
      <c r="L144" s="34" cm="1">
        <f t="array" ref="L144">E144*$J144</f>
        <v>3.35435385564437</v>
      </c>
      <c r="M144" s="34" cm="1">
        <f t="array" ref="M144">F144*$J144</f>
        <v>0.151452314511985</v>
      </c>
      <c r="N144" s="34" cm="1">
        <f t="array" ref="N144">G144*$J144</f>
        <v>65.4223594559015</v>
      </c>
      <c r="O144" s="34" cm="1">
        <f t="array" ref="O144">H144*$J144</f>
        <v>1347.063510093060</v>
      </c>
      <c r="P144" s="6"/>
      <c r="Q144" s="34">
        <v>207.447</v>
      </c>
      <c r="R144" s="34" cm="1">
        <f t="array" ref="R144">Q144/1000</f>
        <v>0.207447</v>
      </c>
      <c r="S144" s="6"/>
      <c r="T144" s="34" cm="1">
        <f t="array" ref="T144">$R144*L144</f>
        <v>0.6958506442918579</v>
      </c>
      <c r="U144" s="34" cm="1">
        <f t="array" ref="U144">$R144*M144</f>
        <v>0.0314183282885678</v>
      </c>
      <c r="V144" s="34" cm="1">
        <f t="array" ref="V144">$R144*N144</f>
        <v>13.5716722020484</v>
      </c>
      <c r="W144" s="34" cm="1">
        <f t="array" ref="W144">$R144*O144</f>
        <v>279.444283978275</v>
      </c>
      <c r="X144" s="6"/>
      <c r="Y144" s="34" cm="1">
        <f t="array" ref="Y144">T144-Y$147-Y$3</f>
        <v>-0.273902798952641</v>
      </c>
      <c r="Z144" s="34" cm="1">
        <f t="array" ref="Z144">U144-Z$147-Z$3</f>
        <v>-13.3830922908778</v>
      </c>
      <c r="AA144" s="34" cm="1">
        <f t="array" ref="AA144">V144-AA$147-AA$3</f>
        <v>8.420274520045121</v>
      </c>
      <c r="AB144" s="34" cm="1">
        <f t="array" ref="AB144">W144-AB$147-AB$3</f>
        <v>283.054654706108</v>
      </c>
      <c r="AC144" s="6"/>
      <c r="AD144" s="41">
        <v>2.4186</v>
      </c>
      <c r="AE144" s="35"/>
      <c r="AF144" s="41" cm="1">
        <f t="array" ref="AF144">Y144/$AD144</f>
        <v>-0.113248490429439</v>
      </c>
      <c r="AG144" s="41" cm="1">
        <f t="array" ref="AG144">Z144/$AD144</f>
        <v>-5.53340456912172</v>
      </c>
      <c r="AH144" s="41" cm="1">
        <f t="array" ref="AH144">AA144/$AD144</f>
        <v>3.48146635245395</v>
      </c>
      <c r="AI144" s="41" cm="1">
        <f t="array" ref="AI144">AB144/$AD144</f>
        <v>117.032438065868</v>
      </c>
    </row>
    <row r="145" ht="17" customHeight="1">
      <c r="A145" s="6"/>
      <c r="B145" t="s" s="32">
        <v>30</v>
      </c>
      <c r="C145" s="34">
        <v>6</v>
      </c>
      <c r="D145" t="s" s="32">
        <v>206</v>
      </c>
      <c r="E145" s="37">
        <v>2.12041942280991</v>
      </c>
      <c r="F145" s="38">
        <v>28.2718675326068</v>
      </c>
      <c r="G145" s="39">
        <v>16.1076344548676</v>
      </c>
      <c r="H145" s="40">
        <v>1257.507262676720</v>
      </c>
      <c r="I145" s="6"/>
      <c r="J145" s="34">
        <v>1.03089772793645</v>
      </c>
      <c r="K145" s="6"/>
      <c r="L145" s="34" cm="1">
        <f t="array" ref="L145">E145*$J145</f>
        <v>2.18593556524705</v>
      </c>
      <c r="M145" s="34" cm="1">
        <f t="array" ref="M145">F145*$J145</f>
        <v>29.1454040038846</v>
      </c>
      <c r="N145" s="34" cm="1">
        <f t="array" ref="N145">G145*$J145</f>
        <v>16.6053237619539</v>
      </c>
      <c r="O145" s="34" cm="1">
        <f t="array" ref="O145">H145*$J145</f>
        <v>1296.361379957020</v>
      </c>
      <c r="P145" s="6"/>
      <c r="Q145" s="34">
        <v>204.658</v>
      </c>
      <c r="R145" s="34" cm="1">
        <f t="array" ref="R145">Q145/1000</f>
        <v>0.204658</v>
      </c>
      <c r="S145" s="6"/>
      <c r="T145" s="34" cm="1">
        <f t="array" ref="T145">$R145*L145</f>
        <v>0.447369200912331</v>
      </c>
      <c r="U145" s="34" cm="1">
        <f t="array" ref="U145">$R145*M145</f>
        <v>5.96484009262701</v>
      </c>
      <c r="V145" s="34" cm="1">
        <f t="array" ref="V145">$R145*N145</f>
        <v>3.39841235047396</v>
      </c>
      <c r="W145" s="34" cm="1">
        <f t="array" ref="W145">$R145*O145</f>
        <v>265.310727299244</v>
      </c>
      <c r="X145" s="6"/>
      <c r="Y145" s="34" cm="1">
        <f t="array" ref="Y145">T145-Y$147-Y$3</f>
        <v>-0.522384242332168</v>
      </c>
      <c r="Z145" s="34" cm="1">
        <f t="array" ref="Z145">U145-Z$147-Z$3</f>
        <v>-7.44967052653939</v>
      </c>
      <c r="AA145" s="34" cm="1">
        <f t="array" ref="AA145">V145-AA$147-AA$3</f>
        <v>-1.75298533152932</v>
      </c>
      <c r="AB145" s="34" cm="1">
        <f t="array" ref="AB145">W145-AB$147-AB$3</f>
        <v>268.921098027077</v>
      </c>
      <c r="AC145" s="6"/>
      <c r="AD145" s="41">
        <v>2.5692</v>
      </c>
      <c r="AE145" s="35"/>
      <c r="AF145" s="41" cm="1">
        <f t="array" ref="AF145">Y145/$AD145</f>
        <v>-0.203325643131001</v>
      </c>
      <c r="AG145" s="41" cm="1">
        <f t="array" ref="AG145">Z145/$AD145</f>
        <v>-2.89960708646247</v>
      </c>
      <c r="AH145" s="41" cm="1">
        <f t="array" ref="AH145">AA145/$AD145</f>
        <v>-0.682307851288074</v>
      </c>
      <c r="AI145" s="41" cm="1">
        <f t="array" ref="AI145">AB145/$AD145</f>
        <v>104.671142000264</v>
      </c>
    </row>
    <row r="146" ht="17" customHeight="1">
      <c r="A146" s="6"/>
      <c r="B146" t="s" s="32">
        <v>32</v>
      </c>
      <c r="C146" s="34">
        <v>6</v>
      </c>
      <c r="D146" t="s" s="32">
        <v>207</v>
      </c>
      <c r="E146" s="37">
        <v>61.6323449664913</v>
      </c>
      <c r="F146" s="38">
        <v>6.19804272906318</v>
      </c>
      <c r="G146" s="42">
        <v>14.7497176827423</v>
      </c>
      <c r="H146" s="34">
        <v>1330.614231947240</v>
      </c>
      <c r="I146" s="6"/>
      <c r="J146" s="34">
        <v>1.0304054537903</v>
      </c>
      <c r="K146" s="6"/>
      <c r="L146" s="34" cm="1">
        <f t="array" ref="L146">E146*$J146</f>
        <v>63.5063043833578</v>
      </c>
      <c r="M146" s="34" cm="1">
        <f t="array" ref="M146">F146*$J146</f>
        <v>6.38649703085202</v>
      </c>
      <c r="N146" s="34" cm="1">
        <f t="array" ref="N146">G146*$J146</f>
        <v>15.1981895421649</v>
      </c>
      <c r="O146" s="34" cm="1">
        <f t="array" ref="O146">H146*$J146</f>
        <v>1371.072161489430</v>
      </c>
      <c r="P146" s="6"/>
      <c r="Q146" s="34">
        <v>208.585</v>
      </c>
      <c r="R146" s="34" cm="1">
        <f t="array" ref="R146">Q146/1000</f>
        <v>0.208585</v>
      </c>
      <c r="S146" s="6"/>
      <c r="T146" s="34" cm="1">
        <f t="array" ref="T146">$R146*L146</f>
        <v>13.2464624998027</v>
      </c>
      <c r="U146" s="34" cm="1">
        <f t="array" ref="U146">$R146*M146</f>
        <v>1.33212748318027</v>
      </c>
      <c r="V146" s="34" cm="1">
        <f t="array" ref="V146">$R146*N146</f>
        <v>3.17011436565247</v>
      </c>
      <c r="W146" s="34" cm="1">
        <f t="array" ref="W146">$R146*O146</f>
        <v>285.985086804273</v>
      </c>
      <c r="X146" s="6"/>
      <c r="Y146" s="34" cm="1">
        <f t="array" ref="Y146">T146-Y$147-Y$3</f>
        <v>12.2767090565582</v>
      </c>
      <c r="Z146" s="34" cm="1">
        <f t="array" ref="Z146">U146-Z$147-Z$3</f>
        <v>-12.0823831359861</v>
      </c>
      <c r="AA146" s="34" cm="1">
        <f t="array" ref="AA146">V146-AA$147-AA$3</f>
        <v>-1.98128331635081</v>
      </c>
      <c r="AB146" s="34" cm="1">
        <f t="array" ref="AB146">W146-AB$147-AB$3</f>
        <v>289.595457532106</v>
      </c>
      <c r="AC146" s="6"/>
      <c r="AD146" s="41">
        <v>2.2904</v>
      </c>
      <c r="AE146" s="35"/>
      <c r="AF146" s="41" cm="1">
        <f t="array" ref="AF146">Y146/$AD146</f>
        <v>5.36007206451196</v>
      </c>
      <c r="AG146" s="41" cm="1">
        <f t="array" ref="AG146">Z146/$AD146</f>
        <v>-5.2752284037662</v>
      </c>
      <c r="AH146" s="41" cm="1">
        <f t="array" ref="AH146">AA146/$AD146</f>
        <v>-0.865038122751838</v>
      </c>
      <c r="AI146" s="41" cm="1">
        <f t="array" ref="AI146">AB146/$AD146</f>
        <v>126.438813103434</v>
      </c>
    </row>
    <row r="147" ht="17" customHeight="1">
      <c r="A147" s="6"/>
      <c r="B147" t="s" s="32">
        <v>34</v>
      </c>
      <c r="C147" s="34">
        <v>6</v>
      </c>
      <c r="D147" t="s" s="32">
        <v>208</v>
      </c>
      <c r="E147" s="37">
        <v>7.07096373776002</v>
      </c>
      <c r="F147" s="38">
        <v>86.3589713123026</v>
      </c>
      <c r="G147" s="42">
        <v>42.6808082172334</v>
      </c>
      <c r="H147" s="34">
        <v>-16.2822149997009</v>
      </c>
      <c r="I147" s="6"/>
      <c r="J147" s="34">
        <v>1.03575418994413</v>
      </c>
      <c r="K147" s="6"/>
      <c r="L147" s="34" cm="1">
        <f t="array" ref="L147">E147*$J147</f>
        <v>7.32378031832795</v>
      </c>
      <c r="M147" s="34" cm="1">
        <f t="array" ref="M147">F147*$J147</f>
        <v>89.4466663759823</v>
      </c>
      <c r="N147" s="34" cm="1">
        <f t="array" ref="N147">G147*$J147</f>
        <v>44.2068259412013</v>
      </c>
      <c r="O147" s="34" cm="1">
        <f t="array" ref="O147">H147*$J147</f>
        <v>-16.8643724075114</v>
      </c>
      <c r="P147" s="6"/>
      <c r="Q147" s="34">
        <v>205.34</v>
      </c>
      <c r="R147" s="34" cm="1">
        <f t="array" ref="R147">Q147/1000</f>
        <v>0.20534</v>
      </c>
      <c r="S147" s="6"/>
      <c r="T147" s="34" cm="1">
        <f t="array" ref="T147">$R147*L147</f>
        <v>1.50386505056546</v>
      </c>
      <c r="U147" s="34" cm="1">
        <f t="array" ref="U147">$R147*M147</f>
        <v>18.3669784736442</v>
      </c>
      <c r="V147" s="34" cm="1">
        <f t="array" ref="V147">$R147*N147</f>
        <v>9.077429638766271</v>
      </c>
      <c r="W147" s="34" cm="1">
        <f t="array" ref="W147">$R147*O147</f>
        <v>-3.46293023015839</v>
      </c>
      <c r="X147" s="6"/>
      <c r="Y147" s="34" cm="1">
        <f t="array" ref="Y147">AVERAGE(T147:T149)</f>
        <v>0.969753443244499</v>
      </c>
      <c r="Z147" s="34" cm="1">
        <f t="array" ref="Z147">AVERAGE(U147:U149)</f>
        <v>13.4145106191664</v>
      </c>
      <c r="AA147" s="34" cm="1">
        <f t="array" ref="AA147">AVERAGE(V147:V149)</f>
        <v>5.15139768200328</v>
      </c>
      <c r="AB147" s="34" cm="1">
        <f t="array" ref="AB147">AVERAGE(W147:W149)</f>
        <v>-3.61037072783308</v>
      </c>
      <c r="AC147" s="6"/>
      <c r="AD147" s="35"/>
      <c r="AE147" s="35"/>
      <c r="AF147" s="35" cm="1">
        <f t="array" ref="AF147">Y147/$AD147</f>
      </c>
      <c r="AG147" s="35" cm="1">
        <f t="array" ref="AG147">Z147/$AD147</f>
      </c>
      <c r="AH147" s="35" cm="1">
        <f t="array" ref="AH147">AA147/$AD147</f>
      </c>
      <c r="AI147" s="35" cm="1">
        <f t="array" ref="AI147">AB147/$AD147</f>
      </c>
    </row>
    <row r="148" ht="17" customHeight="1">
      <c r="A148" s="6"/>
      <c r="B148" t="s" s="32">
        <v>36</v>
      </c>
      <c r="C148" s="34">
        <v>6</v>
      </c>
      <c r="D148" t="s" s="32">
        <v>209</v>
      </c>
      <c r="E148" s="37">
        <v>2.58895824560866</v>
      </c>
      <c r="F148" s="38">
        <v>37.9677154478245</v>
      </c>
      <c r="G148" s="39">
        <v>12.6741359190145</v>
      </c>
      <c r="H148" s="40">
        <v>-17.9428807394958</v>
      </c>
      <c r="I148" s="6"/>
      <c r="J148" s="34">
        <v>1.03610551820633</v>
      </c>
      <c r="K148" s="6"/>
      <c r="L148" s="34" cm="1">
        <f t="array" ref="L148">E148*$J148</f>
        <v>2.68243392468091</v>
      </c>
      <c r="M148" s="34" cm="1">
        <f t="array" ref="M148">F148*$J148</f>
        <v>39.3385594891787</v>
      </c>
      <c r="N148" s="34" cm="1">
        <f t="array" ref="N148">G148*$J148</f>
        <v>13.131742164188</v>
      </c>
      <c r="O148" s="34" cm="1">
        <f t="array" ref="O148">H148*$J148</f>
        <v>-18.5907177467097</v>
      </c>
      <c r="P148" s="6"/>
      <c r="Q148" s="34">
        <v>204.36</v>
      </c>
      <c r="R148" s="34" cm="1">
        <f t="array" ref="R148">Q148/1000</f>
        <v>0.20436</v>
      </c>
      <c r="S148" s="6"/>
      <c r="T148" s="34" cm="1">
        <f t="array" ref="T148">$R148*L148</f>
        <v>0.548182196847791</v>
      </c>
      <c r="U148" s="34" cm="1">
        <f t="array" ref="U148">$R148*M148</f>
        <v>8.03922801720856</v>
      </c>
      <c r="V148" s="34" cm="1">
        <f t="array" ref="V148">$R148*N148</f>
        <v>2.68360282867346</v>
      </c>
      <c r="W148" s="34" cm="1">
        <f t="array" ref="W148">$R148*O148</f>
        <v>-3.79919907871759</v>
      </c>
      <c r="X148" s="6"/>
      <c r="Y148" s="6"/>
      <c r="Z148" s="6"/>
      <c r="AA148" s="6"/>
      <c r="AB148" s="6"/>
      <c r="AC148" s="6"/>
      <c r="AD148" s="35"/>
      <c r="AE148" s="35"/>
      <c r="AF148" s="35" cm="1">
        <f t="array" ref="AF148">Y148/$AD148</f>
      </c>
      <c r="AG148" s="35" cm="1">
        <f t="array" ref="AG148">Z148/$AD148</f>
      </c>
      <c r="AH148" s="35" cm="1">
        <f t="array" ref="AH148">AA148/$AD148</f>
      </c>
      <c r="AI148" s="35" cm="1">
        <f t="array" ref="AI148">AB148/$AD148</f>
      </c>
    </row>
    <row r="149" ht="17" customHeight="1">
      <c r="A149" s="6"/>
      <c r="B149" t="s" s="32">
        <v>38</v>
      </c>
      <c r="C149" s="34">
        <v>6</v>
      </c>
      <c r="D149" t="s" s="32">
        <v>210</v>
      </c>
      <c r="E149" s="37">
        <v>4.02337677405788</v>
      </c>
      <c r="F149" s="38">
        <v>64.9462480723647</v>
      </c>
      <c r="G149" s="42">
        <v>17.3340524090765</v>
      </c>
      <c r="H149" s="34">
        <v>-16.7512175221389</v>
      </c>
      <c r="I149" s="6"/>
      <c r="J149" s="34">
        <v>1.03260852862082</v>
      </c>
      <c r="K149" s="6"/>
      <c r="L149" s="34" cm="1">
        <f t="array" ref="L149">E149*$J149</f>
        <v>4.15457317074709</v>
      </c>
      <c r="M149" s="34" cm="1">
        <f t="array" ref="M149">F149*$J149</f>
        <v>67.0640496614473</v>
      </c>
      <c r="N149" s="34" cm="1">
        <f t="array" ref="N149">G149*$J149</f>
        <v>17.8992903531727</v>
      </c>
      <c r="O149" s="34" cm="1">
        <f t="array" ref="O149">H149*$J149</f>
        <v>-17.2974500781431</v>
      </c>
      <c r="P149" s="6"/>
      <c r="Q149" s="34">
        <v>206.33</v>
      </c>
      <c r="R149" s="34" cm="1">
        <f t="array" ref="R149">Q149/1000</f>
        <v>0.20633</v>
      </c>
      <c r="S149" s="6"/>
      <c r="T149" s="34" cm="1">
        <f t="array" ref="T149">$R149*L149</f>
        <v>0.857213082320247</v>
      </c>
      <c r="U149" s="34" cm="1">
        <f t="array" ref="U149">$R149*M149</f>
        <v>13.8373253666464</v>
      </c>
      <c r="V149" s="34" cm="1">
        <f t="array" ref="V149">$R149*N149</f>
        <v>3.69316057857012</v>
      </c>
      <c r="W149" s="34" cm="1">
        <f t="array" ref="W149">$R149*O149</f>
        <v>-3.56898287462327</v>
      </c>
      <c r="X149" s="6"/>
      <c r="Y149" s="6"/>
      <c r="Z149" s="6"/>
      <c r="AA149" s="6"/>
      <c r="AB149" s="6"/>
      <c r="AC149" s="6"/>
      <c r="AD149" s="35"/>
      <c r="AE149" s="35"/>
      <c r="AF149" s="35" cm="1">
        <f t="array" ref="AF149">Y149/$AD149</f>
      </c>
      <c r="AG149" s="35" cm="1">
        <f t="array" ref="AG149">Z149/$AD149</f>
      </c>
      <c r="AH149" s="35" cm="1">
        <f t="array" ref="AH149">AA149/$AD149</f>
      </c>
      <c r="AI149" s="35" cm="1">
        <f t="array" ref="AI149">AB149/$AD149</f>
      </c>
    </row>
    <row r="150" ht="17" customHeight="1">
      <c r="A150" s="6"/>
      <c r="B150" t="s" s="32">
        <v>40</v>
      </c>
      <c r="C150" s="34">
        <v>6</v>
      </c>
      <c r="D150" t="s" s="32">
        <v>211</v>
      </c>
      <c r="E150" s="37">
        <v>7.12170672393161</v>
      </c>
      <c r="F150" s="38">
        <v>214.800896598025</v>
      </c>
      <c r="G150" s="39">
        <v>3196.668012743250</v>
      </c>
      <c r="H150" s="40">
        <v>28.4603228485002</v>
      </c>
      <c r="I150" s="6"/>
      <c r="J150" s="34">
        <v>1.05109029744185</v>
      </c>
      <c r="K150" s="6"/>
      <c r="L150" s="34" cm="1">
        <f t="array" ref="L150">E150*$J150</f>
        <v>7.4855568387509</v>
      </c>
      <c r="M150" s="34" cm="1">
        <f t="array" ref="M150">F150*$J150</f>
        <v>225.775138295994</v>
      </c>
      <c r="N150" s="34" cm="1">
        <f t="array" ref="N150">G150*$J150</f>
        <v>3359.986732337150</v>
      </c>
      <c r="O150" s="34" cm="1">
        <f t="array" ref="O150">H150*$J150</f>
        <v>29.9143692081212</v>
      </c>
      <c r="P150" s="6"/>
      <c r="Q150" s="34">
        <v>205.8514</v>
      </c>
      <c r="R150" s="34" cm="1">
        <f t="array" ref="R150">Q150/1000</f>
        <v>0.2058514</v>
      </c>
      <c r="S150" s="6"/>
      <c r="T150" s="34" cm="1">
        <f t="array" ref="T150">$R150*L150</f>
        <v>1.54091235503645</v>
      </c>
      <c r="U150" s="34" cm="1">
        <f t="array" ref="U150">$R150*M150</f>
        <v>46.476128303424</v>
      </c>
      <c r="V150" s="34" cm="1">
        <f t="array" ref="V150">$R150*N150</f>
        <v>691.657972833028</v>
      </c>
      <c r="W150" s="34" cm="1">
        <f t="array" ref="W150">$R150*O150</f>
        <v>6.15791478160864</v>
      </c>
      <c r="X150" s="6"/>
      <c r="Y150" s="34" cm="1">
        <f t="array" ref="Y150">T150-Y$156-Y$3</f>
        <v>0.90841935912691</v>
      </c>
      <c r="Z150" s="34" cm="1">
        <f t="array" ref="Z150">U150-Z$156-Z$3</f>
        <v>41.5070570934254</v>
      </c>
      <c r="AA150" s="34" cm="1">
        <f t="array" ref="AA150">V150-AA$156-AA$3</f>
        <v>689.695229757576</v>
      </c>
      <c r="AB150" s="34" cm="1">
        <f t="array" ref="AB150">W150-AB$156-AB$3</f>
        <v>6.8531901860032</v>
      </c>
      <c r="AC150" s="6"/>
      <c r="AD150" s="41">
        <v>4.5326</v>
      </c>
      <c r="AE150" s="35"/>
      <c r="AF150" s="41" cm="1">
        <f t="array" ref="AF150">Y150/$AD150</f>
        <v>0.200419044064535</v>
      </c>
      <c r="AG150" s="41" cm="1">
        <f t="array" ref="AG150">Z150/$AD150</f>
        <v>9.15744982866906</v>
      </c>
      <c r="AH150" s="41" cm="1">
        <f t="array" ref="AH150">AA150/$AD150</f>
        <v>152.163268269332</v>
      </c>
      <c r="AI150" s="41" cm="1">
        <f t="array" ref="AI150">AB150/$AD150</f>
        <v>1.5119777138956</v>
      </c>
    </row>
    <row r="151" ht="17" customHeight="1">
      <c r="A151" s="6"/>
      <c r="B151" t="s" s="32">
        <v>42</v>
      </c>
      <c r="C151" s="34">
        <v>6</v>
      </c>
      <c r="D151" t="s" s="32">
        <v>212</v>
      </c>
      <c r="E151" s="37">
        <v>27.0089537792897</v>
      </c>
      <c r="F151" s="38">
        <v>279.394365068519</v>
      </c>
      <c r="G151" s="42">
        <v>3439.653425479980</v>
      </c>
      <c r="H151" s="34">
        <v>39.0480538593485</v>
      </c>
      <c r="I151" s="6"/>
      <c r="J151" s="34">
        <v>1.0444138046294</v>
      </c>
      <c r="K151" s="6"/>
      <c r="L151" s="34" cm="1">
        <f t="array" ref="L151">E151*$J151</f>
        <v>28.2085241756876</v>
      </c>
      <c r="M151" s="34" cm="1">
        <f t="array" ref="M151">F151*$J151</f>
        <v>291.803331813227</v>
      </c>
      <c r="N151" s="34" cm="1">
        <f t="array" ref="N151">G151*$J151</f>
        <v>3592.421520712090</v>
      </c>
      <c r="O151" s="34" cm="1">
        <f t="array" ref="O151">H151*$J151</f>
        <v>40.7823264946159</v>
      </c>
      <c r="P151" s="6"/>
      <c r="Q151" s="34">
        <v>206.7486</v>
      </c>
      <c r="R151" s="34" cm="1">
        <f t="array" ref="R151">Q151/1000</f>
        <v>0.2067486</v>
      </c>
      <c r="S151" s="6"/>
      <c r="T151" s="34" cm="1">
        <f t="array" ref="T151">$R151*L151</f>
        <v>5.83207288138957</v>
      </c>
      <c r="U151" s="34" cm="1">
        <f t="array" ref="U151">$R151*M151</f>
        <v>60.3299303277201</v>
      </c>
      <c r="V151" s="34" cm="1">
        <f t="array" ref="V151">$R151*N151</f>
        <v>742.728120017096</v>
      </c>
      <c r="W151" s="34" cm="1">
        <f t="array" ref="W151">$R151*O151</f>
        <v>8.431688907504739</v>
      </c>
      <c r="X151" s="6"/>
      <c r="Y151" s="34" cm="1">
        <f t="array" ref="Y151">T151-Y$156-Y$3</f>
        <v>5.19957988548003</v>
      </c>
      <c r="Z151" s="34" cm="1">
        <f t="array" ref="Z151">U151-Z$156-Z$3</f>
        <v>55.3608591177215</v>
      </c>
      <c r="AA151" s="34" cm="1">
        <f t="array" ref="AA151">V151-AA$156-AA$3</f>
        <v>740.765376941644</v>
      </c>
      <c r="AB151" s="34" cm="1">
        <f t="array" ref="AB151">W151-AB$156-AB$3</f>
        <v>9.1269643118993</v>
      </c>
      <c r="AC151" s="6"/>
      <c r="AD151" s="41">
        <v>4.6812</v>
      </c>
      <c r="AE151" s="35"/>
      <c r="AF151" s="41" cm="1">
        <f t="array" ref="AF151">Y151/$AD151</f>
        <v>1.11073653881057</v>
      </c>
      <c r="AG151" s="41" cm="1">
        <f t="array" ref="AG151">Z151/$AD151</f>
        <v>11.8262110394176</v>
      </c>
      <c r="AH151" s="41" cm="1">
        <f t="array" ref="AH151">AA151/$AD151</f>
        <v>158.242625169111</v>
      </c>
      <c r="AI151" s="41" cm="1">
        <f t="array" ref="AI151">AB151/$AD151</f>
        <v>1.94970612490372</v>
      </c>
    </row>
    <row r="152" ht="17" customHeight="1">
      <c r="A152" s="6"/>
      <c r="B152" t="s" s="32">
        <v>44</v>
      </c>
      <c r="C152" s="34">
        <v>6</v>
      </c>
      <c r="D152" t="s" s="32">
        <v>213</v>
      </c>
      <c r="E152" s="37">
        <v>31.7938481122894</v>
      </c>
      <c r="F152" s="38">
        <v>378.773953231046</v>
      </c>
      <c r="G152" s="39">
        <v>4882.988519380830</v>
      </c>
      <c r="H152" s="40">
        <v>55.2030629908463</v>
      </c>
      <c r="I152" s="6"/>
      <c r="J152" s="34">
        <v>1.04467390159098</v>
      </c>
      <c r="K152" s="6"/>
      <c r="L152" s="34" cm="1">
        <f t="array" ref="L152">E152*$J152</f>
        <v>33.2142033540564</v>
      </c>
      <c r="M152" s="34" cm="1">
        <f t="array" ref="M152">F152*$J152</f>
        <v>395.695263542916</v>
      </c>
      <c r="N152" s="34" cm="1">
        <f t="array" ref="N152">G152*$J152</f>
        <v>5101.130667965530</v>
      </c>
      <c r="O152" s="34" cm="1">
        <f t="array" ref="O152">H152*$J152</f>
        <v>57.669199194420</v>
      </c>
      <c r="P152" s="6"/>
      <c r="Q152" s="34">
        <v>197.8514</v>
      </c>
      <c r="R152" s="34" cm="1">
        <f t="array" ref="R152">Q152/1000</f>
        <v>0.1978514</v>
      </c>
      <c r="S152" s="6"/>
      <c r="T152" s="34" cm="1">
        <f t="array" ref="T152">$R152*L152</f>
        <v>6.57147663348475</v>
      </c>
      <c r="U152" s="34" cm="1">
        <f t="array" ref="U152">$R152*M152</f>
        <v>78.28886186533489</v>
      </c>
      <c r="V152" s="34" cm="1">
        <f t="array" ref="V152">$R152*N152</f>
        <v>1009.265844239920</v>
      </c>
      <c r="W152" s="34" cm="1">
        <f t="array" ref="W152">$R152*O152</f>
        <v>11.4099317974949</v>
      </c>
      <c r="X152" s="6"/>
      <c r="Y152" s="34" cm="1">
        <f t="array" ref="Y152">T152-Y$156-Y$3</f>
        <v>5.93898363757521</v>
      </c>
      <c r="Z152" s="34" cm="1">
        <f t="array" ref="Z152">U152-Z$156-Z$3</f>
        <v>73.31979065533631</v>
      </c>
      <c r="AA152" s="34" cm="1">
        <f t="array" ref="AA152">V152-AA$156-AA$3</f>
        <v>1007.303101164470</v>
      </c>
      <c r="AB152" s="34" cm="1">
        <f t="array" ref="AB152">W152-AB$156-AB$3</f>
        <v>12.1052072018895</v>
      </c>
      <c r="AC152" s="6"/>
      <c r="AD152" s="41">
        <v>4.4818</v>
      </c>
      <c r="AE152" s="35"/>
      <c r="AF152" s="41" cm="1">
        <f t="array" ref="AF152">Y152/$AD152</f>
        <v>1.32513357079192</v>
      </c>
      <c r="AG152" s="41" cm="1">
        <f t="array" ref="AG152">Z152/$AD152</f>
        <v>16.3594517058629</v>
      </c>
      <c r="AH152" s="41" cm="1">
        <f t="array" ref="AH152">AA152/$AD152</f>
        <v>224.754139221846</v>
      </c>
      <c r="AI152" s="41" cm="1">
        <f t="array" ref="AI152">AB152/$AD152</f>
        <v>2.7009699678454</v>
      </c>
    </row>
    <row r="153" ht="17" customHeight="1">
      <c r="A153" s="6"/>
      <c r="B153" t="s" s="32">
        <v>46</v>
      </c>
      <c r="C153" s="34">
        <v>6</v>
      </c>
      <c r="D153" t="s" s="32">
        <v>214</v>
      </c>
      <c r="E153" s="37">
        <v>505.429368802005</v>
      </c>
      <c r="F153" s="38">
        <v>22.0313720931725</v>
      </c>
      <c r="G153" s="42">
        <v>7.5078031663531</v>
      </c>
      <c r="H153" s="34">
        <v>747.834098579331</v>
      </c>
      <c r="I153" s="6"/>
      <c r="J153" s="34">
        <v>1.03869188912829</v>
      </c>
      <c r="K153" s="6"/>
      <c r="L153" s="34" cm="1">
        <f t="array" ref="L153">E153*$J153</f>
        <v>524.985385901874</v>
      </c>
      <c r="M153" s="34" cm="1">
        <f t="array" ref="M153">F153*$J153</f>
        <v>22.8838074995456</v>
      </c>
      <c r="N153" s="34" cm="1">
        <f t="array" ref="N153">G153*$J153</f>
        <v>7.79829425406266</v>
      </c>
      <c r="O153" s="34" cm="1">
        <f t="array" ref="O153">H153*$J153</f>
        <v>776.769212607917</v>
      </c>
      <c r="P153" s="6"/>
      <c r="Q153" s="34">
        <v>204.1392</v>
      </c>
      <c r="R153" s="34" cm="1">
        <f t="array" ref="R153">Q153/1000</f>
        <v>0.2041392</v>
      </c>
      <c r="S153" s="6"/>
      <c r="T153" s="34" cm="1">
        <f t="array" ref="T153">$R153*L153</f>
        <v>107.1700966897</v>
      </c>
      <c r="U153" s="34" cm="1">
        <f t="array" ref="U153">$R153*M153</f>
        <v>4.67148215591124</v>
      </c>
      <c r="V153" s="34" cm="1">
        <f t="array" ref="V153">$R153*N153</f>
        <v>1.59193755038895</v>
      </c>
      <c r="W153" s="34" cm="1">
        <f t="array" ref="W153">$R153*O153</f>
        <v>158.569045646410</v>
      </c>
      <c r="X153" s="6"/>
      <c r="Y153" s="34" cm="1">
        <f t="array" ref="Y153">T153-Y$156-Y$3</f>
        <v>106.537603693790</v>
      </c>
      <c r="Z153" s="34" cm="1">
        <f t="array" ref="Z153">U153-Z$156-Z$3</f>
        <v>-0.29758905408735</v>
      </c>
      <c r="AA153" s="34" cm="1">
        <f t="array" ref="AA153">V153-AA$156-AA$3</f>
        <v>-0.37080552506303</v>
      </c>
      <c r="AB153" s="34" cm="1">
        <f t="array" ref="AB153">W153-AB$156-AB$3</f>
        <v>159.264321050805</v>
      </c>
      <c r="AC153" s="6"/>
      <c r="AD153" s="41">
        <v>1.8682</v>
      </c>
      <c r="AE153" s="35"/>
      <c r="AF153" s="41" cm="1">
        <f t="array" ref="AF153">Y153/$AD153</f>
        <v>57.0268727619045</v>
      </c>
      <c r="AG153" s="41" cm="1">
        <f t="array" ref="AG153">Z153/$AD153</f>
        <v>-0.159291860661251</v>
      </c>
      <c r="AH153" s="41" cm="1">
        <f t="array" ref="AH153">AA153/$AD153</f>
        <v>-0.198482777573616</v>
      </c>
      <c r="AI153" s="41" cm="1">
        <f t="array" ref="AI153">AB153/$AD153</f>
        <v>85.2501450866101</v>
      </c>
    </row>
    <row r="154" ht="17" customHeight="1">
      <c r="A154" s="6"/>
      <c r="B154" t="s" s="32">
        <v>48</v>
      </c>
      <c r="C154" s="34">
        <v>6</v>
      </c>
      <c r="D154" t="s" s="32">
        <v>215</v>
      </c>
      <c r="E154" s="37">
        <v>15.4749400697136</v>
      </c>
      <c r="F154" s="43">
        <v>0.146117699282796</v>
      </c>
      <c r="G154" s="39">
        <v>6.47262118612201</v>
      </c>
      <c r="H154" s="40">
        <v>404.359063165345</v>
      </c>
      <c r="I154" s="6"/>
      <c r="J154" s="34">
        <v>1.03439957543301</v>
      </c>
      <c r="K154" s="6"/>
      <c r="L154" s="34" cm="1">
        <f t="array" ref="L154">E154*$J154</f>
        <v>16.007271437963</v>
      </c>
      <c r="M154" s="34" cm="1">
        <f t="array" ref="M154">F154*$J154</f>
        <v>0.151144086101372</v>
      </c>
      <c r="N154" s="34" cm="1">
        <f t="array" ref="N154">G154*$J154</f>
        <v>6.69527660686331</v>
      </c>
      <c r="O154" s="34" cm="1">
        <f t="array" ref="O154">H154*$J154</f>
        <v>418.268843260723</v>
      </c>
      <c r="P154" s="6"/>
      <c r="Q154" s="34">
        <v>209.1636</v>
      </c>
      <c r="R154" s="34" cm="1">
        <f t="array" ref="R154">Q154/1000</f>
        <v>0.2091636</v>
      </c>
      <c r="S154" s="6"/>
      <c r="T154" s="34" cm="1">
        <f t="array" ref="T154">$R154*L154</f>
        <v>3.34813852014152</v>
      </c>
      <c r="U154" s="34" cm="1">
        <f t="array" ref="U154">$R154*M154</f>
        <v>0.0316138411676729</v>
      </c>
      <c r="V154" s="34" cm="1">
        <f t="array" ref="V154">$R154*N154</f>
        <v>1.40040815808731</v>
      </c>
      <c r="W154" s="34" cm="1">
        <f t="array" ref="W154">$R154*O154</f>
        <v>87.4866170242486</v>
      </c>
      <c r="X154" s="6"/>
      <c r="Y154" s="34" cm="1">
        <f t="array" ref="Y154">T154-Y$156-Y$3</f>
        <v>2.71564552423198</v>
      </c>
      <c r="Z154" s="34" cm="1">
        <f t="array" ref="Z154">U154-Z$156-Z$3</f>
        <v>-4.93745736883092</v>
      </c>
      <c r="AA154" s="34" cm="1">
        <f t="array" ref="AA154">V154-AA$156-AA$3</f>
        <v>-0.56233491736467</v>
      </c>
      <c r="AB154" s="34" cm="1">
        <f t="array" ref="AB154">W154-AB$156-AB$3</f>
        <v>88.1818924286432</v>
      </c>
      <c r="AC154" s="6"/>
      <c r="AD154" s="41">
        <v>2.1506</v>
      </c>
      <c r="AE154" s="35"/>
      <c r="AF154" s="41" cm="1">
        <f t="array" ref="AF154">Y154/$AD154</f>
        <v>1.26273854934994</v>
      </c>
      <c r="AG154" s="41" cm="1">
        <f t="array" ref="AG154">Z154/$AD154</f>
        <v>-2.29585109682457</v>
      </c>
      <c r="AH154" s="41" cm="1">
        <f t="array" ref="AH154">AA154/$AD154</f>
        <v>-0.261478153708114</v>
      </c>
      <c r="AI154" s="41" cm="1">
        <f t="array" ref="AI154">AB154/$AD154</f>
        <v>41.0033908809835</v>
      </c>
    </row>
    <row r="155" ht="17" customHeight="1">
      <c r="A155" s="6"/>
      <c r="B155" t="s" s="32">
        <v>50</v>
      </c>
      <c r="C155" s="34">
        <v>6</v>
      </c>
      <c r="D155" t="s" s="32">
        <v>216</v>
      </c>
      <c r="E155" s="37">
        <v>3.30114004921369</v>
      </c>
      <c r="F155" s="38">
        <v>19.5620866980284</v>
      </c>
      <c r="G155" s="42">
        <v>32.1359567036021</v>
      </c>
      <c r="H155" s="34">
        <v>389.735277405917</v>
      </c>
      <c r="I155" s="6"/>
      <c r="J155" s="34">
        <v>1.03435590775763</v>
      </c>
      <c r="K155" s="6"/>
      <c r="L155" s="34" cm="1">
        <f t="array" ref="L155">E155*$J155</f>
        <v>3.41455371223949</v>
      </c>
      <c r="M155" s="34" cm="1">
        <f t="array" ref="M155">F155*$J155</f>
        <v>20.2341599441726</v>
      </c>
      <c r="N155" s="34" cm="1">
        <f t="array" ref="N155">G155*$J155</f>
        <v>33.2400166678142</v>
      </c>
      <c r="O155" s="34" cm="1">
        <f t="array" ref="O155">H155*$J155</f>
        <v>403.124986646369</v>
      </c>
      <c r="P155" s="6"/>
      <c r="Q155" s="34">
        <v>203.1912</v>
      </c>
      <c r="R155" s="34" cm="1">
        <f t="array" ref="R155">Q155/1000</f>
        <v>0.2031912</v>
      </c>
      <c r="S155" s="6"/>
      <c r="T155" s="34" cm="1">
        <f t="array" ref="T155">$R155*L155</f>
        <v>0.693807266254397</v>
      </c>
      <c r="U155" s="34" cm="1">
        <f t="array" ref="U155">$R155*M155</f>
        <v>4.11140324004836</v>
      </c>
      <c r="V155" s="34" cm="1">
        <f t="array" ref="V155">$R155*N155</f>
        <v>6.75407887475317</v>
      </c>
      <c r="W155" s="34" cm="1">
        <f t="array" ref="W155">$R155*O155</f>
        <v>81.9114497866597</v>
      </c>
      <c r="X155" s="6"/>
      <c r="Y155" s="34" cm="1">
        <f t="array" ref="Y155">T155-Y$156-Y$3</f>
        <v>0.061314270344857</v>
      </c>
      <c r="Z155" s="34" cm="1">
        <f t="array" ref="Z155">U155-Z$156-Z$3</f>
        <v>-0.85766796995023</v>
      </c>
      <c r="AA155" s="34" cm="1">
        <f t="array" ref="AA155">V155-AA$156-AA$3</f>
        <v>4.79133579930119</v>
      </c>
      <c r="AB155" s="34" cm="1">
        <f t="array" ref="AB155">W155-AB$156-AB$3</f>
        <v>82.6067251910543</v>
      </c>
      <c r="AC155" s="6"/>
      <c r="AD155" s="41">
        <v>2.1884</v>
      </c>
      <c r="AE155" s="35"/>
      <c r="AF155" s="41" cm="1">
        <f t="array" ref="AF155">Y155/$AD155</f>
        <v>0.0280178533836853</v>
      </c>
      <c r="AG155" s="41" cm="1">
        <f t="array" ref="AG155">Z155/$AD155</f>
        <v>-0.391915541011803</v>
      </c>
      <c r="AH155" s="41" cm="1">
        <f t="array" ref="AH155">AA155/$AD155</f>
        <v>2.1894241451751</v>
      </c>
      <c r="AI155" s="41" cm="1">
        <f t="array" ref="AI155">AB155/$AD155</f>
        <v>37.7475439549691</v>
      </c>
    </row>
    <row r="156" ht="17" customHeight="1">
      <c r="A156" s="6"/>
      <c r="B156" t="s" s="32">
        <v>52</v>
      </c>
      <c r="C156" s="34">
        <v>6</v>
      </c>
      <c r="D156" t="s" s="32">
        <v>217</v>
      </c>
      <c r="E156" s="37">
        <v>6.79454059335322</v>
      </c>
      <c r="F156" s="38">
        <v>30.9445720818361</v>
      </c>
      <c r="G156" s="39">
        <v>8.203569200194011</v>
      </c>
      <c r="H156" s="40">
        <v>-3.18837032113648</v>
      </c>
      <c r="I156" s="6"/>
      <c r="J156" s="34">
        <v>1.03111364900876</v>
      </c>
      <c r="K156" s="6"/>
      <c r="L156" s="34" cm="1">
        <f t="array" ref="L156">E156*$J156</f>
        <v>7.00594354455058</v>
      </c>
      <c r="M156" s="34" cm="1">
        <f t="array" ref="M156">F156*$J156</f>
        <v>31.9073706363166</v>
      </c>
      <c r="N156" s="34" cm="1">
        <f t="array" ref="N156">G156*$J156</f>
        <v>8.458812172907921</v>
      </c>
      <c r="O156" s="34" cm="1">
        <f t="array" ref="O156">H156*$J156</f>
        <v>-3.28757215621827</v>
      </c>
      <c r="P156" s="6"/>
      <c r="Q156" s="34">
        <v>209.12</v>
      </c>
      <c r="R156" s="34" cm="1">
        <f t="array" ref="R156">Q156/1000</f>
        <v>0.20912</v>
      </c>
      <c r="S156" s="6"/>
      <c r="T156" s="34" cm="1">
        <f t="array" ref="T156">$R156*L156</f>
        <v>1.46508291403642</v>
      </c>
      <c r="U156" s="34" cm="1">
        <f t="array" ref="U156">$R156*M156</f>
        <v>6.67246934746653</v>
      </c>
      <c r="V156" s="34" cm="1">
        <f t="array" ref="V156">$R156*N156</f>
        <v>1.7689068015985</v>
      </c>
      <c r="W156" s="34" cm="1">
        <f t="array" ref="W156">$R156*O156</f>
        <v>-0.687497089308365</v>
      </c>
      <c r="X156" s="6"/>
      <c r="Y156" s="34" cm="1">
        <f t="array" ref="Y156">AVERAGE(T156:T158)</f>
        <v>0.63249299590954</v>
      </c>
      <c r="Z156" s="34" cm="1">
        <f t="array" ref="Z156">AVERAGE(U156:U158)</f>
        <v>4.96907120999859</v>
      </c>
      <c r="AA156" s="34" cm="1">
        <f t="array" ref="AA156">AVERAGE(V156:V158)</f>
        <v>1.96274307545198</v>
      </c>
      <c r="AB156" s="34" cm="1">
        <f t="array" ref="AB156">AVERAGE(W156:W158)</f>
        <v>-0.695275404394562</v>
      </c>
      <c r="AC156" s="6"/>
      <c r="AD156" s="35"/>
      <c r="AE156" s="35"/>
      <c r="AF156" s="35" cm="1">
        <f t="array" ref="AF156">Y156/$AD156</f>
      </c>
      <c r="AG156" s="35" cm="1">
        <f t="array" ref="AG156">Z156/$AD156</f>
      </c>
      <c r="AH156" s="35"/>
      <c r="AI156" s="35" cm="1">
        <f t="array" ref="AI156">AB156/$AD156</f>
      </c>
    </row>
    <row r="157" ht="17" customHeight="1">
      <c r="A157" s="6"/>
      <c r="B157" t="s" s="32">
        <v>54</v>
      </c>
      <c r="C157" s="34">
        <v>6</v>
      </c>
      <c r="D157" t="s" s="32">
        <v>218</v>
      </c>
      <c r="E157" s="37">
        <v>0.276912275131882</v>
      </c>
      <c r="F157" s="38">
        <v>15.9130720981642</v>
      </c>
      <c r="G157" s="42">
        <v>8.182403036947321</v>
      </c>
      <c r="H157" s="34">
        <v>-3.17196798883484</v>
      </c>
      <c r="I157" s="6"/>
      <c r="J157" s="34">
        <v>1.02953247185403</v>
      </c>
      <c r="K157" s="6"/>
      <c r="L157" s="34" cm="1">
        <f t="array" ref="L157">E157*$J157</f>
        <v>0.28509017910325</v>
      </c>
      <c r="M157" s="34" cm="1">
        <f t="array" ref="M157">F157*$J157</f>
        <v>16.3830244520144</v>
      </c>
      <c r="N157" s="34" cm="1">
        <f t="array" ref="N157">G157*$J157</f>
        <v>8.4240496243343</v>
      </c>
      <c r="O157" s="34" cm="1">
        <f t="array" ref="O157">H157*$J157</f>
        <v>-3.26564404418699</v>
      </c>
      <c r="P157" s="6"/>
      <c r="Q157" s="34">
        <v>208.8</v>
      </c>
      <c r="R157" s="34" cm="1">
        <f t="array" ref="R157">Q157/1000</f>
        <v>0.2088</v>
      </c>
      <c r="S157" s="6"/>
      <c r="T157" s="34" cm="1">
        <f t="array" ref="T157">$R157*L157</f>
        <v>0.0595268293967586</v>
      </c>
      <c r="U157" s="34" cm="1">
        <f t="array" ref="U157">$R157*M157</f>
        <v>3.42077550558061</v>
      </c>
      <c r="V157" s="34" cm="1">
        <f t="array" ref="V157">$R157*N157</f>
        <v>1.758941561561</v>
      </c>
      <c r="W157" s="34" cm="1">
        <f t="array" ref="W157">$R157*O157</f>
        <v>-0.681866476426244</v>
      </c>
      <c r="X157" s="6"/>
      <c r="Y157" s="6"/>
      <c r="Z157" s="6"/>
      <c r="AA157" s="6"/>
      <c r="AB157" s="6"/>
      <c r="AC157" s="6"/>
      <c r="AD157" s="35"/>
      <c r="AE157" s="35"/>
      <c r="AF157" s="35" cm="1">
        <f t="array" ref="AF157">Y157/$AD157</f>
      </c>
      <c r="AG157" s="35" cm="1">
        <f t="array" ref="AG157">Z157/$AD157</f>
      </c>
      <c r="AH157" s="35" cm="1">
        <f t="array" ref="AH157">AA157/$AD157</f>
      </c>
      <c r="AI157" s="35" cm="1">
        <f t="array" ref="AI157">AB157/$AD157</f>
      </c>
    </row>
    <row r="158" ht="17" customHeight="1">
      <c r="A158" s="6"/>
      <c r="B158" t="s" s="32">
        <v>56</v>
      </c>
      <c r="C158" s="34">
        <v>6</v>
      </c>
      <c r="D158" t="s" s="32">
        <v>219</v>
      </c>
      <c r="E158" s="37">
        <v>1.74082008602518</v>
      </c>
      <c r="F158" s="38">
        <v>22.4750463295658</v>
      </c>
      <c r="G158" s="39">
        <v>11.0199446057451</v>
      </c>
      <c r="H158" s="40">
        <v>-3.34495962498289</v>
      </c>
      <c r="I158" s="6"/>
      <c r="J158" s="34">
        <v>1.0324980362561</v>
      </c>
      <c r="K158" s="6"/>
      <c r="L158" s="34" cm="1">
        <f t="array" ref="L158">E158*$J158</f>
        <v>1.79739332029617</v>
      </c>
      <c r="M158" s="34" cm="1">
        <f t="array" ref="M158">F158*$J158</f>
        <v>23.2054412000416</v>
      </c>
      <c r="N158" s="34" cm="1">
        <f t="array" ref="N158">G158*$J158</f>
        <v>11.3780711650828</v>
      </c>
      <c r="O158" s="34" cm="1">
        <f t="array" ref="O158">H158*$J158</f>
        <v>-3.45366424415077</v>
      </c>
      <c r="P158" s="6"/>
      <c r="Q158" s="34">
        <v>207.45</v>
      </c>
      <c r="R158" s="34" cm="1">
        <f t="array" ref="R158">Q158/1000</f>
        <v>0.20745</v>
      </c>
      <c r="S158" s="6"/>
      <c r="T158" s="34" cm="1">
        <f t="array" ref="T158">$R158*L158</f>
        <v>0.37286924429544</v>
      </c>
      <c r="U158" s="34" cm="1">
        <f t="array" ref="U158">$R158*M158</f>
        <v>4.81396877694863</v>
      </c>
      <c r="V158" s="34" cm="1">
        <f t="array" ref="V158">$R158*N158</f>
        <v>2.36038086319643</v>
      </c>
      <c r="W158" s="34" cm="1">
        <f t="array" ref="W158">$R158*O158</f>
        <v>-0.716462647449077</v>
      </c>
      <c r="X158" s="6"/>
      <c r="Y158" s="6"/>
      <c r="Z158" s="6"/>
      <c r="AA158" s="6"/>
      <c r="AB158" s="6"/>
      <c r="AC158" s="6"/>
      <c r="AD158" s="35"/>
      <c r="AE158" s="35"/>
      <c r="AF158" s="35" cm="1">
        <f t="array" ref="AF158">Y158/$AD158</f>
      </c>
      <c r="AG158" s="35" cm="1">
        <f t="array" ref="AG158">Z158/$AD158</f>
      </c>
      <c r="AH158" s="35" cm="1">
        <f t="array" ref="AH158">AA158/$AD158</f>
      </c>
      <c r="AI158" s="35" cm="1">
        <f t="array" ref="AI158">AB158/$AD158</f>
      </c>
    </row>
    <row r="159" ht="17" customHeight="1">
      <c r="A159" s="6"/>
      <c r="B159" t="s" s="32">
        <v>58</v>
      </c>
      <c r="C159" s="34">
        <v>6</v>
      </c>
      <c r="D159" t="s" s="32">
        <v>220</v>
      </c>
      <c r="E159" s="37">
        <v>1206.808067273510</v>
      </c>
      <c r="F159" s="38">
        <v>2467.247855462940</v>
      </c>
      <c r="G159" s="42">
        <v>49811.3233300891</v>
      </c>
      <c r="H159" s="34">
        <v>273.715226243180</v>
      </c>
      <c r="I159" s="6"/>
      <c r="J159" s="34">
        <v>1.02840505038307</v>
      </c>
      <c r="K159" s="6"/>
      <c r="L159" s="34" cm="1">
        <f t="array" ref="L159">E159*$J159</f>
        <v>1241.087511227110</v>
      </c>
      <c r="M159" s="34" cm="1">
        <f t="array" ref="M159">F159*$J159</f>
        <v>2537.330155104890</v>
      </c>
      <c r="N159" s="34" cm="1">
        <f t="array" ref="N159">G159*$J159</f>
        <v>51226.2164789277</v>
      </c>
      <c r="O159" s="34" cm="1">
        <f t="array" ref="O159">H159*$J159</f>
        <v>281.490121035231</v>
      </c>
      <c r="P159" s="6"/>
      <c r="Q159" s="34">
        <v>208.7238</v>
      </c>
      <c r="R159" s="34" cm="1">
        <f t="array" ref="R159">Q159/1000</f>
        <v>0.2087238</v>
      </c>
      <c r="S159" s="6"/>
      <c r="T159" s="34" cm="1">
        <f t="array" ref="T159">$R159*L159</f>
        <v>259.044501475865</v>
      </c>
      <c r="U159" s="34" cm="1">
        <f t="array" ref="U159">$R159*M159</f>
        <v>529.6011918280821</v>
      </c>
      <c r="V159" s="34" cm="1">
        <f t="array" ref="V159">$R159*N159</f>
        <v>10692.1305631044</v>
      </c>
      <c r="W159" s="34" cm="1">
        <f t="array" ref="W159">$R159*O159</f>
        <v>58.7536877249333</v>
      </c>
      <c r="X159" s="6"/>
      <c r="Y159" s="34" cm="1">
        <f t="array" ref="Y159">T159-Y$165-Y$3</f>
        <v>259.018530139969</v>
      </c>
      <c r="Z159" s="34" cm="1">
        <f t="array" ref="Z159">U159-Z$165-Z$3</f>
        <v>528.9624015138789</v>
      </c>
      <c r="AA159" s="34" cm="1">
        <f t="array" ref="AA159">V159-AA$165-AA$3</f>
        <v>10690.7659844998</v>
      </c>
      <c r="AB159" s="34" cm="1">
        <f t="array" ref="AB159">W159-AB$165-AB$3</f>
        <v>58.5869489225094</v>
      </c>
      <c r="AC159" s="6"/>
      <c r="AD159" s="41">
        <v>3.9574</v>
      </c>
      <c r="AE159" s="35"/>
      <c r="AF159" s="41" cm="1">
        <f t="array" ref="AF159">Y159/$AD159</f>
        <v>65.4516930661467</v>
      </c>
      <c r="AG159" s="41" cm="1">
        <f t="array" ref="AG159">Z159/$AD159</f>
        <v>133.664123291524</v>
      </c>
      <c r="AH159" s="41" cm="1">
        <f t="array" ref="AH159">AA159/$AD159</f>
        <v>2701.462067139990</v>
      </c>
      <c r="AI159" s="41" cm="1">
        <f t="array" ref="AI159">AB159/$AD159</f>
        <v>14.8044041346615</v>
      </c>
    </row>
    <row r="160" ht="17" customHeight="1">
      <c r="A160" s="6"/>
      <c r="B160" t="s" s="32">
        <v>60</v>
      </c>
      <c r="C160" s="34">
        <v>6</v>
      </c>
      <c r="D160" t="s" s="32">
        <v>221</v>
      </c>
      <c r="E160" s="37">
        <v>705.730886633966</v>
      </c>
      <c r="F160" s="38">
        <v>2535.964727273980</v>
      </c>
      <c r="G160" s="39">
        <v>51481.8540882933</v>
      </c>
      <c r="H160" s="40">
        <v>330.108508472732</v>
      </c>
      <c r="I160" s="6"/>
      <c r="J160" s="34">
        <v>1.02755581130743</v>
      </c>
      <c r="K160" s="6"/>
      <c r="L160" s="34" cm="1">
        <f t="array" ref="L160">E160*$J160</f>
        <v>725.177873779877</v>
      </c>
      <c r="M160" s="34" cm="1">
        <f t="array" ref="M160">F160*$J160</f>
        <v>2605.845292781040</v>
      </c>
      <c r="N160" s="34" cm="1">
        <f t="array" ref="N160">G160*$J160</f>
        <v>52900.478345307</v>
      </c>
      <c r="O160" s="34" cm="1">
        <f t="array" ref="O160">H160*$J160</f>
        <v>339.204916243184</v>
      </c>
      <c r="P160" s="6"/>
      <c r="Q160" s="34">
        <v>207.5944</v>
      </c>
      <c r="R160" s="34" cm="1">
        <f t="array" ref="R160">Q160/1000</f>
        <v>0.2075944</v>
      </c>
      <c r="S160" s="6"/>
      <c r="T160" s="34" cm="1">
        <f t="array" ref="T160">$R160*L160</f>
        <v>150.542865600609</v>
      </c>
      <c r="U160" s="34" cm="1">
        <f t="array" ref="U160">$R160*M160</f>
        <v>540.958890047704</v>
      </c>
      <c r="V160" s="34" cm="1">
        <f t="array" ref="V160">$R160*N160</f>
        <v>10981.843061807</v>
      </c>
      <c r="W160" s="34" cm="1">
        <f t="array" ref="W160">$R160*O160</f>
        <v>70.417041064554</v>
      </c>
      <c r="X160" s="6"/>
      <c r="Y160" s="34" cm="1">
        <f t="array" ref="Y160">T160-Y$165-Y$3</f>
        <v>150.516894264713</v>
      </c>
      <c r="Z160" s="34" cm="1">
        <f t="array" ref="Z160">U160-Z$165-Z$3</f>
        <v>540.320099733501</v>
      </c>
      <c r="AA160" s="34" cm="1">
        <f t="array" ref="AA160">V160-AA$165-AA$3</f>
        <v>10980.4784832024</v>
      </c>
      <c r="AB160" s="34" cm="1">
        <f t="array" ref="AB160">W160-AB$165-AB$3</f>
        <v>70.25030226213011</v>
      </c>
      <c r="AC160" s="6"/>
      <c r="AD160" s="41">
        <v>4.3856</v>
      </c>
      <c r="AE160" s="35"/>
      <c r="AF160" s="41" cm="1">
        <f t="array" ref="AF160">Y160/$AD160</f>
        <v>34.3207073752082</v>
      </c>
      <c r="AG160" s="65" cm="1">
        <f t="array" ref="AG160">Z160/$AD160</f>
        <v>123.203233248244</v>
      </c>
      <c r="AH160" s="41" cm="1">
        <f t="array" ref="AH160">AA160/$AD160</f>
        <v>2503.757406786390</v>
      </c>
      <c r="AI160" s="41" cm="1">
        <f t="array" ref="AI160">AB160/$AD160</f>
        <v>16.0184016467827</v>
      </c>
    </row>
    <row r="161" ht="17" customHeight="1">
      <c r="A161" s="6"/>
      <c r="B161" t="s" s="32">
        <v>62</v>
      </c>
      <c r="C161" s="34">
        <v>6</v>
      </c>
      <c r="D161" t="s" s="32">
        <v>222</v>
      </c>
      <c r="E161" s="37">
        <v>1044.058539471120</v>
      </c>
      <c r="F161" s="38">
        <v>12466.3738239808</v>
      </c>
      <c r="G161" s="42">
        <v>53651.6835311212</v>
      </c>
      <c r="H161" s="34">
        <v>161.905008623972</v>
      </c>
      <c r="I161" s="6"/>
      <c r="J161" s="34">
        <v>1.0274361523969</v>
      </c>
      <c r="K161" s="6"/>
      <c r="L161" s="34" cm="1">
        <f t="array" ref="L161">E161*$J161</f>
        <v>1072.703488671330</v>
      </c>
      <c r="M161" s="34" cm="1">
        <f t="array" ref="M161">F161*$J161</f>
        <v>12808.4031560523</v>
      </c>
      <c r="N161" s="34" cm="1">
        <f t="array" ref="N161">G161*$J161</f>
        <v>55123.6792968313</v>
      </c>
      <c r="O161" s="34" cm="1">
        <f t="array" ref="O161">H161*$J161</f>
        <v>166.347059114401</v>
      </c>
      <c r="P161" s="6"/>
      <c r="Q161" s="34">
        <v>208.6698</v>
      </c>
      <c r="R161" s="34" cm="1">
        <f t="array" ref="R161">Q161/1000</f>
        <v>0.2086698</v>
      </c>
      <c r="S161" s="6"/>
      <c r="T161" s="34" cm="1">
        <f t="array" ref="T161">$R161*L161</f>
        <v>223.840822440349</v>
      </c>
      <c r="U161" s="34" cm="1">
        <f t="array" ref="U161">$R161*M161</f>
        <v>2672.7269248928</v>
      </c>
      <c r="V161" s="34" cm="1">
        <f t="array" ref="V161">$R161*N161</f>
        <v>11502.6471341339</v>
      </c>
      <c r="W161" s="34" cm="1">
        <f t="array" ref="W161">$R161*O161</f>
        <v>34.7116075559902</v>
      </c>
      <c r="X161" s="6"/>
      <c r="Y161" s="34" cm="1">
        <f t="array" ref="Y161">T161-Y$165-Y$3</f>
        <v>223.814851104453</v>
      </c>
      <c r="Z161" s="34" cm="1">
        <f t="array" ref="Z161">U161-Z$165-Z$3</f>
        <v>2672.0881345786</v>
      </c>
      <c r="AA161" s="34" cm="1">
        <f t="array" ref="AA161">V161-AA$165-AA$3</f>
        <v>11501.2825555293</v>
      </c>
      <c r="AB161" s="34" cm="1">
        <f t="array" ref="AB161">W161-AB$165-AB$3</f>
        <v>34.5448687535663</v>
      </c>
      <c r="AC161" s="6"/>
      <c r="AD161" s="41">
        <v>4.994</v>
      </c>
      <c r="AE161" s="35"/>
      <c r="AF161" s="66" cm="1">
        <f t="array" ref="AF161">Y161/$AD161</f>
        <v>44.8167503212761</v>
      </c>
      <c r="AG161" s="67" cm="1">
        <f t="array" ref="AG161">Z161/$AD161</f>
        <v>535.059698553985</v>
      </c>
      <c r="AH161" s="68" cm="1">
        <f t="array" ref="AH161">AA161/$AD161</f>
        <v>2303.020135268180</v>
      </c>
      <c r="AI161" s="41" cm="1">
        <f t="array" ref="AI161">AB161/$AD161</f>
        <v>6.91727448008937</v>
      </c>
    </row>
    <row r="162" ht="17" customHeight="1">
      <c r="A162" s="6"/>
      <c r="B162" t="s" s="32">
        <v>64</v>
      </c>
      <c r="C162" s="34">
        <v>6</v>
      </c>
      <c r="D162" t="s" s="32">
        <v>223</v>
      </c>
      <c r="E162" s="37">
        <v>0.319934614375309</v>
      </c>
      <c r="F162" s="38">
        <v>1.43846131276686</v>
      </c>
      <c r="G162" s="42">
        <v>12.0120989517842</v>
      </c>
      <c r="H162" s="34">
        <v>1305.148744062280</v>
      </c>
      <c r="I162" s="6"/>
      <c r="J162" s="34">
        <v>1.04681697612732</v>
      </c>
      <c r="K162" s="6"/>
      <c r="L162" s="34" cm="1">
        <f t="array" ref="L162">E162*$J162</f>
        <v>0.334912985578821</v>
      </c>
      <c r="M162" s="34" cm="1">
        <f t="array" ref="M162">F162*$J162</f>
        <v>1.50580572170674</v>
      </c>
      <c r="N162" s="34" cm="1">
        <f t="array" ref="N162">G162*$J162</f>
        <v>12.5744691016489</v>
      </c>
      <c r="O162" s="34" cm="1">
        <f t="array" ref="O162">H162*$J162</f>
        <v>1366.251861655650</v>
      </c>
      <c r="P162" s="6"/>
      <c r="Q162" s="34">
        <v>207.3428</v>
      </c>
      <c r="R162" s="34" cm="1">
        <f t="array" ref="R162">Q162/1000</f>
        <v>0.2073428</v>
      </c>
      <c r="S162" s="6"/>
      <c r="T162" s="34" cm="1">
        <f t="array" ref="T162">$R162*L162</f>
        <v>0.0694417961862724</v>
      </c>
      <c r="U162" s="34" cm="1">
        <f t="array" ref="U162">$R162*M162</f>
        <v>0.312217974594696</v>
      </c>
      <c r="V162" s="34" cm="1">
        <f t="array" ref="V162">$R162*N162</f>
        <v>2.60722563204937</v>
      </c>
      <c r="W162" s="34" cm="1">
        <f t="array" ref="W162">$R162*O162</f>
        <v>283.282486500895</v>
      </c>
      <c r="X162" s="6"/>
      <c r="Y162" s="34" cm="1">
        <f t="array" ref="Y162">T162-Y$165-Y$3</f>
        <v>0.0434704602902901</v>
      </c>
      <c r="Z162" s="34" cm="1">
        <f t="array" ref="Z162">U162-Z$165-Z$3</f>
        <v>-0.326572339608131</v>
      </c>
      <c r="AA162" s="34" cm="1">
        <f t="array" ref="AA162">V162-AA$165-AA$3</f>
        <v>1.24264702748048</v>
      </c>
      <c r="AB162" s="34" cm="1">
        <f t="array" ref="AB162">W162-AB$165-AB$3</f>
        <v>283.115747698471</v>
      </c>
      <c r="AC162" s="6"/>
      <c r="AD162" s="41">
        <v>2.613</v>
      </c>
      <c r="AE162" s="35"/>
      <c r="AF162" s="41" cm="1">
        <f t="array" ref="AF162">Y162/$AD162</f>
        <v>0.0166362266706047</v>
      </c>
      <c r="AG162" s="69" cm="1">
        <f t="array" ref="AG162">Z162/$AD162</f>
        <v>-0.124979846769281</v>
      </c>
      <c r="AH162" s="41" cm="1">
        <f t="array" ref="AH162">AA162/$AD162</f>
        <v>0.475563347677183</v>
      </c>
      <c r="AI162" s="41" cm="1">
        <f t="array" ref="AI162">AB162/$AD162</f>
        <v>108.348927553950</v>
      </c>
    </row>
    <row r="163" ht="17" customHeight="1">
      <c r="A163" s="6"/>
      <c r="B163" t="s" s="32">
        <v>66</v>
      </c>
      <c r="C163" s="34">
        <v>6</v>
      </c>
      <c r="D163" t="s" s="32">
        <v>224</v>
      </c>
      <c r="E163" s="37">
        <v>1.58883638911677</v>
      </c>
      <c r="F163" s="38">
        <v>4.39833099045861</v>
      </c>
      <c r="G163" s="42">
        <v>16.6224892068397</v>
      </c>
      <c r="H163" s="34">
        <v>1322.082433256460</v>
      </c>
      <c r="I163" s="6"/>
      <c r="J163" s="34">
        <v>1.02857911733046</v>
      </c>
      <c r="K163" s="6"/>
      <c r="L163" s="34" cm="1">
        <f t="array" ref="L163">E163*$J163</f>
        <v>1.63424393070024</v>
      </c>
      <c r="M163" s="34" cm="1">
        <f t="array" ref="M163">F163*$J163</f>
        <v>4.52403140789312</v>
      </c>
      <c r="N163" s="34" cm="1">
        <f t="array" ref="N163">G163*$J163</f>
        <v>17.0975452762063</v>
      </c>
      <c r="O163" s="34" cm="1">
        <f t="array" ref="O163">H163*$J163</f>
        <v>1359.866382237040</v>
      </c>
      <c r="P163" s="6"/>
      <c r="Q163" s="34">
        <v>206.6196</v>
      </c>
      <c r="R163" s="34" cm="1">
        <f t="array" ref="R163">Q163/1000</f>
        <v>0.2066196</v>
      </c>
      <c r="S163" s="6"/>
      <c r="T163" s="34" cm="1">
        <f t="array" ref="T163">$R163*L163</f>
        <v>0.337666827263711</v>
      </c>
      <c r="U163" s="34" cm="1">
        <f t="array" ref="U163">$R163*M163</f>
        <v>0.934753559886313</v>
      </c>
      <c r="V163" s="34" cm="1">
        <f t="array" ref="V163">$R163*N163</f>
        <v>3.53268796595164</v>
      </c>
      <c r="W163" s="34" cm="1">
        <f t="array" ref="W163">$R163*O163</f>
        <v>280.975047951264</v>
      </c>
      <c r="X163" s="6"/>
      <c r="Y163" s="34" cm="1">
        <f t="array" ref="Y163">T163-Y$165-Y$3</f>
        <v>0.311695491367729</v>
      </c>
      <c r="Z163" s="34" cm="1">
        <f t="array" ref="Z163">U163-Z$165-Z$3</f>
        <v>0.295963245683486</v>
      </c>
      <c r="AA163" s="34" cm="1">
        <f t="array" ref="AA163">V163-AA$165-AA$3</f>
        <v>2.16810936138275</v>
      </c>
      <c r="AB163" s="34" cm="1">
        <f t="array" ref="AB163">W163-AB$165-AB$3</f>
        <v>280.808309148840</v>
      </c>
      <c r="AC163" s="6"/>
      <c r="AD163" s="41">
        <v>2.896</v>
      </c>
      <c r="AE163" s="35"/>
      <c r="AF163" s="41" cm="1">
        <f t="array" ref="AF163">Y163/$AD163</f>
        <v>0.107629658621453</v>
      </c>
      <c r="AG163" s="41" cm="1">
        <f t="array" ref="AG163">Z163/$AD163</f>
        <v>0.102197253343745</v>
      </c>
      <c r="AH163" s="41" cm="1">
        <f t="array" ref="AH163">AA163/$AD163</f>
        <v>0.748656547438795</v>
      </c>
      <c r="AI163" s="41" cm="1">
        <f t="array" ref="AI163">AB163/$AD163</f>
        <v>96.96419514808009</v>
      </c>
    </row>
    <row r="164" ht="17" customHeight="1">
      <c r="A164" s="6"/>
      <c r="B164" t="s" s="32">
        <v>68</v>
      </c>
      <c r="C164" s="34">
        <v>6</v>
      </c>
      <c r="D164" t="s" s="32">
        <v>225</v>
      </c>
      <c r="E164" s="37">
        <v>228.832192659011</v>
      </c>
      <c r="F164" s="38">
        <v>7.74824748085655</v>
      </c>
      <c r="G164" s="39">
        <v>11.1231696887909</v>
      </c>
      <c r="H164" s="40">
        <v>1272.213848047550</v>
      </c>
      <c r="I164" s="6"/>
      <c r="J164" s="34">
        <v>1.0319220783119</v>
      </c>
      <c r="K164" s="6"/>
      <c r="L164" s="34" cm="1">
        <f t="array" ref="L164">E164*$J164</f>
        <v>236.136991833356</v>
      </c>
      <c r="M164" s="34" cm="1">
        <f t="array" ref="M164">F164*$J164</f>
        <v>7.99558764372043</v>
      </c>
      <c r="N164" s="34" cm="1">
        <f t="array" ref="N164">G164*$J164</f>
        <v>11.478244382673</v>
      </c>
      <c r="O164" s="34" cm="1">
        <f t="array" ref="O164">H164*$J164</f>
        <v>1312.825558134410</v>
      </c>
      <c r="P164" s="6"/>
      <c r="Q164" s="34">
        <v>209.714</v>
      </c>
      <c r="R164" s="34" cm="1">
        <f t="array" ref="R164">Q164/1000</f>
        <v>0.209714</v>
      </c>
      <c r="S164" s="6"/>
      <c r="T164" s="34" cm="1">
        <f t="array" ref="T164">$R164*L164</f>
        <v>49.5212331053404</v>
      </c>
      <c r="U164" s="34" cm="1">
        <f t="array" ref="U164">$R164*M164</f>
        <v>1.67678666711519</v>
      </c>
      <c r="V164" s="34" cm="1">
        <f t="array" ref="V164">$R164*N164</f>
        <v>2.40714854246789</v>
      </c>
      <c r="W164" s="34" cm="1">
        <f t="array" ref="W164">$R164*O164</f>
        <v>275.3178990986</v>
      </c>
      <c r="X164" s="6"/>
      <c r="Y164" s="34" cm="1">
        <f t="array" ref="Y164">T164-Y$165-Y$3</f>
        <v>49.4952617694444</v>
      </c>
      <c r="Z164" s="34" cm="1">
        <f t="array" ref="Z164">U164-Z$165-Z$3</f>
        <v>1.03799635291236</v>
      </c>
      <c r="AA164" s="34" cm="1">
        <f t="array" ref="AA164">V164-AA$165-AA$3</f>
        <v>1.042569937899</v>
      </c>
      <c r="AB164" s="34" cm="1">
        <f t="array" ref="AB164">W164-AB$165-AB$3</f>
        <v>275.151160296176</v>
      </c>
      <c r="AC164" s="6"/>
      <c r="AD164" s="41">
        <v>2.6178</v>
      </c>
      <c r="AE164" s="35"/>
      <c r="AF164" s="41" cm="1">
        <f t="array" ref="AF164">Y164/$AD164</f>
        <v>18.9071975588068</v>
      </c>
      <c r="AG164" s="41" cm="1">
        <f t="array" ref="AG164">Z164/$AD164</f>
        <v>0.396514765418428</v>
      </c>
      <c r="AH164" s="41" cm="1">
        <f t="array" ref="AH164">AA164/$AD164</f>
        <v>0.398261875582168</v>
      </c>
      <c r="AI164" s="41" cm="1">
        <f t="array" ref="AI164">AB164/$AD164</f>
        <v>105.107785276253</v>
      </c>
    </row>
    <row r="165" ht="17" customHeight="1">
      <c r="A165" s="6"/>
      <c r="B165" t="s" s="32">
        <v>70</v>
      </c>
      <c r="C165" s="34">
        <v>6</v>
      </c>
      <c r="D165" t="s" s="32">
        <v>226</v>
      </c>
      <c r="E165" s="37">
        <v>0.151756596824877</v>
      </c>
      <c r="F165" s="38">
        <v>2.12536991212244</v>
      </c>
      <c r="G165" s="42">
        <v>5.41962923841762</v>
      </c>
      <c r="H165" s="34">
        <v>0.718991888687646</v>
      </c>
      <c r="I165" s="6"/>
      <c r="J165" s="34">
        <v>1.02839840467393</v>
      </c>
      <c r="K165" s="6"/>
      <c r="L165" s="34" cm="1">
        <f t="array" ref="L165">E165*$J165</f>
        <v>0.156066242073448</v>
      </c>
      <c r="M165" s="34" cm="1">
        <f t="array" ref="M165">F165*$J165</f>
        <v>2.18572702696869</v>
      </c>
      <c r="N165" s="34" cm="1">
        <f t="array" ref="N165">G165*$J165</f>
        <v>5.57353806271287</v>
      </c>
      <c r="O165" s="34" cm="1">
        <f t="array" ref="O165">H165*$J165</f>
        <v>0.739410111299871</v>
      </c>
      <c r="P165" s="6"/>
      <c r="Q165" s="34">
        <v>207.08</v>
      </c>
      <c r="R165" s="34" cm="1">
        <f t="array" ref="R165">Q165/1000</f>
        <v>0.20708</v>
      </c>
      <c r="S165" s="6"/>
      <c r="T165" s="34" cm="1">
        <f t="array" ref="T165">$R165*L165</f>
        <v>0.0323181974085696</v>
      </c>
      <c r="U165" s="34" cm="1">
        <f t="array" ref="U165">$R165*M165</f>
        <v>0.452620352744676</v>
      </c>
      <c r="V165" s="34" cm="1">
        <f t="array" ref="V165">$R165*N165</f>
        <v>1.15416826202658</v>
      </c>
      <c r="W165" s="34" cm="1">
        <f t="array" ref="W165">$R165*O165</f>
        <v>0.153117045847977</v>
      </c>
      <c r="X165" s="6"/>
      <c r="Y165" s="34" cm="1">
        <f t="array" ref="Y165">AVERAGE(T165:T167)</f>
        <v>0.0259713358959823</v>
      </c>
      <c r="Z165" s="34" cm="1">
        <f t="array" ref="Z165">AVERAGE(U165:U167)</f>
        <v>0.6387903142028269</v>
      </c>
      <c r="AA165" s="34" cm="1">
        <f t="array" ref="AA165">AVERAGE(V165:V167)</f>
        <v>1.36457860456889</v>
      </c>
      <c r="AB165" s="34" cm="1">
        <f t="array" ref="AB165">AVERAGE(W165:W167)</f>
        <v>0.16673880242389</v>
      </c>
      <c r="AC165" s="6"/>
      <c r="AD165" s="35"/>
      <c r="AE165" s="35"/>
      <c r="AF165" s="35" cm="1">
        <f t="array" ref="AF165">Y165/$AD165</f>
      </c>
      <c r="AG165" s="35" cm="1">
        <f t="array" ref="AG165">Z165/$AD165</f>
      </c>
      <c r="AH165" s="35" cm="1">
        <f t="array" ref="AH165">AA165/$AD165</f>
      </c>
      <c r="AI165" s="35" cm="1">
        <f t="array" ref="AI165">AB165/$AD165</f>
      </c>
    </row>
    <row r="166" ht="17" customHeight="1">
      <c r="A166" s="6"/>
      <c r="B166" t="s" s="32">
        <v>72</v>
      </c>
      <c r="C166" s="34">
        <v>6</v>
      </c>
      <c r="D166" t="s" s="32">
        <v>227</v>
      </c>
      <c r="E166" s="37">
        <v>0.115363456754728</v>
      </c>
      <c r="F166" s="38">
        <v>4.5171724513542</v>
      </c>
      <c r="G166" s="39">
        <v>6.05305143091407</v>
      </c>
      <c r="H166" s="40">
        <v>0.687402511479698</v>
      </c>
      <c r="I166" s="6"/>
      <c r="J166" s="34">
        <v>1.02927121482349</v>
      </c>
      <c r="K166" s="6"/>
      <c r="L166" s="34" cm="1">
        <f t="array" ref="L166">E166*$J166</f>
        <v>0.118740285280176</v>
      </c>
      <c r="M166" s="34" cm="1">
        <f t="array" ref="M166">F166*$J166</f>
        <v>4.64939557657254</v>
      </c>
      <c r="N166" s="34" cm="1">
        <f t="array" ref="N166">G166*$J166</f>
        <v>6.23023159968599</v>
      </c>
      <c r="O166" s="34" cm="1">
        <f t="array" ref="O166">H166*$J166</f>
        <v>0.707523618063427</v>
      </c>
      <c r="P166" s="6"/>
      <c r="Q166" s="34">
        <v>206.54</v>
      </c>
      <c r="R166" s="34" cm="1">
        <f t="array" ref="R166">Q166/1000</f>
        <v>0.20654</v>
      </c>
      <c r="S166" s="6"/>
      <c r="T166" s="34" cm="1">
        <f t="array" ref="T166">$R166*L166</f>
        <v>0.0245246185217676</v>
      </c>
      <c r="U166" s="34" cm="1">
        <f t="array" ref="U166">$R166*M166</f>
        <v>0.960286162385292</v>
      </c>
      <c r="V166" s="34" cm="1">
        <f t="array" ref="V166">$R166*N166</f>
        <v>1.28679203459914</v>
      </c>
      <c r="W166" s="34" cm="1">
        <f t="array" ref="W166">$R166*O166</f>
        <v>0.14613192807482</v>
      </c>
      <c r="X166" s="6"/>
      <c r="Y166" s="6"/>
      <c r="Z166" s="6"/>
      <c r="AA166" s="6"/>
      <c r="AB166" s="6"/>
      <c r="AC166" s="6"/>
      <c r="AD166" s="35"/>
      <c r="AE166" s="35"/>
      <c r="AF166" s="35" cm="1">
        <f t="array" ref="AF166">Y166/$AD166</f>
      </c>
      <c r="AG166" s="35" cm="1">
        <f t="array" ref="AG166">Z166/$AD166</f>
      </c>
      <c r="AH166" s="35" cm="1">
        <f t="array" ref="AH166">AA166/$AD166</f>
      </c>
      <c r="AI166" s="35" cm="1">
        <f t="array" ref="AI166">AB166/$AD166</f>
      </c>
    </row>
    <row r="167" ht="17" customHeight="1">
      <c r="A167" s="6"/>
      <c r="B167" t="s" s="8">
        <v>74</v>
      </c>
      <c r="C167" s="44">
        <v>6</v>
      </c>
      <c r="D167" t="s" s="8">
        <v>228</v>
      </c>
      <c r="E167" s="37">
        <v>0.0979589783073037</v>
      </c>
      <c r="F167" s="38">
        <v>2.34058241684672</v>
      </c>
      <c r="G167" s="42">
        <v>7.6836755550907</v>
      </c>
      <c r="H167" s="34">
        <v>0.934288134736712</v>
      </c>
      <c r="I167" s="6"/>
      <c r="J167" s="34">
        <v>1.03141788608234</v>
      </c>
      <c r="K167" s="6"/>
      <c r="L167" s="34" cm="1">
        <f t="array" ref="L167">E167*$J167</f>
        <v>0.101036642328505</v>
      </c>
      <c r="M167" s="34" cm="1">
        <f t="array" ref="M167">F167*$J167</f>
        <v>2.41411856858554</v>
      </c>
      <c r="N167" s="34" cm="1">
        <f t="array" ref="N167">G167*$J167</f>
        <v>7.9250803983742</v>
      </c>
      <c r="O167" s="34" cm="1">
        <f t="array" ref="O167">H167*$J167</f>
        <v>0.963641492921952</v>
      </c>
      <c r="P167" s="6"/>
      <c r="Q167" s="34">
        <v>208.55</v>
      </c>
      <c r="R167" s="34" cm="1">
        <f t="array" ref="R167">Q167/1000</f>
        <v>0.20855</v>
      </c>
      <c r="S167" s="6"/>
      <c r="T167" s="34" cm="1">
        <f t="array" ref="T167">$R167*L167</f>
        <v>0.0210711917576097</v>
      </c>
      <c r="U167" s="34" cm="1">
        <f t="array" ref="U167">$R167*M167</f>
        <v>0.5034644274785141</v>
      </c>
      <c r="V167" s="34" cm="1">
        <f t="array" ref="V167">$R167*N167</f>
        <v>1.65277551708094</v>
      </c>
      <c r="W167" s="34" cm="1">
        <f t="array" ref="W167">$R167*O167</f>
        <v>0.200967433348873</v>
      </c>
      <c r="X167" s="6"/>
      <c r="Y167" s="6"/>
      <c r="Z167" s="6"/>
      <c r="AA167" s="6"/>
      <c r="AB167" s="6"/>
      <c r="AC167" s="6"/>
      <c r="AD167" s="35"/>
      <c r="AE167" s="35"/>
      <c r="AF167" s="35" cm="1">
        <f t="array" ref="AF167">Y167/$AD167</f>
      </c>
      <c r="AG167" s="35" cm="1">
        <f t="array" ref="AG167">Z167/$AD167</f>
      </c>
      <c r="AH167" s="35" cm="1">
        <f t="array" ref="AH167">AA167/$AD167</f>
      </c>
      <c r="AI167" s="35" cm="1">
        <f t="array" ref="AI167">AB167/$AD167</f>
      </c>
    </row>
    <row r="168" ht="17" customHeight="1">
      <c r="A168" s="6"/>
      <c r="B168" t="s" s="25">
        <v>76</v>
      </c>
      <c r="C168" s="45">
        <v>6</v>
      </c>
      <c r="D168" t="s" s="25">
        <v>229</v>
      </c>
      <c r="E168" s="37">
        <v>117.516940238691</v>
      </c>
      <c r="F168" s="38">
        <v>213.069570638438</v>
      </c>
      <c r="G168" s="39">
        <v>1074.696042894840</v>
      </c>
      <c r="H168" s="40">
        <v>-48.0893230665385</v>
      </c>
      <c r="I168" s="6"/>
      <c r="J168" s="34">
        <v>1.08798185941043</v>
      </c>
      <c r="K168" s="6"/>
      <c r="L168" s="34" cm="1">
        <f t="array" ref="L168">E168*$J168</f>
        <v>127.856299153115</v>
      </c>
      <c r="M168" s="34" cm="1">
        <f t="array" ref="M168">F168*$J168</f>
        <v>231.815827646990</v>
      </c>
      <c r="N168" s="34" cm="1">
        <f t="array" ref="N168">G168*$J168</f>
        <v>1169.249799049760</v>
      </c>
      <c r="O168" s="34" cm="1">
        <f t="array" ref="O168">H168*$J168</f>
        <v>-52.3203111277214</v>
      </c>
      <c r="P168" s="6"/>
      <c r="Q168" s="34">
        <v>202.5148</v>
      </c>
      <c r="R168" s="34" cm="1">
        <f t="array" ref="R168">Q168/1000</f>
        <v>0.2025148</v>
      </c>
      <c r="S168" s="6"/>
      <c r="T168" s="34" cm="1">
        <f t="array" ref="T168">$R168*L168</f>
        <v>25.8927928517333</v>
      </c>
      <c r="U168" s="34" cm="1">
        <f t="array" ref="U168">$R168*M168</f>
        <v>46.9461359727647</v>
      </c>
      <c r="V168" s="34" cm="1">
        <f t="array" ref="V168">$R168*N168</f>
        <v>236.790389204602</v>
      </c>
      <c r="W168" s="34" cm="1">
        <f t="array" ref="W168">$R168*O168</f>
        <v>-10.5956373439683</v>
      </c>
      <c r="X168" s="6"/>
      <c r="Y168" s="34" cm="1">
        <f t="array" ref="Y168">T168-Y$174-Y$3</f>
        <v>26.0315933760385</v>
      </c>
      <c r="Z168" s="34" cm="1">
        <f t="array" ref="Z168">U168-Z$174-Z$3</f>
        <v>46.9452006344479</v>
      </c>
      <c r="AA168" s="34" cm="1">
        <f t="array" ref="AA168">V168-AA$174-AA$3</f>
        <v>235.989736161545</v>
      </c>
      <c r="AB168" s="34" cm="1">
        <f t="array" ref="AB168">W168-AB$174-AB$3</f>
        <v>-11.9483263987666</v>
      </c>
      <c r="AC168" s="6"/>
      <c r="AD168" s="41">
        <v>4.3892</v>
      </c>
      <c r="AE168" s="35"/>
      <c r="AF168" s="41" cm="1">
        <f t="array" ref="AF168">Y168/$AD168</f>
        <v>5.93082871047993</v>
      </c>
      <c r="AG168" s="41" cm="1">
        <f t="array" ref="AG168">Z168/$AD168</f>
        <v>10.6956166578073</v>
      </c>
      <c r="AH168" s="41" cm="1">
        <f t="array" ref="AH168">AA168/$AD168</f>
        <v>53.7660020417263</v>
      </c>
      <c r="AI168" s="41" cm="1">
        <f t="array" ref="AI168">AB168/$AD168</f>
        <v>-2.72221051644186</v>
      </c>
    </row>
    <row r="169" ht="17" customHeight="1">
      <c r="A169" s="6"/>
      <c r="B169" t="s" s="32">
        <v>78</v>
      </c>
      <c r="C169" s="34">
        <v>6</v>
      </c>
      <c r="D169" t="s" s="32">
        <v>230</v>
      </c>
      <c r="E169" s="37">
        <v>85.336800034942</v>
      </c>
      <c r="F169" s="38">
        <v>318.833608803323</v>
      </c>
      <c r="G169" s="42">
        <v>2642.940054810720</v>
      </c>
      <c r="H169" s="34">
        <v>-50.0148383835747</v>
      </c>
      <c r="I169" s="6"/>
      <c r="J169" s="34">
        <v>1.02741797030147</v>
      </c>
      <c r="K169" s="6"/>
      <c r="L169" s="34" cm="1">
        <f t="array" ref="L169">E169*$J169</f>
        <v>87.6765618839225</v>
      </c>
      <c r="M169" s="34" cm="1">
        <f t="array" ref="M169">F169*$J169</f>
        <v>327.575379220603</v>
      </c>
      <c r="N169" s="34" cm="1">
        <f t="array" ref="N169">G169*$J169</f>
        <v>2715.404106742090</v>
      </c>
      <c r="O169" s="34" cm="1">
        <f t="array" ref="O169">H169*$J169</f>
        <v>-51.3861437370084</v>
      </c>
      <c r="P169" s="6"/>
      <c r="Q169" s="34">
        <v>201.5522</v>
      </c>
      <c r="R169" s="34" cm="1">
        <f t="array" ref="R169">Q169/1000</f>
        <v>0.2015522</v>
      </c>
      <c r="S169" s="6"/>
      <c r="T169" s="34" cm="1">
        <f t="array" ref="T169">$R169*L169</f>
        <v>17.6714039361407</v>
      </c>
      <c r="U169" s="34" cm="1">
        <f t="array" ref="U169">$R169*M169</f>
        <v>66.02353834774679</v>
      </c>
      <c r="V169" s="34" cm="1">
        <f t="array" ref="V169">$R169*N169</f>
        <v>547.295671602903</v>
      </c>
      <c r="W169" s="34" cm="1">
        <f t="array" ref="W169">$R169*O169</f>
        <v>-10.3569903197103</v>
      </c>
      <c r="X169" s="6"/>
      <c r="Y169" s="34" cm="1">
        <f t="array" ref="Y169">T169-Y$174-Y$3</f>
        <v>17.8102044604459</v>
      </c>
      <c r="Z169" s="34" cm="1">
        <f t="array" ref="Z169">U169-Z$174-Z$3</f>
        <v>66.022603009430</v>
      </c>
      <c r="AA169" s="34" cm="1">
        <f t="array" ref="AA169">V169-AA$174-AA$3</f>
        <v>546.495018559846</v>
      </c>
      <c r="AB169" s="34" cm="1">
        <f t="array" ref="AB169">W169-AB$174-AB$3</f>
        <v>-11.7096793745086</v>
      </c>
      <c r="AC169" s="6"/>
      <c r="AD169" s="41">
        <v>4.4682</v>
      </c>
      <c r="AE169" s="35"/>
      <c r="AF169" s="41" cm="1">
        <f t="array" ref="AF169">Y169/$AD169</f>
        <v>3.98599088233425</v>
      </c>
      <c r="AG169" s="41" cm="1">
        <f t="array" ref="AG169">Z169/$AD169</f>
        <v>14.7761073831588</v>
      </c>
      <c r="AH169" s="41" cm="1">
        <f t="array" ref="AH169">AA169/$AD169</f>
        <v>122.307644814432</v>
      </c>
      <c r="AI169" s="41" cm="1">
        <f t="array" ref="AI169">AB169/$AD169</f>
        <v>-2.62067037610416</v>
      </c>
    </row>
    <row r="170" ht="17" customHeight="1">
      <c r="A170" s="6"/>
      <c r="B170" t="s" s="32">
        <v>80</v>
      </c>
      <c r="C170" s="34">
        <v>6</v>
      </c>
      <c r="D170" t="s" s="32">
        <v>231</v>
      </c>
      <c r="E170" s="37">
        <v>6.73670301622375</v>
      </c>
      <c r="F170" s="38">
        <v>381.127399923581</v>
      </c>
      <c r="G170" s="39">
        <v>2000.124376234280</v>
      </c>
      <c r="H170" s="40">
        <v>-49.0150735616793</v>
      </c>
      <c r="I170" s="6"/>
      <c r="J170" s="34">
        <v>1.02559699915469</v>
      </c>
      <c r="K170" s="6"/>
      <c r="L170" s="34" cm="1">
        <f t="array" ref="L170">E170*$J170</f>
        <v>6.90914239763543</v>
      </c>
      <c r="M170" s="34" cm="1">
        <f t="array" ref="M170">F170*$J170</f>
        <v>390.883117657254</v>
      </c>
      <c r="N170" s="34" cm="1">
        <f t="array" ref="N170">G170*$J170</f>
        <v>2051.321558202020</v>
      </c>
      <c r="O170" s="34" cm="1">
        <f t="array" ref="O170">H170*$J170</f>
        <v>-50.2697123582047</v>
      </c>
      <c r="P170" s="6"/>
      <c r="Q170" s="34">
        <v>203.913</v>
      </c>
      <c r="R170" s="34" cm="1">
        <f t="array" ref="R170">Q170/1000</f>
        <v>0.203913</v>
      </c>
      <c r="S170" s="6"/>
      <c r="T170" s="34" cm="1">
        <f t="array" ref="T170">$R170*L170</f>
        <v>1.40886395372903</v>
      </c>
      <c r="U170" s="34" cm="1">
        <f t="array" ref="U170">$R170*M170</f>
        <v>79.7061491708436</v>
      </c>
      <c r="V170" s="34" cm="1">
        <f t="array" ref="V170">$R170*N170</f>
        <v>418.291132897649</v>
      </c>
      <c r="W170" s="34" cm="1">
        <f t="array" ref="W170">$R170*O170</f>
        <v>-10.2506478560986</v>
      </c>
      <c r="X170" s="6"/>
      <c r="Y170" s="34" cm="1">
        <f t="array" ref="Y170">T170-Y$174-Y$3</f>
        <v>1.54766447803423</v>
      </c>
      <c r="Z170" s="34" cm="1">
        <f t="array" ref="Z170">U170-Z$174-Z$3</f>
        <v>79.70521383252679</v>
      </c>
      <c r="AA170" s="34" cm="1">
        <f t="array" ref="AA170">V170-AA$174-AA$3</f>
        <v>417.490479854592</v>
      </c>
      <c r="AB170" s="34" cm="1">
        <f t="array" ref="AB170">W170-AB$174-AB$3</f>
        <v>-11.6033369108969</v>
      </c>
      <c r="AC170" s="6"/>
      <c r="AD170" s="41">
        <v>4.2026</v>
      </c>
      <c r="AE170" s="35"/>
      <c r="AF170" s="41" cm="1">
        <f t="array" ref="AF170">Y170/$AD170</f>
        <v>0.368263569703096</v>
      </c>
      <c r="AG170" s="41" cm="1">
        <f t="array" ref="AG170">Z170/$AD170</f>
        <v>18.9656911989071</v>
      </c>
      <c r="AH170" s="41" cm="1">
        <f t="array" ref="AH170">AA170/$AD170</f>
        <v>99.34099839494409</v>
      </c>
      <c r="AI170" s="41" cm="1">
        <f t="array" ref="AI170">AB170/$AD170</f>
        <v>-2.76099008016392</v>
      </c>
    </row>
    <row r="171" ht="17" customHeight="1">
      <c r="A171" s="6"/>
      <c r="B171" t="s" s="32">
        <v>82</v>
      </c>
      <c r="C171" s="34">
        <v>6</v>
      </c>
      <c r="D171" t="s" s="32">
        <v>232</v>
      </c>
      <c r="E171" s="37">
        <v>143.483273088677</v>
      </c>
      <c r="F171" s="61">
        <v>0.00444367741622345</v>
      </c>
      <c r="G171" s="42">
        <v>7.16695073620702</v>
      </c>
      <c r="H171" s="34">
        <v>455.275914181716</v>
      </c>
      <c r="I171" s="6"/>
      <c r="J171" s="34">
        <v>1.03960728684486</v>
      </c>
      <c r="K171" s="6"/>
      <c r="L171" s="34" cm="1">
        <f t="array" ref="L171">E171*$J171</f>
        <v>149.166256243340</v>
      </c>
      <c r="M171" s="34" cm="1">
        <f t="array" ref="M171">F171*$J171</f>
        <v>0.00461967942229384</v>
      </c>
      <c r="N171" s="34" cm="1">
        <f t="array" ref="N171">G171*$J171</f>
        <v>7.45081420981895</v>
      </c>
      <c r="O171" s="34" cm="1">
        <f t="array" ref="O171">H171*$J171</f>
        <v>473.308157908267</v>
      </c>
      <c r="P171" s="6"/>
      <c r="Q171" s="34">
        <v>202.6106</v>
      </c>
      <c r="R171" s="34" cm="1">
        <f t="array" ref="R171">Q171/1000</f>
        <v>0.2026106</v>
      </c>
      <c r="S171" s="6"/>
      <c r="T171" s="34" cm="1">
        <f t="array" ref="T171">$R171*L171</f>
        <v>30.2226646772169</v>
      </c>
      <c r="U171" s="34" cm="1">
        <f t="array" ref="U171">$R171*M171</f>
        <v>0.000935996019558608</v>
      </c>
      <c r="V171" s="34" cm="1">
        <f t="array" ref="V171">$R171*N171</f>
        <v>1.50961393753994</v>
      </c>
      <c r="W171" s="34" cm="1">
        <f t="array" ref="W171">$R171*O171</f>
        <v>95.8972498586887</v>
      </c>
      <c r="X171" s="6"/>
      <c r="Y171" s="34" cm="1">
        <f t="array" ref="Y171">T171-Y$174-Y$3</f>
        <v>30.3614652015221</v>
      </c>
      <c r="Z171" s="34" cm="1">
        <f t="array" ref="Z171">U171-Z$174-Z$3</f>
        <v>6.577027222829999e-07</v>
      </c>
      <c r="AA171" s="34" cm="1">
        <f t="array" ref="AA171">V171-AA$174-AA$3</f>
        <v>0.708960894482749</v>
      </c>
      <c r="AB171" s="34" cm="1">
        <f t="array" ref="AB171">W171-AB$174-AB$3</f>
        <v>94.54456080389041</v>
      </c>
      <c r="AC171" s="6"/>
      <c r="AD171" s="41">
        <v>3.154</v>
      </c>
      <c r="AE171" s="35"/>
      <c r="AF171" s="41" cm="1">
        <f t="array" ref="AF171">Y171/$AD171</f>
        <v>9.62633646211861</v>
      </c>
      <c r="AG171" s="41" cm="1">
        <f t="array" ref="AG171">Z171/$AD171</f>
        <v>2.08529715371909e-07</v>
      </c>
      <c r="AH171" s="41" cm="1">
        <f t="array" ref="AH171">AA171/$AD171</f>
        <v>0.224781513786541</v>
      </c>
      <c r="AI171" s="41" cm="1">
        <f t="array" ref="AI171">AB171/$AD171</f>
        <v>29.976081421652</v>
      </c>
    </row>
    <row r="172" ht="17" customHeight="1">
      <c r="A172" s="6"/>
      <c r="B172" t="s" s="32">
        <v>84</v>
      </c>
      <c r="C172" s="34">
        <v>6</v>
      </c>
      <c r="D172" t="s" s="32">
        <v>233</v>
      </c>
      <c r="E172" s="37">
        <v>228.693484962798</v>
      </c>
      <c r="F172" s="61">
        <v>0.00444367741622345</v>
      </c>
      <c r="G172" s="39">
        <v>7.92981318672604</v>
      </c>
      <c r="H172" s="40">
        <v>318.928589331075</v>
      </c>
      <c r="I172" s="6"/>
      <c r="J172" s="34">
        <v>1.03278738805055</v>
      </c>
      <c r="K172" s="6"/>
      <c r="L172" s="34" cm="1">
        <f t="array" ref="L172">E172*$J172</f>
        <v>236.191746998906</v>
      </c>
      <c r="M172" s="34" cm="1">
        <f t="array" ref="M172">F172*$J172</f>
        <v>0.00458937399204063</v>
      </c>
      <c r="N172" s="34" cm="1">
        <f t="array" ref="N172">G172*$J172</f>
        <v>8.1898110488476</v>
      </c>
      <c r="O172" s="34" cm="1">
        <f t="array" ref="O172">H172*$J172</f>
        <v>329.385424749887</v>
      </c>
      <c r="P172" s="6"/>
      <c r="Q172" s="34">
        <v>203.6638</v>
      </c>
      <c r="R172" s="34" cm="1">
        <f t="array" ref="R172">Q172/1000</f>
        <v>0.2036638</v>
      </c>
      <c r="S172" s="6"/>
      <c r="T172" s="34" cm="1">
        <f t="array" ref="T172">$R172*L172</f>
        <v>48.1037087224358</v>
      </c>
      <c r="U172" s="34" cm="1">
        <f t="array" ref="U172">$R172*M172</f>
        <v>0.000934689346840164</v>
      </c>
      <c r="V172" s="34" cm="1">
        <f t="array" ref="V172">$R172*N172</f>
        <v>1.66796803949029</v>
      </c>
      <c r="W172" s="34" cm="1">
        <f t="array" ref="W172">$R172*O172</f>
        <v>67.083887269176</v>
      </c>
      <c r="X172" s="6"/>
      <c r="Y172" s="34" cm="1">
        <f t="array" ref="Y172">T172-Y$174-Y$3</f>
        <v>48.242509246741</v>
      </c>
      <c r="Z172" s="34" cm="1">
        <f t="array" ref="Z172">U172-Z$174-Z$3</f>
        <v>-6.48969996161e-07</v>
      </c>
      <c r="AA172" s="34" cm="1">
        <f t="array" ref="AA172">V172-AA$174-AA$3</f>
        <v>0.867314996433099</v>
      </c>
      <c r="AB172" s="34" cm="1">
        <f t="array" ref="AB172">W172-AB$174-AB$3</f>
        <v>65.7311982143777</v>
      </c>
      <c r="AC172" s="6"/>
      <c r="AD172" s="41">
        <v>3.2482</v>
      </c>
      <c r="AE172" s="35"/>
      <c r="AF172" s="41" cm="1">
        <f t="array" ref="AF172">Y172/$AD172</f>
        <v>14.8520747634816</v>
      </c>
      <c r="AG172" s="41" cm="1">
        <f t="array" ref="AG172">Z172/$AD172</f>
        <v>-1.99793730731174e-07</v>
      </c>
      <c r="AH172" s="41" cm="1">
        <f t="array" ref="AH172">AA172/$AD172</f>
        <v>0.267014037446308</v>
      </c>
      <c r="AI172" s="41" cm="1">
        <f t="array" ref="AI172">AB172/$AD172</f>
        <v>20.2361918029609</v>
      </c>
    </row>
    <row r="173" ht="17" customHeight="1">
      <c r="A173" s="6"/>
      <c r="B173" t="s" s="32">
        <v>86</v>
      </c>
      <c r="C173" s="34">
        <v>6</v>
      </c>
      <c r="D173" t="s" s="32">
        <v>234</v>
      </c>
      <c r="E173" s="37">
        <v>6.56466271756417</v>
      </c>
      <c r="F173" s="61">
        <v>0.00444367741622345</v>
      </c>
      <c r="G173" s="42">
        <v>7.61523670600171</v>
      </c>
      <c r="H173" s="34">
        <v>582.699230296079</v>
      </c>
      <c r="I173" s="6"/>
      <c r="J173" s="34">
        <v>1.03445901752212</v>
      </c>
      <c r="K173" s="6"/>
      <c r="L173" s="34" cm="1">
        <f t="array" ref="L173">E173*$J173</f>
        <v>6.79087454517552</v>
      </c>
      <c r="M173" s="34" cm="1">
        <f t="array" ref="M173">F173*$J173</f>
        <v>0.00459680217417174</v>
      </c>
      <c r="N173" s="34" cm="1">
        <f t="array" ref="N173">G173*$J173</f>
        <v>7.87765028108891</v>
      </c>
      <c r="O173" s="34" cm="1">
        <f t="array" ref="O173">H173*$J173</f>
        <v>602.778473282977</v>
      </c>
      <c r="P173" s="6"/>
      <c r="Q173" s="34">
        <v>203.7978</v>
      </c>
      <c r="R173" s="34" cm="1">
        <f t="array" ref="R173">Q173/1000</f>
        <v>0.2037978</v>
      </c>
      <c r="S173" s="6"/>
      <c r="T173" s="34" cm="1">
        <f t="array" ref="T173">$R173*L173</f>
        <v>1.38396529238277</v>
      </c>
      <c r="U173" s="34" cm="1">
        <f t="array" ref="U173">$R173*M173</f>
        <v>0.0009368181701314171</v>
      </c>
      <c r="V173" s="34" cm="1">
        <f t="array" ref="V173">$R173*N173</f>
        <v>1.6054477964553</v>
      </c>
      <c r="W173" s="34" cm="1">
        <f t="array" ref="W173">$R173*O173</f>
        <v>122.844926742429</v>
      </c>
      <c r="X173" s="6"/>
      <c r="Y173" s="34" cm="1">
        <f t="array" ref="Y173">T173-Y$174-Y$3</f>
        <v>1.52276581668797</v>
      </c>
      <c r="Z173" s="34" cm="1">
        <f t="array" ref="Z173">U173-Z$174-Z$3</f>
        <v>1.479853295092e-06</v>
      </c>
      <c r="AA173" s="34" cm="1">
        <f t="array" ref="AA173">V173-AA$174-AA$3</f>
        <v>0.804794753398109</v>
      </c>
      <c r="AB173" s="34" cm="1">
        <f t="array" ref="AB173">W173-AB$174-AB$3</f>
        <v>121.492237687631</v>
      </c>
      <c r="AC173" s="6"/>
      <c r="AD173" s="41">
        <v>1.5948</v>
      </c>
      <c r="AE173" s="35"/>
      <c r="AF173" s="41" cm="1">
        <f t="array" ref="AF173">Y173/$AD173</f>
        <v>0.954831838906427</v>
      </c>
      <c r="AG173" s="41" cm="1">
        <f t="array" ref="AG173">Z173/$AD173</f>
        <v>9.27924062636067e-07</v>
      </c>
      <c r="AH173" s="41" cm="1">
        <f t="array" ref="AH173">AA173/$AD173</f>
        <v>0.504636790442757</v>
      </c>
      <c r="AI173" s="41" cm="1">
        <f t="array" ref="AI173">AB173/$AD173</f>
        <v>76.1802343162973</v>
      </c>
    </row>
    <row r="174" ht="17" customHeight="1">
      <c r="A174" s="6"/>
      <c r="B174" t="s" s="32">
        <v>88</v>
      </c>
      <c r="C174" s="34">
        <v>6</v>
      </c>
      <c r="D174" t="s" s="32">
        <v>235</v>
      </c>
      <c r="E174" s="37">
        <v>-0.65942423624984</v>
      </c>
      <c r="F174" s="61">
        <v>0.00444367741622345</v>
      </c>
      <c r="G174" s="39">
        <v>3.80380422957313</v>
      </c>
      <c r="H174" s="40">
        <v>6.42645949148209</v>
      </c>
      <c r="I174" s="6"/>
      <c r="J174" s="34">
        <v>1.03311793214863</v>
      </c>
      <c r="K174" s="6"/>
      <c r="L174" s="34" cm="1">
        <f t="array" ref="L174">E174*$J174</f>
        <v>-0.681263003363124</v>
      </c>
      <c r="M174" s="34" cm="1">
        <f t="array" ref="M174">F174*$J174</f>
        <v>0.00459084282338434</v>
      </c>
      <c r="N174" s="34" cm="1">
        <f t="array" ref="N174">G174*$J174</f>
        <v>3.9297783599548</v>
      </c>
      <c r="O174" s="34" cm="1">
        <f t="array" ref="O174">H174*$J174</f>
        <v>6.63929054087691</v>
      </c>
      <c r="P174" s="6"/>
      <c r="Q174" s="34">
        <v>203.74</v>
      </c>
      <c r="R174" s="34" cm="1">
        <f t="array" ref="R174">Q174/1000</f>
        <v>0.20374</v>
      </c>
      <c r="S174" s="6"/>
      <c r="T174" s="34" cm="1">
        <f t="array" ref="T174">$R174*L174</f>
        <v>-0.138800524305203</v>
      </c>
      <c r="U174" s="34" cm="1">
        <f t="array" ref="U174">$R174*M174</f>
        <v>0.000935338316836325</v>
      </c>
      <c r="V174" s="34" cm="1">
        <f t="array" ref="V174">$R174*N174</f>
        <v>0.800653043057191</v>
      </c>
      <c r="W174" s="34" cm="1">
        <f t="array" ref="W174">$R174*O174</f>
        <v>1.35268905479826</v>
      </c>
      <c r="X174" s="6"/>
      <c r="Y174" s="34" cm="1">
        <f t="array" ref="Y174">AVERAGE(T174)</f>
        <v>-0.138800524305203</v>
      </c>
      <c r="Z174" s="34" cm="1">
        <f t="array" ref="Z174">AVERAGE(U174)</f>
        <v>0.000935338316836325</v>
      </c>
      <c r="AA174" s="34" cm="1">
        <f t="array" ref="AA174">AVERAGE(V174)</f>
        <v>0.800653043057191</v>
      </c>
      <c r="AB174" s="34" cm="1">
        <f t="array" ref="AB174">AVERAGE(W174)</f>
        <v>1.35268905479826</v>
      </c>
      <c r="AC174" s="6"/>
      <c r="AD174" s="35"/>
      <c r="AE174" s="35"/>
      <c r="AF174" s="35" cm="1">
        <f t="array" ref="AF174">Y174/$AD174</f>
      </c>
      <c r="AG174" s="35" cm="1">
        <f t="array" ref="AG174">Z174/$AD174</f>
      </c>
      <c r="AH174" s="35" cm="1">
        <f t="array" ref="AH174">AA174/$AD174</f>
      </c>
      <c r="AI174" s="35" cm="1">
        <f t="array" ref="AI174">AB174/$AD174</f>
      </c>
    </row>
    <row r="175" ht="17" customHeight="1">
      <c r="A175" s="6"/>
      <c r="B175" t="s" s="32">
        <v>90</v>
      </c>
      <c r="C175" s="34">
        <v>6</v>
      </c>
      <c r="D175" t="s" s="32">
        <v>236</v>
      </c>
      <c r="E175" s="37">
        <v>0.130557739078408</v>
      </c>
      <c r="F175" s="61">
        <v>0.00444367741622345</v>
      </c>
      <c r="G175" s="42">
        <v>3.07466042201641</v>
      </c>
      <c r="H175" s="34">
        <v>-3.33095585022518</v>
      </c>
      <c r="I175" s="6"/>
      <c r="J175" s="34">
        <v>1.03444873930553</v>
      </c>
      <c r="K175" s="6"/>
      <c r="L175" s="34" cm="1">
        <f t="array" ref="L175">E175*$J175</f>
        <v>0.135055288596239</v>
      </c>
      <c r="M175" s="34" cm="1">
        <f t="array" ref="M175">F175*$J175</f>
        <v>0.0045967565010928</v>
      </c>
      <c r="N175" s="34" cm="1">
        <f t="array" ref="N175">G175*$J175</f>
        <v>3.18057859734748</v>
      </c>
      <c r="O175" s="34" cm="1">
        <f t="array" ref="O175">H175*$J175</f>
        <v>-3.44570307994782</v>
      </c>
      <c r="P175" s="6"/>
      <c r="Q175" s="34">
        <v>203.94</v>
      </c>
      <c r="R175" s="34" cm="1">
        <f t="array" ref="R175">Q175/1000</f>
        <v>0.20394</v>
      </c>
      <c r="S175" s="6"/>
      <c r="T175" s="34" cm="1">
        <f t="array" ref="T175">$R175*L175</f>
        <v>0.027543175556317</v>
      </c>
      <c r="U175" s="34" cm="1">
        <f t="array" ref="U175">$R175*M175</f>
        <v>0.000937462520832866</v>
      </c>
      <c r="V175" s="34" cm="1">
        <f t="array" ref="V175">$R175*N175</f>
        <v>0.648647199143045</v>
      </c>
      <c r="W175" s="34" cm="1">
        <f t="array" ref="W175">$R175*O175</f>
        <v>-0.702716686124558</v>
      </c>
      <c r="X175" s="6"/>
      <c r="Y175" s="6"/>
      <c r="Z175" s="6"/>
      <c r="AA175" s="6"/>
      <c r="AB175" s="6"/>
      <c r="AC175" s="6"/>
      <c r="AD175" s="35"/>
      <c r="AE175" s="35"/>
      <c r="AF175" s="35" cm="1">
        <f t="array" ref="AF175">Y175/$AD175</f>
      </c>
      <c r="AG175" s="35" cm="1">
        <f t="array" ref="AG175">Z175/$AD175</f>
      </c>
      <c r="AH175" s="35" cm="1">
        <f t="array" ref="AH175">AA175/$AD175</f>
      </c>
      <c r="AI175" s="35" cm="1">
        <f t="array" ref="AI175">AB175/$AD175</f>
      </c>
    </row>
    <row r="176" ht="17" customHeight="1">
      <c r="A176" s="6"/>
      <c r="B176" t="s" s="8">
        <v>92</v>
      </c>
      <c r="C176" s="34">
        <v>6</v>
      </c>
      <c r="D176" t="s" s="32">
        <v>237</v>
      </c>
      <c r="E176" s="37">
        <v>-0.842437841625829</v>
      </c>
      <c r="F176" s="61">
        <v>0.00444367741622345</v>
      </c>
      <c r="G176" s="39">
        <v>5.13939413875743</v>
      </c>
      <c r="H176" s="40">
        <v>-3.14817897455805</v>
      </c>
      <c r="I176" s="6"/>
      <c r="J176" s="34">
        <v>1.03620497904012</v>
      </c>
      <c r="K176" s="6"/>
      <c r="L176" s="34" cm="1">
        <f t="array" ref="L176">E176*$J176</f>
        <v>-0.872938286024496</v>
      </c>
      <c r="M176" s="34" cm="1">
        <f t="array" ref="M176">F176*$J176</f>
        <v>0.00460456066393887</v>
      </c>
      <c r="N176" s="34" cm="1">
        <f t="array" ref="N176">G176*$J176</f>
        <v>5.32546579583006</v>
      </c>
      <c r="O176" s="34" cm="1">
        <f t="array" ref="O176">H176*$J176</f>
        <v>-3.26215872834647</v>
      </c>
      <c r="P176" s="6"/>
      <c r="Q176" s="34">
        <v>203.93</v>
      </c>
      <c r="R176" s="34" cm="1">
        <f t="array" ref="R176">Q176/1000</f>
        <v>0.20393</v>
      </c>
      <c r="S176" s="6"/>
      <c r="T176" s="34" cm="1">
        <f t="array" ref="T176">$R176*L176</f>
        <v>-0.178018304668975</v>
      </c>
      <c r="U176" s="34" cm="1">
        <f t="array" ref="U176">$R176*M176</f>
        <v>0.000939008056197054</v>
      </c>
      <c r="V176" s="34" cm="1">
        <f t="array" ref="V176">$R176*N176</f>
        <v>1.08602223974362</v>
      </c>
      <c r="W176" s="34" cm="1">
        <f t="array" ref="W176">$R176*O176</f>
        <v>-0.665252029471696</v>
      </c>
      <c r="X176" s="6"/>
      <c r="Y176" s="6"/>
      <c r="Z176" s="6"/>
      <c r="AA176" s="6"/>
      <c r="AB176" s="6"/>
      <c r="AC176" s="6"/>
      <c r="AD176" s="35"/>
      <c r="AE176" s="35"/>
      <c r="AF176" s="35" cm="1">
        <f t="array" ref="AF176">Y176/$AD176</f>
      </c>
      <c r="AG176" s="35" cm="1">
        <f t="array" ref="AG176">Z176/$AD176</f>
      </c>
      <c r="AH176" s="35" cm="1">
        <f t="array" ref="AH176">AA176/$AD176</f>
      </c>
      <c r="AI176" s="35" cm="1">
        <f t="array" ref="AI176">AB176/$AD176</f>
      </c>
    </row>
    <row r="177" ht="17" customHeight="1">
      <c r="A177" s="6"/>
      <c r="B177" t="s" s="25">
        <v>94</v>
      </c>
      <c r="C177" s="34">
        <v>6</v>
      </c>
      <c r="D177" t="s" s="32">
        <v>238</v>
      </c>
      <c r="E177" s="37">
        <v>24.9130136629237</v>
      </c>
      <c r="F177" s="38">
        <v>1236.494293499330</v>
      </c>
      <c r="G177" s="39">
        <v>50221.0372445359</v>
      </c>
      <c r="H177" s="40">
        <v>92.4296446739434</v>
      </c>
      <c r="I177" s="6"/>
      <c r="J177" s="34">
        <v>1.0205490401244</v>
      </c>
      <c r="K177" s="6"/>
      <c r="L177" s="34" cm="1">
        <f t="array" ref="L177">E177*$J177</f>
        <v>25.4249521803028</v>
      </c>
      <c r="M177" s="34" cm="1">
        <f t="array" ref="M177">F177*$J177</f>
        <v>1261.903064350040</v>
      </c>
      <c r="N177" s="34" cm="1">
        <f t="array" ref="N177">G177*$J177</f>
        <v>51253.0313539629</v>
      </c>
      <c r="O177" s="34" cm="1">
        <f t="array" ref="O177">H177*$J177</f>
        <v>94.3289851510323</v>
      </c>
      <c r="P177" s="6"/>
      <c r="Q177" s="34">
        <v>204.347</v>
      </c>
      <c r="R177" s="34" cm="1">
        <f t="array" ref="R177">Q177/1000</f>
        <v>0.204347</v>
      </c>
      <c r="S177" s="6"/>
      <c r="T177" s="34" cm="1">
        <f t="array" ref="T177">$R177*L177</f>
        <v>5.19551270318834</v>
      </c>
      <c r="U177" s="34" cm="1">
        <f t="array" ref="U177">$R177*M177</f>
        <v>257.866105490738</v>
      </c>
      <c r="V177" s="34" cm="1">
        <f t="array" ref="V177">$R177*N177</f>
        <v>10473.4031980883</v>
      </c>
      <c r="W177" s="34" cm="1">
        <f t="array" ref="W177">$R177*O177</f>
        <v>19.275845128658</v>
      </c>
      <c r="X177" s="6"/>
      <c r="Y177" s="34" cm="1">
        <f t="array" ref="Y177">T177-Y$183-Y$3</f>
        <v>5.14642180414042</v>
      </c>
      <c r="Z177" s="34" cm="1">
        <f t="array" ref="Z177">U177-Z$183-Z$3</f>
        <v>257.841120026335</v>
      </c>
      <c r="AA177" s="34" cm="1">
        <f t="array" ref="AA177">V177-AA$183-AA$3</f>
        <v>10472.8456909341</v>
      </c>
      <c r="AB177" s="34" cm="1">
        <f t="array" ref="AB177">W177-AB$183-AB$3</f>
        <v>19.0713290218884</v>
      </c>
      <c r="AC177" s="6"/>
      <c r="AD177" s="41">
        <v>4.3192</v>
      </c>
      <c r="AE177" s="35"/>
      <c r="AF177" s="41" cm="1">
        <f t="array" ref="AF177">Y177/$AD177</f>
        <v>1.19152199577246</v>
      </c>
      <c r="AG177" s="41" cm="1">
        <f t="array" ref="AG177">Z177/$AD177</f>
        <v>59.696499357829</v>
      </c>
      <c r="AH177" s="41" cm="1">
        <f t="array" ref="AH177">AA177/$AD177</f>
        <v>2424.718857875090</v>
      </c>
      <c r="AI177" s="41" cm="1">
        <f t="array" ref="AI177">AB177/$AD177</f>
        <v>4.41547717676616</v>
      </c>
    </row>
    <row r="178" ht="17" customHeight="1">
      <c r="A178" s="6"/>
      <c r="B178" t="s" s="32">
        <v>96</v>
      </c>
      <c r="C178" s="34">
        <v>6</v>
      </c>
      <c r="D178" t="s" s="32">
        <v>239</v>
      </c>
      <c r="E178" s="37">
        <v>13.9804087898016</v>
      </c>
      <c r="F178" s="38">
        <v>1289.114858171930</v>
      </c>
      <c r="G178" s="42">
        <v>49177.2211954435</v>
      </c>
      <c r="H178" s="34">
        <v>238.231568282763</v>
      </c>
      <c r="I178" s="6"/>
      <c r="J178" s="34">
        <v>1.02934354455745</v>
      </c>
      <c r="K178" s="6"/>
      <c r="L178" s="34" cm="1">
        <f t="array" ref="L178">E178*$J178</f>
        <v>14.3906435380565</v>
      </c>
      <c r="M178" s="34" cm="1">
        <f t="array" ref="M178">F178*$J178</f>
        <v>1326.942057452370</v>
      </c>
      <c r="N178" s="34" cm="1">
        <f t="array" ref="N178">G178*$J178</f>
        <v>50620.2551768036</v>
      </c>
      <c r="O178" s="34" cm="1">
        <f t="array" ref="O178">H178*$J178</f>
        <v>245.222126921659</v>
      </c>
      <c r="P178" s="6"/>
      <c r="Q178" s="34">
        <v>206.2386</v>
      </c>
      <c r="R178" s="34" cm="1">
        <f t="array" ref="R178">Q178/1000</f>
        <v>0.2062386</v>
      </c>
      <c r="S178" s="6"/>
      <c r="T178" s="34" cm="1">
        <f t="array" ref="T178">$R178*L178</f>
        <v>2.96790617638782</v>
      </c>
      <c r="U178" s="34" cm="1">
        <f t="array" ref="U178">$R178*M178</f>
        <v>273.666672210096</v>
      </c>
      <c r="V178" s="34" cm="1">
        <f t="array" ref="V178">$R178*N178</f>
        <v>10439.8505593067</v>
      </c>
      <c r="W178" s="34" cm="1">
        <f t="array" ref="W178">$R178*O178</f>
        <v>50.5742681453453</v>
      </c>
      <c r="X178" s="6"/>
      <c r="Y178" s="34" cm="1">
        <f t="array" ref="Y178">T178-Y$183-Y$3</f>
        <v>2.9188152773399</v>
      </c>
      <c r="Z178" s="34" cm="1">
        <f t="array" ref="Z178">U178-Z$183-Z$3</f>
        <v>273.641686745693</v>
      </c>
      <c r="AA178" s="34" cm="1">
        <f t="array" ref="AA178">V178-AA$183-AA$3</f>
        <v>10439.2930521525</v>
      </c>
      <c r="AB178" s="34" cm="1">
        <f t="array" ref="AB178">W178-AB$183-AB$3</f>
        <v>50.3697520385757</v>
      </c>
      <c r="AC178" s="6"/>
      <c r="AD178" s="41">
        <v>4.3818</v>
      </c>
      <c r="AE178" s="35"/>
      <c r="AF178" s="41" cm="1">
        <f t="array" ref="AF178">Y178/$AD178</f>
        <v>0.666122433095965</v>
      </c>
      <c r="AG178" s="41" cm="1">
        <f t="array" ref="AG178">Z178/$AD178</f>
        <v>62.4496067245636</v>
      </c>
      <c r="AH178" s="41" cm="1">
        <f t="array" ref="AH178">AA178/$AD178</f>
        <v>2382.421163027180</v>
      </c>
      <c r="AI178" s="41" cm="1">
        <f t="array" ref="AI178">AB178/$AD178</f>
        <v>11.4952193250663</v>
      </c>
    </row>
    <row r="179" ht="17" customHeight="1">
      <c r="A179" s="6"/>
      <c r="B179" t="s" s="32">
        <v>98</v>
      </c>
      <c r="C179" s="34">
        <v>6</v>
      </c>
      <c r="D179" t="s" s="32">
        <v>240</v>
      </c>
      <c r="E179" s="37">
        <v>15.8043434135604</v>
      </c>
      <c r="F179" s="38">
        <v>1385.391686103730</v>
      </c>
      <c r="G179" s="39">
        <v>49096.9378984692</v>
      </c>
      <c r="H179" s="40">
        <v>222.686367567855</v>
      </c>
      <c r="I179" s="6"/>
      <c r="J179" s="34">
        <v>1.03508281845668</v>
      </c>
      <c r="K179" s="6"/>
      <c r="L179" s="34" cm="1">
        <f t="array" ref="L179">E179*$J179</f>
        <v>16.3588043243654</v>
      </c>
      <c r="M179" s="34" cm="1">
        <f t="array" ref="M179">F179*$J179</f>
        <v>1433.9951311187</v>
      </c>
      <c r="N179" s="34" cm="1">
        <f t="array" ref="N179">G179*$J179</f>
        <v>50819.3968575401</v>
      </c>
      <c r="O179" s="34" cm="1">
        <f t="array" ref="O179">H179*$J179</f>
        <v>230.498832974016</v>
      </c>
      <c r="P179" s="6"/>
      <c r="Q179" s="34">
        <v>196.16</v>
      </c>
      <c r="R179" s="34" cm="1">
        <f t="array" ref="R179">Q179/1000</f>
        <v>0.19616</v>
      </c>
      <c r="S179" s="6"/>
      <c r="T179" s="34" cm="1">
        <f t="array" ref="T179">$R179*L179</f>
        <v>3.20894305626752</v>
      </c>
      <c r="U179" s="34" cm="1">
        <f t="array" ref="U179">$R179*M179</f>
        <v>281.292484920244</v>
      </c>
      <c r="V179" s="34" cm="1">
        <f t="array" ref="V179">$R179*N179</f>
        <v>9968.732887575070</v>
      </c>
      <c r="W179" s="34" cm="1">
        <f t="array" ref="W179">$R179*O179</f>
        <v>45.214651076183</v>
      </c>
      <c r="X179" s="6"/>
      <c r="Y179" s="34" cm="1">
        <f t="array" ref="Y179">T179-Y$183-Y$3</f>
        <v>3.1598521572196</v>
      </c>
      <c r="Z179" s="34" cm="1">
        <f t="array" ref="Z179">U179-Z$183-Z$3</f>
        <v>281.267499455841</v>
      </c>
      <c r="AA179" s="34" cm="1">
        <f t="array" ref="AA179">V179-AA$183-AA$3</f>
        <v>9968.175380420849</v>
      </c>
      <c r="AB179" s="34" cm="1">
        <f t="array" ref="AB179">W179-AB$183-AB$3</f>
        <v>45.0101349694134</v>
      </c>
      <c r="AC179" s="6"/>
      <c r="AD179" s="41">
        <v>4.3392</v>
      </c>
      <c r="AE179" s="35"/>
      <c r="AF179" s="41" cm="1">
        <f t="array" ref="AF179">Y179/$AD179</f>
        <v>0.728210766320889</v>
      </c>
      <c r="AG179" s="41" cm="1">
        <f t="array" ref="AG179">Z179/$AD179</f>
        <v>64.8201280088129</v>
      </c>
      <c r="AH179" s="41" cm="1">
        <f t="array" ref="AH179">AA179/$AD179</f>
        <v>2297.238057803480</v>
      </c>
      <c r="AI179" s="41" cm="1">
        <f t="array" ref="AI179">AB179/$AD179</f>
        <v>10.3729108981871</v>
      </c>
    </row>
    <row r="180" ht="17" customHeight="1">
      <c r="A180" s="6"/>
      <c r="B180" t="s" s="32">
        <v>100</v>
      </c>
      <c r="C180" s="34">
        <v>6</v>
      </c>
      <c r="D180" t="s" s="32">
        <v>241</v>
      </c>
      <c r="E180" s="37">
        <v>3.7858087352399</v>
      </c>
      <c r="F180" s="43">
        <v>0.146117699282796</v>
      </c>
      <c r="G180" s="39">
        <v>2.93334441334838</v>
      </c>
      <c r="H180" s="40">
        <v>1216.451324492770</v>
      </c>
      <c r="I180" s="6"/>
      <c r="J180" s="34">
        <v>1.03530285525664</v>
      </c>
      <c r="K180" s="6"/>
      <c r="L180" s="34" cm="1">
        <f t="array" ref="L180">E180*$J180</f>
        <v>3.9194585930494</v>
      </c>
      <c r="M180" s="34" cm="1">
        <f t="array" ref="M180">F180*$J180</f>
        <v>0.15127607127101</v>
      </c>
      <c r="N180" s="34" cm="1">
        <f t="array" ref="N180">G180*$J180</f>
        <v>3.03689984659069</v>
      </c>
      <c r="O180" s="34" cm="1">
        <f t="array" ref="O180">H180*$J180</f>
        <v>1259.395529528090</v>
      </c>
      <c r="P180" s="6"/>
      <c r="Q180" s="34">
        <v>205.0154</v>
      </c>
      <c r="R180" s="34" cm="1">
        <f t="array" ref="R180">Q180/1000</f>
        <v>0.2050154</v>
      </c>
      <c r="S180" s="6"/>
      <c r="T180" s="34" cm="1">
        <f t="array" ref="T180">$R180*L180</f>
        <v>0.80354937123746</v>
      </c>
      <c r="U180" s="34" cm="1">
        <f t="array" ref="U180">$R180*M180</f>
        <v>0.0310139242620546</v>
      </c>
      <c r="V180" s="34" cm="1">
        <f t="array" ref="V180">$R180*N180</f>
        <v>0.622611236808729</v>
      </c>
      <c r="W180" s="34" cm="1">
        <f t="array" ref="W180">$R180*O180</f>
        <v>258.195478244413</v>
      </c>
      <c r="X180" s="6"/>
      <c r="Y180" s="34" cm="1">
        <f t="array" ref="Y180">T180-Y$183-Y$3</f>
        <v>0.754458472189539</v>
      </c>
      <c r="Z180" s="34" cm="1">
        <f t="array" ref="Z180">U180-Z$183-Z$3</f>
        <v>0.0060284598594587</v>
      </c>
      <c r="AA180" s="34" cm="1">
        <f t="array" ref="AA180">V180-AA$183-AA$3</f>
        <v>0.065104082590333</v>
      </c>
      <c r="AB180" s="34" cm="1">
        <f t="array" ref="AB180">W180-AB$183-AB$3</f>
        <v>257.990962137643</v>
      </c>
      <c r="AC180" s="6"/>
      <c r="AD180" s="41">
        <v>3.1138</v>
      </c>
      <c r="AE180" s="35"/>
      <c r="AF180" s="41" cm="1">
        <f t="array" ref="AF180">Y180/$AD180</f>
        <v>0.242295096727323</v>
      </c>
      <c r="AG180" s="41" cm="1">
        <f t="array" ref="AG180">Z180/$AD180</f>
        <v>0.00193604594368897</v>
      </c>
      <c r="AH180" s="41" cm="1">
        <f t="array" ref="AH180">AA180/$AD180</f>
        <v>0.0209082415666815</v>
      </c>
      <c r="AI180" s="41" cm="1">
        <f t="array" ref="AI180">AB180/$AD180</f>
        <v>82.8540568237019</v>
      </c>
    </row>
    <row r="181" ht="17" customHeight="1">
      <c r="A181" s="6"/>
      <c r="B181" t="s" s="32">
        <v>102</v>
      </c>
      <c r="C181" s="34">
        <v>6</v>
      </c>
      <c r="D181" t="s" s="32">
        <v>242</v>
      </c>
      <c r="E181" s="37">
        <v>1.47551140868422</v>
      </c>
      <c r="F181" s="43">
        <v>0.146117699282796</v>
      </c>
      <c r="G181" s="42">
        <v>1.44126776314864</v>
      </c>
      <c r="H181" s="34">
        <v>1015.507340902960</v>
      </c>
      <c r="I181" s="6"/>
      <c r="J181" s="34">
        <v>1.03330887976649</v>
      </c>
      <c r="K181" s="6"/>
      <c r="L181" s="34" cm="1">
        <f t="array" ref="L181">E181*$J181</f>
        <v>1.52465904079017</v>
      </c>
      <c r="M181" s="34" cm="1">
        <f t="array" ref="M181">F181*$J181</f>
        <v>0.150984716159963</v>
      </c>
      <c r="N181" s="34" cm="1">
        <f t="array" ref="N181">G181*$J181</f>
        <v>1.48927477778268</v>
      </c>
      <c r="O181" s="34" cm="1">
        <f t="array" ref="O181">H181*$J181</f>
        <v>1049.332752823080</v>
      </c>
      <c r="P181" s="6"/>
      <c r="Q181" s="34">
        <v>204.2374</v>
      </c>
      <c r="R181" s="34" cm="1">
        <f t="array" ref="R181">Q181/1000</f>
        <v>0.2042374</v>
      </c>
      <c r="S181" s="6"/>
      <c r="T181" s="34" cm="1">
        <f t="array" ref="T181">$R181*L181</f>
        <v>0.311392398377478</v>
      </c>
      <c r="U181" s="34" cm="1">
        <f t="array" ref="U181">$R181*M181</f>
        <v>0.0308367258682488</v>
      </c>
      <c r="V181" s="34" cm="1">
        <f t="array" ref="V181">$R181*N181</f>
        <v>0.304165608499912</v>
      </c>
      <c r="W181" s="34" cm="1">
        <f t="array" ref="W181">$R181*O181</f>
        <v>214.312993171429</v>
      </c>
      <c r="X181" s="6"/>
      <c r="Y181" s="34" cm="1">
        <f t="array" ref="Y181">T181-Y$183-Y$3</f>
        <v>0.262301499329557</v>
      </c>
      <c r="Z181" s="34" cm="1">
        <f t="array" ref="Z181">U181-Z$183-Z$3</f>
        <v>0.0058512614656529</v>
      </c>
      <c r="AA181" s="34" cm="1">
        <f t="array" ref="AA181">V181-AA$183-AA$3</f>
        <v>-0.253341545718484</v>
      </c>
      <c r="AB181" s="34" cm="1">
        <f t="array" ref="AB181">W181-AB$183-AB$3</f>
        <v>214.108477064659</v>
      </c>
      <c r="AC181" s="6"/>
      <c r="AD181" s="41">
        <v>3.4294</v>
      </c>
      <c r="AE181" s="35"/>
      <c r="AF181" s="41" cm="1">
        <f t="array" ref="AF181">Y181/$AD181</f>
        <v>0.0764861198254963</v>
      </c>
      <c r="AG181" s="41" cm="1">
        <f t="array" ref="AG181">Z181/$AD181</f>
        <v>0.00170620559446343</v>
      </c>
      <c r="AH181" s="41" cm="1">
        <f t="array" ref="AH181">AA181/$AD181</f>
        <v>-0.0738734314219642</v>
      </c>
      <c r="AI181" s="41" cm="1">
        <f t="array" ref="AI181">AB181/$AD181</f>
        <v>62.4332177828947</v>
      </c>
    </row>
    <row r="182" ht="17" customHeight="1">
      <c r="A182" s="6"/>
      <c r="B182" t="s" s="32">
        <v>104</v>
      </c>
      <c r="C182" s="34">
        <v>6</v>
      </c>
      <c r="D182" t="s" s="32">
        <v>243</v>
      </c>
      <c r="E182" s="37">
        <v>2.36030771172955</v>
      </c>
      <c r="F182" s="43">
        <v>0.146117699282796</v>
      </c>
      <c r="G182" s="39">
        <v>1.21835391492982</v>
      </c>
      <c r="H182" s="40">
        <v>1339.534727464280</v>
      </c>
      <c r="I182" s="6"/>
      <c r="J182" s="34">
        <v>1.03129899626346</v>
      </c>
      <c r="K182" s="6"/>
      <c r="L182" s="34" cm="1">
        <f t="array" ref="L182">E182*$J182</f>
        <v>2.43418297397959</v>
      </c>
      <c r="M182" s="34" cm="1">
        <f t="array" ref="M182">F182*$J182</f>
        <v>0.150691036606674</v>
      </c>
      <c r="N182" s="34" cm="1">
        <f t="array" ref="N182">G182*$J182</f>
        <v>1.25648716956078</v>
      </c>
      <c r="O182" s="34" cm="1">
        <f t="array" ref="O182">H182*$J182</f>
        <v>1381.460819893960</v>
      </c>
      <c r="P182" s="6"/>
      <c r="Q182" s="34">
        <v>205.7604</v>
      </c>
      <c r="R182" s="34" cm="1">
        <f t="array" ref="R182">Q182/1000</f>
        <v>0.2057604</v>
      </c>
      <c r="S182" s="6"/>
      <c r="T182" s="34" cm="1">
        <f t="array" ref="T182">$R182*L182</f>
        <v>0.50085846239923</v>
      </c>
      <c r="U182" s="34" cm="1">
        <f t="array" ref="U182">$R182*M182</f>
        <v>0.0310062479686039</v>
      </c>
      <c r="V182" s="34" cm="1">
        <f t="array" ref="V182">$R182*N182</f>
        <v>0.258535302603694</v>
      </c>
      <c r="W182" s="34" cm="1">
        <f t="array" ref="W182">$R182*O182</f>
        <v>284.249930885709</v>
      </c>
      <c r="X182" s="6"/>
      <c r="Y182" s="34" cm="1">
        <f t="array" ref="Y182">T182-Y$183-Y$3</f>
        <v>0.451767563351309</v>
      </c>
      <c r="Z182" s="34" cm="1">
        <f t="array" ref="Z182">U182-Z$183-Z$3</f>
        <v>0.006020783566008</v>
      </c>
      <c r="AA182" s="34" cm="1">
        <f t="array" ref="AA182">V182-AA$183-AA$3</f>
        <v>-0.298971851614702</v>
      </c>
      <c r="AB182" s="34" cm="1">
        <f t="array" ref="AB182">W182-AB$183-AB$3</f>
        <v>284.045414778939</v>
      </c>
      <c r="AC182" s="6"/>
      <c r="AD182" s="41">
        <v>1.489</v>
      </c>
      <c r="AE182" s="35"/>
      <c r="AF182" s="41" cm="1">
        <f t="array" ref="AF182">Y182/$AD182</f>
        <v>0.303403333345406</v>
      </c>
      <c r="AG182" s="41" cm="1">
        <f t="array" ref="AG182">Z182/$AD182</f>
        <v>0.00404350810343049</v>
      </c>
      <c r="AH182" s="41" cm="1">
        <f t="array" ref="AH182">AA182/$AD182</f>
        <v>-0.200787005785562</v>
      </c>
      <c r="AI182" s="41" cm="1">
        <f t="array" ref="AI182">AB182/$AD182</f>
        <v>190.7625351101</v>
      </c>
    </row>
    <row r="183" ht="17" customHeight="1">
      <c r="A183" s="6"/>
      <c r="B183" t="s" s="32">
        <v>106</v>
      </c>
      <c r="C183" s="34">
        <v>6</v>
      </c>
      <c r="D183" t="s" s="32">
        <v>244</v>
      </c>
      <c r="E183" s="37">
        <v>0.0882753170017412</v>
      </c>
      <c r="F183" s="61">
        <v>0.00444367741622345</v>
      </c>
      <c r="G183" s="42">
        <v>1.63506985366272</v>
      </c>
      <c r="H183" s="34">
        <v>0.697306573989422</v>
      </c>
      <c r="I183" s="6"/>
      <c r="J183" s="34">
        <v>1.03409859290981</v>
      </c>
      <c r="K183" s="6"/>
      <c r="L183" s="34" cm="1">
        <f t="array" ref="L183">E183*$J183</f>
        <v>0.091285381100168</v>
      </c>
      <c r="M183" s="34" cm="1">
        <f t="array" ref="M183">F183*$J183</f>
        <v>0.00459520056346177</v>
      </c>
      <c r="N183" s="34" cm="1">
        <f t="array" ref="N183">G183*$J183</f>
        <v>1.69082343498187</v>
      </c>
      <c r="O183" s="34" cm="1">
        <f t="array" ref="O183">H183*$J183</f>
        <v>0.721083746989222</v>
      </c>
      <c r="P183" s="6"/>
      <c r="Q183" s="34">
        <v>205.11</v>
      </c>
      <c r="R183" s="34" cm="1">
        <f t="array" ref="R183">Q183/1000</f>
        <v>0.20511</v>
      </c>
      <c r="S183" s="6"/>
      <c r="T183" s="34" cm="1">
        <f t="array" ref="T183">$R183*L183</f>
        <v>0.0187235445174555</v>
      </c>
      <c r="U183" s="34" cm="1">
        <f t="array" ref="U183">$R183*M183</f>
        <v>0.000942521587571644</v>
      </c>
      <c r="V183" s="34" cm="1">
        <f t="array" ref="V183">$R183*N183</f>
        <v>0.346804794749131</v>
      </c>
      <c r="W183" s="34" cm="1">
        <f t="array" ref="W183">$R183*O183</f>
        <v>0.147901487344959</v>
      </c>
      <c r="X183" s="6"/>
      <c r="Y183" s="34" cm="1">
        <f t="array" ref="Y183">AVERAGE(T183:T185)</f>
        <v>0.0490908990479206</v>
      </c>
      <c r="Z183" s="34" cm="1">
        <f t="array" ref="Z183">AVERAGE(U183:U185)</f>
        <v>0.0249854644025959</v>
      </c>
      <c r="AA183" s="34" cm="1">
        <f t="array" ref="AA183">AVERAGE(V183:V185)</f>
        <v>0.557507154218396</v>
      </c>
      <c r="AB183" s="34" cm="1">
        <f t="array" ref="AB183">AVERAGE(W183:W185)</f>
        <v>0.204516106769627</v>
      </c>
      <c r="AC183" s="6"/>
      <c r="AD183" s="35"/>
      <c r="AE183" s="35"/>
      <c r="AF183" s="35" cm="1">
        <f t="array" ref="AF183">Y183/$AD183</f>
      </c>
      <c r="AG183" s="35" cm="1">
        <f t="array" ref="AG183">Z183/$AD183</f>
      </c>
      <c r="AH183" s="35" cm="1">
        <f t="array" ref="AH183">AA183/$AD183</f>
      </c>
      <c r="AI183" s="35" cm="1">
        <f t="array" ref="AI183">AB183/$AD183</f>
      </c>
    </row>
    <row r="184" ht="17" customHeight="1">
      <c r="A184" s="6"/>
      <c r="B184" t="s" s="32">
        <v>108</v>
      </c>
      <c r="C184" s="34">
        <v>6</v>
      </c>
      <c r="D184" t="s" s="32">
        <v>245</v>
      </c>
      <c r="E184" s="37">
        <v>0.189455028051811</v>
      </c>
      <c r="F184" s="61">
        <v>0.00444367741622345</v>
      </c>
      <c r="G184" s="39">
        <v>4.66941336552271</v>
      </c>
      <c r="H184" s="40">
        <v>1.15108300018081</v>
      </c>
      <c r="I184" s="6"/>
      <c r="J184" s="34">
        <v>1.0299250112765</v>
      </c>
      <c r="K184" s="6"/>
      <c r="L184" s="34" cm="1">
        <f t="array" ref="L184">E184*$J184</f>
        <v>0.195124471902651</v>
      </c>
      <c r="M184" s="34" cm="1">
        <f t="array" ref="M184">F184*$J184</f>
        <v>0.00457665451301307</v>
      </c>
      <c r="N184" s="34" cm="1">
        <f t="array" ref="N184">G184*$J184</f>
        <v>4.80914561314062</v>
      </c>
      <c r="O184" s="34" cm="1">
        <f t="array" ref="O184">H184*$J184</f>
        <v>1.18552917194141</v>
      </c>
      <c r="P184" s="6"/>
      <c r="Q184" s="34">
        <v>213.79</v>
      </c>
      <c r="R184" s="34" cm="1">
        <f t="array" ref="R184">Q184/1000</f>
        <v>0.21379</v>
      </c>
      <c r="S184" s="6"/>
      <c r="T184" s="34" cm="1">
        <f t="array" ref="T184">$R184*L184</f>
        <v>0.0417156608480678</v>
      </c>
      <c r="U184" s="34" cm="1">
        <f t="array" ref="U184">$R184*M184</f>
        <v>0.0009784429683370639</v>
      </c>
      <c r="V184" s="34" cm="1">
        <f t="array" ref="V184">$R184*N184</f>
        <v>1.02814724063333</v>
      </c>
      <c r="W184" s="34" cm="1">
        <f t="array" ref="W184">$R184*O184</f>
        <v>0.253454281669354</v>
      </c>
      <c r="X184" s="6"/>
      <c r="Y184" s="6"/>
      <c r="Z184" s="6"/>
      <c r="AA184" s="6"/>
      <c r="AB184" s="6"/>
      <c r="AC184" s="6"/>
      <c r="AD184" s="35"/>
      <c r="AE184" s="35"/>
      <c r="AF184" s="35" cm="1">
        <f t="array" ref="AF184">Y184/$AD184</f>
      </c>
      <c r="AG184" s="35" cm="1">
        <f t="array" ref="AG184">Z184/$AD184</f>
      </c>
      <c r="AH184" s="35" cm="1">
        <f t="array" ref="AH184">AA184/$AD184</f>
      </c>
      <c r="AI184" s="35" cm="1">
        <f t="array" ref="AI184">AB184/$AD184</f>
      </c>
    </row>
    <row r="185" ht="17" customHeight="1">
      <c r="A185" s="6"/>
      <c r="B185" t="s" s="32">
        <v>110</v>
      </c>
      <c r="C185" s="34">
        <v>6</v>
      </c>
      <c r="D185" t="s" s="32">
        <v>246</v>
      </c>
      <c r="E185" s="37">
        <v>0.411608891213305</v>
      </c>
      <c r="F185" s="70">
        <v>0.346203189472823</v>
      </c>
      <c r="G185" s="71">
        <v>1.41054124981533</v>
      </c>
      <c r="H185" s="34">
        <v>1.00583702179264</v>
      </c>
      <c r="I185" s="6"/>
      <c r="J185" s="34">
        <v>1.03321170716559</v>
      </c>
      <c r="K185" s="6"/>
      <c r="L185" s="34" cm="1">
        <f t="array" ref="L185">E185*$J185</f>
        <v>0.425279125175034</v>
      </c>
      <c r="M185" s="34" cm="1">
        <f t="array" ref="M185">F185*$J185</f>
        <v>0.357701188421388</v>
      </c>
      <c r="N185" s="34" cm="1">
        <f t="array" ref="N185">G185*$J185</f>
        <v>1.45738773274918</v>
      </c>
      <c r="O185" s="34" cm="1">
        <f t="array" ref="O185">H185*$J185</f>
        <v>1.03924258641673</v>
      </c>
      <c r="P185" s="6"/>
      <c r="Q185" s="34">
        <v>204.18</v>
      </c>
      <c r="R185" s="34" cm="1">
        <f t="array" ref="R185">Q185/1000</f>
        <v>0.20418</v>
      </c>
      <c r="S185" s="6"/>
      <c r="T185" s="34" cm="1">
        <f t="array" ref="T185">$R185*L185</f>
        <v>0.0868334917782384</v>
      </c>
      <c r="U185" s="34" cm="1">
        <f t="array" ref="U185">$R185*M185</f>
        <v>0.07303542865187899</v>
      </c>
      <c r="V185" s="34" cm="1">
        <f t="array" ref="V185">$R185*N185</f>
        <v>0.297569427272728</v>
      </c>
      <c r="W185" s="34" cm="1">
        <f t="array" ref="W185">$R185*O185</f>
        <v>0.212192551294568</v>
      </c>
      <c r="X185" s="6"/>
      <c r="Y185" s="6"/>
      <c r="Z185" s="6"/>
      <c r="AA185" s="6"/>
      <c r="AB185" s="6"/>
      <c r="AC185" s="6"/>
      <c r="AD185" s="35"/>
      <c r="AE185" s="35"/>
      <c r="AF185" s="35" cm="1">
        <f t="array" ref="AF185">Y185/$AD185</f>
      </c>
      <c r="AG185" s="35" cm="1">
        <f t="array" ref="AG185">Z185/$AD185</f>
      </c>
      <c r="AH185" s="35" cm="1">
        <f t="array" ref="AH185">AA185/$AD185</f>
      </c>
      <c r="AI185" s="35" cm="1">
        <f t="array" ref="AI185">AB185/$AD185</f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I185"/>
  <sheetViews>
    <sheetView workbookViewId="0" showGridLines="0" defaultGridColor="1"/>
  </sheetViews>
  <sheetFormatPr defaultColWidth="10.8333" defaultRowHeight="16" customHeight="1" outlineLevelRow="0" outlineLevelCol="0"/>
  <cols>
    <col min="1" max="8" width="10.8516" style="72" customWidth="1"/>
    <col min="9" max="9" width="7" style="72" customWidth="1"/>
    <col min="10" max="10" width="12.8516" style="72" customWidth="1"/>
    <col min="11" max="11" width="4.5" style="72" customWidth="1"/>
    <col min="12" max="15" width="10.8516" style="72" customWidth="1"/>
    <col min="16" max="16" width="7" style="72" customWidth="1"/>
    <col min="17" max="18" width="10.8516" style="72" customWidth="1"/>
    <col min="19" max="19" width="7" style="72" customWidth="1"/>
    <col min="20" max="30" width="10.8516" style="72" customWidth="1"/>
    <col min="31" max="31" width="4" style="72" customWidth="1"/>
    <col min="32" max="35" width="10.8516" style="72" customWidth="1"/>
    <col min="36" max="16384" width="10.8516" style="72" customWidth="1"/>
  </cols>
  <sheetData>
    <row r="1" ht="17" customHeight="1">
      <c r="A1" s="2"/>
      <c r="B1" s="3"/>
      <c r="C1" s="3"/>
      <c r="D1" s="3"/>
      <c r="E1" t="s" s="4">
        <v>0</v>
      </c>
      <c r="F1" s="5"/>
      <c r="G1" s="5"/>
      <c r="H1" s="5"/>
      <c r="I1" s="6"/>
      <c r="J1" s="7"/>
      <c r="K1" s="6"/>
      <c r="L1" s="5"/>
      <c r="M1" s="5"/>
      <c r="N1" s="5"/>
      <c r="O1" s="5"/>
      <c r="P1" s="6"/>
      <c r="Q1" s="7"/>
      <c r="R1" s="7"/>
      <c r="S1" s="6"/>
      <c r="T1" t="s" s="8">
        <v>1</v>
      </c>
      <c r="U1" s="5"/>
      <c r="V1" s="5"/>
      <c r="W1" s="5"/>
      <c r="X1" s="7"/>
      <c r="Y1" t="s" s="8">
        <v>2</v>
      </c>
      <c r="Z1" s="5"/>
      <c r="AA1" s="5"/>
      <c r="AB1" s="5"/>
      <c r="AC1" s="7"/>
      <c r="AD1" t="s" s="9">
        <v>3</v>
      </c>
      <c r="AE1" s="10"/>
      <c r="AF1" s="11"/>
      <c r="AG1" s="11"/>
      <c r="AH1" s="11"/>
      <c r="AI1" s="11"/>
    </row>
    <row r="2" ht="36" customHeight="1">
      <c r="A2" s="12"/>
      <c r="B2" t="s" s="13">
        <v>4</v>
      </c>
      <c r="C2" t="s" s="13">
        <v>5</v>
      </c>
      <c r="D2" t="s" s="14">
        <v>6</v>
      </c>
      <c r="E2" t="s" s="15">
        <v>7</v>
      </c>
      <c r="F2" t="s" s="15">
        <v>8</v>
      </c>
      <c r="G2" t="s" s="15">
        <v>9</v>
      </c>
      <c r="H2" t="s" s="16">
        <v>10</v>
      </c>
      <c r="I2" s="17"/>
      <c r="J2" t="s" s="18">
        <v>11</v>
      </c>
      <c r="K2" s="19"/>
      <c r="L2" t="s" s="15">
        <v>7</v>
      </c>
      <c r="M2" t="s" s="15">
        <v>8</v>
      </c>
      <c r="N2" t="s" s="15">
        <v>9</v>
      </c>
      <c r="O2" t="s" s="16">
        <v>10</v>
      </c>
      <c r="P2" s="17"/>
      <c r="Q2" t="s" s="18">
        <v>12</v>
      </c>
      <c r="R2" t="s" s="18">
        <v>13</v>
      </c>
      <c r="S2" s="19"/>
      <c r="T2" t="s" s="15">
        <v>14</v>
      </c>
      <c r="U2" t="s" s="15">
        <v>15</v>
      </c>
      <c r="V2" t="s" s="15">
        <v>16</v>
      </c>
      <c r="W2" t="s" s="16">
        <v>17</v>
      </c>
      <c r="X2" s="20"/>
      <c r="Y2" t="s" s="15">
        <v>14</v>
      </c>
      <c r="Z2" t="s" s="15">
        <v>15</v>
      </c>
      <c r="AA2" t="s" s="15">
        <v>16</v>
      </c>
      <c r="AB2" t="s" s="16">
        <v>17</v>
      </c>
      <c r="AC2" s="21"/>
      <c r="AD2" t="s" s="18">
        <v>18</v>
      </c>
      <c r="AE2" s="22"/>
      <c r="AF2" t="s" s="15">
        <v>14</v>
      </c>
      <c r="AG2" t="s" s="15">
        <v>15</v>
      </c>
      <c r="AH2" t="s" s="15">
        <v>16</v>
      </c>
      <c r="AI2" t="s" s="23">
        <v>17</v>
      </c>
    </row>
    <row r="3" ht="17" customHeight="1">
      <c r="A3" s="24"/>
      <c r="B3" t="s" s="25">
        <v>19</v>
      </c>
      <c r="C3" s="26"/>
      <c r="D3" s="27"/>
      <c r="E3" s="28"/>
      <c r="F3" s="28"/>
      <c r="G3" s="28"/>
      <c r="H3" s="28"/>
      <c r="I3" s="6"/>
      <c r="J3" s="28"/>
      <c r="K3" s="6"/>
      <c r="L3" s="28"/>
      <c r="M3" s="28"/>
      <c r="N3" s="28"/>
      <c r="O3" s="28"/>
      <c r="P3" s="6"/>
      <c r="Q3" s="29">
        <v>14.519</v>
      </c>
      <c r="R3" s="29" cm="1">
        <f t="array" ref="R3">Q3/1000</f>
        <v>0.014519</v>
      </c>
      <c r="S3" s="6"/>
      <c r="T3" s="29" cm="1">
        <f t="array" ref="T3">$R3*E3</f>
        <v>0</v>
      </c>
      <c r="U3" s="29" cm="1">
        <f t="array" ref="U3">$R3*F3</f>
        <v>0</v>
      </c>
      <c r="V3" s="29" cm="1">
        <f t="array" ref="V3">$R3*G3</f>
        <v>0</v>
      </c>
      <c r="W3" s="29" cm="1">
        <f t="array" ref="W3">$R3*H3</f>
        <v>0</v>
      </c>
      <c r="X3" s="28"/>
      <c r="Y3" s="29" cm="1">
        <f t="array" ref="Y3">AVERAGE(T3:T5)</f>
        <v>0</v>
      </c>
      <c r="Z3" s="29" cm="1">
        <f t="array" ref="Z3">AVERAGE(U3:U5)</f>
        <v>0</v>
      </c>
      <c r="AA3" s="29" cm="1">
        <f t="array" ref="AA3">AVERAGE(V3:V5)</f>
        <v>0</v>
      </c>
      <c r="AB3" s="29" cm="1">
        <f t="array" ref="AB3">AVERAGE(W3:W5)</f>
        <v>0</v>
      </c>
      <c r="AC3" s="28"/>
      <c r="AD3" s="30"/>
      <c r="AE3" s="30"/>
      <c r="AF3" s="30"/>
      <c r="AG3" s="30"/>
      <c r="AH3" s="30"/>
      <c r="AI3" s="30"/>
    </row>
    <row r="4" ht="17" customHeight="1">
      <c r="A4" s="31"/>
      <c r="B4" t="s" s="32">
        <v>20</v>
      </c>
      <c r="C4" s="6"/>
      <c r="D4" s="3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4">
        <v>14.519</v>
      </c>
      <c r="R4" s="34" cm="1">
        <f t="array" ref="R4">Q4/1000</f>
        <v>0.014519</v>
      </c>
      <c r="S4" s="6"/>
      <c r="T4" s="6"/>
      <c r="U4" s="6"/>
      <c r="V4" s="34" cm="1">
        <f t="array" ref="V4">$R4*G4</f>
        <v>0</v>
      </c>
      <c r="W4" s="6"/>
      <c r="X4" s="6"/>
      <c r="Y4" s="6"/>
      <c r="Z4" s="6"/>
      <c r="AA4" s="6"/>
      <c r="AB4" s="6"/>
      <c r="AC4" s="6"/>
      <c r="AD4" s="35"/>
      <c r="AE4" s="35"/>
      <c r="AF4" s="35"/>
      <c r="AG4" s="35"/>
      <c r="AH4" s="35"/>
      <c r="AI4" s="35"/>
    </row>
    <row r="5" ht="17" customHeight="1">
      <c r="A5" s="31"/>
      <c r="B5" t="s" s="32">
        <v>21</v>
      </c>
      <c r="C5" s="6"/>
      <c r="D5" s="33"/>
      <c r="E5" s="6"/>
      <c r="F5" s="36"/>
      <c r="G5" s="36"/>
      <c r="H5" s="6"/>
      <c r="I5" s="6"/>
      <c r="J5" s="6"/>
      <c r="K5" s="6"/>
      <c r="L5" s="6"/>
      <c r="M5" s="6"/>
      <c r="N5" s="6"/>
      <c r="O5" s="6"/>
      <c r="P5" s="6"/>
      <c r="Q5" s="34">
        <v>14.519</v>
      </c>
      <c r="R5" s="34" cm="1">
        <f t="array" ref="R5">Q5/1000</f>
        <v>0.014519</v>
      </c>
      <c r="S5" s="6"/>
      <c r="T5" s="6"/>
      <c r="U5" s="6"/>
      <c r="V5" s="34" cm="1">
        <f t="array" ref="V5">$R5*G5</f>
        <v>0</v>
      </c>
      <c r="W5" s="6"/>
      <c r="X5" s="6"/>
      <c r="Y5" s="6"/>
      <c r="Z5" s="6"/>
      <c r="AA5" s="6"/>
      <c r="AB5" s="6"/>
      <c r="AC5" s="6"/>
      <c r="AD5" s="35"/>
      <c r="AE5" s="35"/>
      <c r="AF5" s="35"/>
      <c r="AG5" s="35"/>
      <c r="AH5" s="35"/>
      <c r="AI5" s="35"/>
    </row>
    <row r="6" ht="17" customHeight="1">
      <c r="A6" s="34">
        <v>0</v>
      </c>
      <c r="B6" t="s" s="32">
        <v>22</v>
      </c>
      <c r="C6" s="34">
        <v>0</v>
      </c>
      <c r="D6" t="s" s="32">
        <v>23</v>
      </c>
      <c r="E6" s="37">
        <v>5.38480587999696</v>
      </c>
      <c r="F6" s="38">
        <v>4.54865607711344</v>
      </c>
      <c r="G6" s="39">
        <v>13.4354721166714</v>
      </c>
      <c r="H6" s="40">
        <v>-5.17241613894938</v>
      </c>
      <c r="I6" s="6"/>
      <c r="J6" s="34">
        <v>1.02930581999691</v>
      </c>
      <c r="K6" s="6"/>
      <c r="L6" s="34" cm="1">
        <f t="array" ref="L6">E6*$J6</f>
        <v>5.54261203183445</v>
      </c>
      <c r="M6" s="34" cm="1">
        <f t="array" ref="M6">F6*$J6</f>
        <v>4.68195817333718</v>
      </c>
      <c r="N6" s="34" cm="1">
        <f t="array" ref="N6">G6*$J6</f>
        <v>13.8292096440961</v>
      </c>
      <c r="O6" s="34" cm="1">
        <f t="array" ref="O6">H6*$J6</f>
        <v>-5.32399803526654</v>
      </c>
      <c r="P6" s="6"/>
      <c r="Q6" s="34">
        <v>271.121</v>
      </c>
      <c r="R6" s="34" cm="1">
        <f t="array" ref="R6">Q6/1000</f>
        <v>0.271121</v>
      </c>
      <c r="S6" s="6"/>
      <c r="T6" s="34" cm="1">
        <f t="array" ref="T6">$R6*L6</f>
        <v>1.50271851668299</v>
      </c>
      <c r="U6" s="34" cm="1">
        <f t="array" ref="U6">$R6*M6</f>
        <v>1.26937718191335</v>
      </c>
      <c r="V6" s="34" cm="1">
        <f t="array" ref="V6">$R6*N6</f>
        <v>3.74938914791698</v>
      </c>
      <c r="W6" s="34" cm="1">
        <f t="array" ref="W6">$R6*O6</f>
        <v>-1.4434476713195</v>
      </c>
      <c r="X6" s="6"/>
      <c r="Y6" s="34" cm="1">
        <f t="array" ref="Y6">T6-Y$12-Y$3</f>
        <v>1.36507071061917</v>
      </c>
      <c r="Z6" s="34" cm="1">
        <f t="array" ref="Z6">U6-Z$12-Z$3</f>
        <v>0.529179331985272</v>
      </c>
      <c r="AA6" s="34" cm="1">
        <f t="array" ref="AA6">V6-AA$12-AA$3</f>
        <v>-7.62100659143272</v>
      </c>
      <c r="AB6" s="34" cm="1">
        <f t="array" ref="AB6">W6-AB$12-AB$3</f>
        <v>4.27354504772644</v>
      </c>
      <c r="AC6" s="6"/>
      <c r="AD6" s="41">
        <v>0.010209657</v>
      </c>
      <c r="AE6" s="35"/>
      <c r="AF6" s="41" cm="1">
        <f t="array" ref="AF6">Y6/$AD6</f>
        <v>133.703875714842</v>
      </c>
      <c r="AG6" s="41" cm="1">
        <f t="array" ref="AG6">Z6/$AD6</f>
        <v>51.8312546626466</v>
      </c>
      <c r="AH6" s="41" cm="1">
        <f t="array" ref="AH6">AA6/$AD6</f>
        <v>-746.450795695949</v>
      </c>
      <c r="AI6" s="41" cm="1">
        <f t="array" ref="AI6">AB6/$AD6</f>
        <v>418.578709130624</v>
      </c>
    </row>
    <row r="7" ht="17" customHeight="1">
      <c r="A7" s="6"/>
      <c r="B7" t="s" s="32">
        <v>24</v>
      </c>
      <c r="C7" s="34">
        <v>0</v>
      </c>
      <c r="D7" t="s" s="32">
        <v>25</v>
      </c>
      <c r="E7" s="37">
        <v>-0.06327160585979651</v>
      </c>
      <c r="F7" s="38">
        <v>0.399283108021467</v>
      </c>
      <c r="G7" s="42">
        <v>15.3527781681808</v>
      </c>
      <c r="H7" s="34">
        <v>-5.26740722213101</v>
      </c>
      <c r="I7" s="6"/>
      <c r="J7" s="34">
        <v>1.02883468284387</v>
      </c>
      <c r="K7" s="6"/>
      <c r="L7" s="34" cm="1">
        <f t="array" ref="L7">E7*$J7</f>
        <v>-0.0650960225477861</v>
      </c>
      <c r="M7" s="34" cm="1">
        <f t="array" ref="M7">F7*$J7</f>
        <v>0.410796309806181</v>
      </c>
      <c r="N7" s="34" cm="1">
        <f t="array" ref="N7">G7*$J7</f>
        <v>15.7954706574326</v>
      </c>
      <c r="O7" s="34" cm="1">
        <f t="array" ref="O7">H7*$J7</f>
        <v>-5.41929123879067</v>
      </c>
      <c r="P7" s="6"/>
      <c r="Q7" s="34">
        <v>266.5276</v>
      </c>
      <c r="R7" s="34" cm="1">
        <f t="array" ref="R7">Q7/1000</f>
        <v>0.2665276</v>
      </c>
      <c r="S7" s="6"/>
      <c r="T7" s="34" cm="1">
        <f t="array" ref="T7">$R7*L7</f>
        <v>-0.0173498866592073</v>
      </c>
      <c r="U7" s="34" cm="1">
        <f t="array" ref="U7">$R7*M7</f>
        <v>0.109488554541498</v>
      </c>
      <c r="V7" s="34" cm="1">
        <f t="array" ref="V7">$R7*N7</f>
        <v>4.20992888519593</v>
      </c>
      <c r="W7" s="34" cm="1">
        <f t="array" ref="W7">$R7*O7</f>
        <v>-1.4443906875759</v>
      </c>
      <c r="X7" s="6"/>
      <c r="Y7" s="34" cm="1">
        <f t="array" ref="Y7">T7-Y$12-Y$3</f>
        <v>-0.154997692723027</v>
      </c>
      <c r="Z7" s="34" cm="1">
        <f t="array" ref="Z7">U7-Z$12-Z$3</f>
        <v>-0.63070929538658</v>
      </c>
      <c r="AA7" s="34" cm="1">
        <f t="array" ref="AA7">V7-AA$12-AA$3</f>
        <v>-7.16046685415377</v>
      </c>
      <c r="AB7" s="34" cm="1">
        <f t="array" ref="AB7">W7-AB$12-AB$3</f>
        <v>4.27260203147004</v>
      </c>
      <c r="AC7" s="6"/>
      <c r="AD7" s="41">
        <v>0.010209657</v>
      </c>
      <c r="AE7" s="35"/>
      <c r="AF7" s="41" cm="1">
        <f t="array" ref="AF7">Y7/$AD7</f>
        <v>-15.1814789393049</v>
      </c>
      <c r="AG7" s="41" cm="1">
        <f t="array" ref="AG7">Z7/$AD7</f>
        <v>-61.7757575388262</v>
      </c>
      <c r="AH7" s="41" cm="1">
        <f t="array" ref="AH7">AA7/$AD7</f>
        <v>-701.3425479576611</v>
      </c>
      <c r="AI7" s="41" cm="1">
        <f t="array" ref="AI7">AB7/$AD7</f>
        <v>418.486344004509</v>
      </c>
    </row>
    <row r="8" ht="17" customHeight="1">
      <c r="A8" s="6"/>
      <c r="B8" t="s" s="32">
        <v>26</v>
      </c>
      <c r="C8" s="34">
        <v>0</v>
      </c>
      <c r="D8" t="s" s="32">
        <v>27</v>
      </c>
      <c r="E8" s="37">
        <v>-0.7832468146517</v>
      </c>
      <c r="F8" s="38">
        <v>1.43230262356281</v>
      </c>
      <c r="G8" s="39">
        <v>11.3761102115693</v>
      </c>
      <c r="H8" s="40">
        <v>-5.29095912797663</v>
      </c>
      <c r="I8" s="6"/>
      <c r="J8" s="34">
        <v>1.02834854433284</v>
      </c>
      <c r="K8" s="6"/>
      <c r="L8" s="34" cm="1">
        <f t="array" ref="L8">E8*$J8</f>
        <v>-0.805450721700409</v>
      </c>
      <c r="M8" s="34" cm="1">
        <f t="array" ref="M8">F8*$J8</f>
        <v>1.47290631798492</v>
      </c>
      <c r="N8" s="34" cm="1">
        <f t="array" ref="N8">G8*$J8</f>
        <v>11.6986063762372</v>
      </c>
      <c r="O8" s="34" cm="1">
        <f t="array" ref="O8">H8*$J8</f>
        <v>-5.44095011737932</v>
      </c>
      <c r="P8" s="6"/>
      <c r="Q8" s="34">
        <v>266.9158</v>
      </c>
      <c r="R8" s="34" cm="1">
        <f t="array" ref="R8">Q8/1000</f>
        <v>0.2669158</v>
      </c>
      <c r="S8" s="6"/>
      <c r="T8" s="34" cm="1">
        <f t="array" ref="T8">$R8*L8</f>
        <v>-0.214987523743242</v>
      </c>
      <c r="U8" s="34" cm="1">
        <f t="array" ref="U8">$R8*M8</f>
        <v>0.393141968189999</v>
      </c>
      <c r="V8" s="34" cm="1">
        <f t="array" ref="V8">$R8*N8</f>
        <v>3.12254287979845</v>
      </c>
      <c r="W8" s="34" cm="1">
        <f t="array" ref="W8">$R8*O8</f>
        <v>-1.4522755533404</v>
      </c>
      <c r="X8" s="6"/>
      <c r="Y8" s="34" cm="1">
        <f t="array" ref="Y8">T8-Y$12-Y$3</f>
        <v>-0.352635329807062</v>
      </c>
      <c r="Z8" s="34" cm="1">
        <f t="array" ref="Z8">U8-Z$12-Z$3</f>
        <v>-0.347055881738079</v>
      </c>
      <c r="AA8" s="34" cm="1">
        <f t="array" ref="AA8">V8-AA$12-AA$3</f>
        <v>-8.24785285955125</v>
      </c>
      <c r="AB8" s="34" cm="1">
        <f t="array" ref="AB8">W8-AB$12-AB$3</f>
        <v>4.26471716570554</v>
      </c>
      <c r="AC8" s="6"/>
      <c r="AD8" s="41">
        <v>0.010209657</v>
      </c>
      <c r="AE8" s="35"/>
      <c r="AF8" s="41" cm="1">
        <f t="array" ref="AF8">Y8/$AD8</f>
        <v>-34.5393904816844</v>
      </c>
      <c r="AG8" s="41" cm="1">
        <f t="array" ref="AG8">Z8/$AD8</f>
        <v>-33.9929031639436</v>
      </c>
      <c r="AH8" s="41" cm="1">
        <f t="array" ref="AH8">AA8/$AD8</f>
        <v>-807.8481832985429</v>
      </c>
      <c r="AI8" s="41" cm="1">
        <f t="array" ref="AI8">AB8/$AD8</f>
        <v>417.714049130695</v>
      </c>
    </row>
    <row r="9" ht="17" customHeight="1">
      <c r="A9" s="6"/>
      <c r="B9" t="s" s="32">
        <v>28</v>
      </c>
      <c r="C9" s="34">
        <v>0</v>
      </c>
      <c r="D9" t="s" s="32">
        <v>29</v>
      </c>
      <c r="E9" s="37">
        <v>-0.00564053573193738</v>
      </c>
      <c r="F9" s="38">
        <v>2.18033308146914</v>
      </c>
      <c r="G9" s="42">
        <v>8.698670436457819</v>
      </c>
      <c r="H9" s="34">
        <v>-2.71139956947437</v>
      </c>
      <c r="I9" s="6"/>
      <c r="J9" s="34">
        <v>1.02897592964441</v>
      </c>
      <c r="K9" s="6"/>
      <c r="L9" s="34" cm="1">
        <f t="array" ref="L9">E9*$J9</f>
        <v>-0.00580397549846278</v>
      </c>
      <c r="M9" s="34" cm="1">
        <f t="array" ref="M9">F9*$J9</f>
        <v>2.24351025943917</v>
      </c>
      <c r="N9" s="34" cm="1">
        <f t="array" ref="N9">G9*$J9</f>
        <v>8.950722499024531</v>
      </c>
      <c r="O9" s="34" cm="1">
        <f t="array" ref="O9">H9*$J9</f>
        <v>-2.78996489263734</v>
      </c>
      <c r="P9" s="6"/>
      <c r="Q9" s="34">
        <v>266.947</v>
      </c>
      <c r="R9" s="34" cm="1">
        <f t="array" ref="R9">Q9/1000</f>
        <v>0.266947</v>
      </c>
      <c r="S9" s="6"/>
      <c r="T9" s="34" cm="1">
        <f t="array" ref="T9">$R9*L9</f>
        <v>-0.00154935384738814</v>
      </c>
      <c r="U9" s="34" cm="1">
        <f t="array" ref="U9">$R9*M9</f>
        <v>0.598898333226508</v>
      </c>
      <c r="V9" s="34" cm="1">
        <f t="array" ref="V9">$R9*N9</f>
        <v>2.3893685189471</v>
      </c>
      <c r="W9" s="34" cm="1">
        <f t="array" ref="W9">$R9*O9</f>
        <v>-0.74477275819486</v>
      </c>
      <c r="X9" s="6"/>
      <c r="Y9" s="34" cm="1">
        <f t="array" ref="Y9">T9-Y$12-Y$3</f>
        <v>-0.139197159911208</v>
      </c>
      <c r="Z9" s="34" cm="1">
        <f t="array" ref="Z9">U9-Z$12-Z$3</f>
        <v>-0.14129951670157</v>
      </c>
      <c r="AA9" s="34" cm="1">
        <f t="array" ref="AA9">V9-AA$12-AA$3</f>
        <v>-8.9810272204026</v>
      </c>
      <c r="AB9" s="34" cm="1">
        <f t="array" ref="AB9">W9-AB$12-AB$3</f>
        <v>4.97221996085108</v>
      </c>
      <c r="AC9" s="6"/>
      <c r="AD9" s="41">
        <v>0.010209657</v>
      </c>
      <c r="AE9" s="35"/>
      <c r="AF9" s="41" cm="1">
        <f t="array" ref="AF9">Y9/$AD9</f>
        <v>-13.633872314340</v>
      </c>
      <c r="AG9" s="41" cm="1">
        <f t="array" ref="AG9">Z9/$AD9</f>
        <v>-13.8397907688348</v>
      </c>
      <c r="AH9" s="41" cm="1">
        <f t="array" ref="AH9">AA9/$AD9</f>
        <v>-879.660033672297</v>
      </c>
      <c r="AI9" s="41" cm="1">
        <f t="array" ref="AI9">AB9/$AD9</f>
        <v>487.011459919866</v>
      </c>
    </row>
    <row r="10" ht="17" customHeight="1">
      <c r="A10" s="6"/>
      <c r="B10" t="s" s="32">
        <v>30</v>
      </c>
      <c r="C10" s="34">
        <v>0</v>
      </c>
      <c r="D10" t="s" s="32">
        <v>31</v>
      </c>
      <c r="E10" s="37">
        <v>2.78695063605843</v>
      </c>
      <c r="F10" s="43">
        <v>0.000898014361638009</v>
      </c>
      <c r="G10" s="39">
        <v>198.849509718236</v>
      </c>
      <c r="H10" s="40">
        <v>-48.3174085970069</v>
      </c>
      <c r="I10" s="6"/>
      <c r="J10" s="34">
        <v>1.02948287965057</v>
      </c>
      <c r="K10" s="6"/>
      <c r="L10" s="34" cm="1">
        <f t="array" ref="L10">E10*$J10</f>
        <v>2.86911796625342</v>
      </c>
      <c r="M10" s="34" cm="1">
        <f t="array" ref="M10">F10*$J10</f>
        <v>0.000924490410986666</v>
      </c>
      <c r="N10" s="34" cm="1">
        <f t="array" ref="N10">G10*$J10</f>
        <v>204.712165881834</v>
      </c>
      <c r="O10" s="34" cm="1">
        <f t="array" ref="O10">H10*$J10</f>
        <v>-49.7419449396999</v>
      </c>
      <c r="P10" s="6"/>
      <c r="Q10" s="34">
        <v>264.108</v>
      </c>
      <c r="R10" s="34" cm="1">
        <f t="array" ref="R10">Q10/1000</f>
        <v>0.264108</v>
      </c>
      <c r="S10" s="6"/>
      <c r="T10" s="34" cm="1">
        <f t="array" ref="T10">$R10*L10</f>
        <v>0.757757007831258</v>
      </c>
      <c r="U10" s="34" cm="1">
        <f t="array" ref="U10">$R10*M10</f>
        <v>0.000244165313464866</v>
      </c>
      <c r="V10" s="34" cm="1">
        <f t="array" ref="V10">$R10*N10</f>
        <v>54.0661207067194</v>
      </c>
      <c r="W10" s="34" cm="1">
        <f t="array" ref="W10">$R10*O10</f>
        <v>-13.1372455941343</v>
      </c>
      <c r="X10" s="6"/>
      <c r="Y10" s="34" cm="1">
        <f t="array" ref="Y10">T10-Y$12-Y$3</f>
        <v>0.620109201767438</v>
      </c>
      <c r="Z10" s="34" cm="1">
        <f t="array" ref="Z10">U10-Z$12-Z$3</f>
        <v>-0.739953684614613</v>
      </c>
      <c r="AA10" s="34" cm="1">
        <f t="array" ref="AA10">V10-AA$12-AA$3</f>
        <v>42.6957249673697</v>
      </c>
      <c r="AB10" s="34" cm="1">
        <f t="array" ref="AB10">W10-AB$12-AB$3</f>
        <v>-7.42025287508836</v>
      </c>
      <c r="AC10" s="6"/>
      <c r="AD10" s="41">
        <v>0.010209657</v>
      </c>
      <c r="AE10" s="35"/>
      <c r="AF10" s="41" cm="1">
        <f t="array" ref="AF10">Y10/$AD10</f>
        <v>60.7375156449857</v>
      </c>
      <c r="AG10" s="41" cm="1">
        <f t="array" ref="AG10">Z10/$AD10</f>
        <v>-72.47586129628181</v>
      </c>
      <c r="AH10" s="41" cm="1">
        <f t="array" ref="AH10">AA10/$AD10</f>
        <v>4181.896117310280</v>
      </c>
      <c r="AI10" s="41" cm="1">
        <f t="array" ref="AI10">AB10/$AD10</f>
        <v>-726.787675147986</v>
      </c>
    </row>
    <row r="11" ht="17" customHeight="1">
      <c r="A11" s="6"/>
      <c r="B11" t="s" s="32">
        <v>32</v>
      </c>
      <c r="C11" s="34">
        <v>0</v>
      </c>
      <c r="D11" t="s" s="32">
        <v>33</v>
      </c>
      <c r="E11" s="37">
        <v>1.74054216628814</v>
      </c>
      <c r="F11" s="38">
        <v>0.143131907208143</v>
      </c>
      <c r="G11" s="42">
        <v>3.76770929776431</v>
      </c>
      <c r="H11" s="34">
        <v>-3.002475497113</v>
      </c>
      <c r="I11" s="6"/>
      <c r="J11" s="34">
        <v>1.02903349038584</v>
      </c>
      <c r="K11" s="6"/>
      <c r="L11" s="34" cm="1">
        <f t="array" ref="L11">E11*$J11</f>
        <v>1.79107618053922</v>
      </c>
      <c r="M11" s="34" cm="1">
        <f t="array" ref="M11">F11*$J11</f>
        <v>0.147287526059978</v>
      </c>
      <c r="N11" s="34" cm="1">
        <f t="array" ref="N11">G11*$J11</f>
        <v>3.87709904943759</v>
      </c>
      <c r="O11" s="34" cm="1">
        <f t="array" ref="O11">H11*$J11</f>
        <v>-3.08964784059215</v>
      </c>
      <c r="P11" s="6"/>
      <c r="Q11" s="34">
        <v>267.935</v>
      </c>
      <c r="R11" s="34" cm="1">
        <f t="array" ref="R11">Q11/1000</f>
        <v>0.267935</v>
      </c>
      <c r="S11" s="6"/>
      <c r="T11" s="34" cm="1">
        <f t="array" ref="T11">$R11*L11</f>
        <v>0.479891996432776</v>
      </c>
      <c r="U11" s="34" cm="1">
        <f t="array" ref="U11">$R11*M11</f>
        <v>0.0394634832948802</v>
      </c>
      <c r="V11" s="34" cm="1">
        <f t="array" ref="V11">$R11*N11</f>
        <v>1.03881053381106</v>
      </c>
      <c r="W11" s="34" cm="1">
        <f t="array" ref="W11">$R11*O11</f>
        <v>-0.827824794169058</v>
      </c>
      <c r="X11" s="6"/>
      <c r="Y11" s="34" cm="1">
        <f t="array" ref="Y11">T11-Y$12-Y$3</f>
        <v>0.342244190368956</v>
      </c>
      <c r="Z11" s="34" cm="1">
        <f t="array" ref="Z11">U11-Z$12-Z$3</f>
        <v>-0.700734366633198</v>
      </c>
      <c r="AA11" s="34" cm="1">
        <f t="array" ref="AA11">V11-AA$12-AA$3</f>
        <v>-10.3315852055386</v>
      </c>
      <c r="AB11" s="34" cm="1">
        <f t="array" ref="AB11">W11-AB$12-AB$3</f>
        <v>4.88916792487688</v>
      </c>
      <c r="AC11" s="6"/>
      <c r="AD11" s="41">
        <v>0.010209657</v>
      </c>
      <c r="AE11" s="35"/>
      <c r="AF11" s="41" cm="1">
        <f t="array" ref="AF11">Y11/$AD11</f>
        <v>33.5216149150707</v>
      </c>
      <c r="AG11" s="41" cm="1">
        <f t="array" ref="AG11">Z11/$AD11</f>
        <v>-68.6344670181572</v>
      </c>
      <c r="AH11" s="41" cm="1">
        <f t="array" ref="AH11">AA11/$AD11</f>
        <v>-1011.942438961330</v>
      </c>
      <c r="AI11" s="41" cm="1">
        <f t="array" ref="AI11">AB11/$AD11</f>
        <v>478.876805055927</v>
      </c>
    </row>
    <row r="12" ht="17" customHeight="1">
      <c r="A12" s="6"/>
      <c r="B12" t="s" s="32">
        <v>34</v>
      </c>
      <c r="C12" s="34">
        <v>0</v>
      </c>
      <c r="D12" t="s" s="32">
        <v>35</v>
      </c>
      <c r="E12" s="37">
        <v>8.670233197413969</v>
      </c>
      <c r="F12" s="38">
        <v>2.56872251832124</v>
      </c>
      <c r="G12" s="39">
        <v>6.32793706270693</v>
      </c>
      <c r="H12" s="40">
        <v>-5.19869655228975</v>
      </c>
      <c r="I12" s="6"/>
      <c r="J12" s="34">
        <v>1.02919967499492</v>
      </c>
      <c r="K12" s="6"/>
      <c r="L12" s="34" cm="1">
        <f t="array" ref="L12">E12*$J12</f>
        <v>8.92340118890862</v>
      </c>
      <c r="M12" s="34" cm="1">
        <f t="array" ref="M12">F12*$J12</f>
        <v>2.64372838100835</v>
      </c>
      <c r="N12" s="34" cm="1">
        <f t="array" ref="N12">G12*$J12</f>
        <v>6.51271076832628</v>
      </c>
      <c r="O12" s="34" cm="1">
        <f t="array" ref="O12">H12*$J12</f>
        <v>-5.35049680201382</v>
      </c>
      <c r="P12" s="6"/>
      <c r="Q12" s="34">
        <v>265.34</v>
      </c>
      <c r="R12" s="34" cm="1">
        <f t="array" ref="R12">Q12/1000</f>
        <v>0.26534</v>
      </c>
      <c r="S12" s="6"/>
      <c r="T12" s="34" cm="1">
        <f t="array" ref="T12">$R12*L12</f>
        <v>2.36773527146501</v>
      </c>
      <c r="U12" s="34" cm="1">
        <f t="array" ref="U12">$R12*M12</f>
        <v>0.701486888616756</v>
      </c>
      <c r="V12" s="34" cm="1">
        <f t="array" ref="V12">$R12*N12</f>
        <v>1.7280826752677</v>
      </c>
      <c r="W12" s="34" cm="1">
        <f t="array" ref="W12">$R12*O12</f>
        <v>-1.41970082144635</v>
      </c>
      <c r="X12" s="6"/>
      <c r="Y12" s="34" cm="1">
        <f t="array" ref="Y12">AVERAGE(T12:T14)</f>
        <v>0.13764780606382</v>
      </c>
      <c r="Z12" s="34" cm="1">
        <f t="array" ref="Z12">AVERAGE(U12:U14)</f>
        <v>0.740197849928078</v>
      </c>
      <c r="AA12" s="34" cm="1">
        <f t="array" ref="AA12">AVERAGE(V12:V14)</f>
        <v>11.3703957393497</v>
      </c>
      <c r="AB12" s="34" cm="1">
        <f t="array" ref="AB12">AVERAGE(W12:W14)</f>
        <v>-5.71699271904594</v>
      </c>
      <c r="AC12" s="6"/>
      <c r="AD12" s="41">
        <v>0.010209657</v>
      </c>
      <c r="AE12" s="35"/>
      <c r="AF12" s="41" cm="1">
        <f t="array" ref="AF12">Y12/$AD12</f>
        <v>13.4821185534264</v>
      </c>
      <c r="AG12" s="41" cm="1">
        <f t="array" ref="AG12">Z12/$AD12</f>
        <v>72.4997764301071</v>
      </c>
      <c r="AH12" s="41" cm="1">
        <f t="array" ref="AH12">AA12/$AD12</f>
        <v>1113.690277680210</v>
      </c>
      <c r="AI12" s="41" cm="1">
        <f t="array" ref="AI12">AB12/$AD12</f>
        <v>-559.959332526640</v>
      </c>
    </row>
    <row r="13" ht="17" customHeight="1">
      <c r="A13" s="6"/>
      <c r="B13" t="s" s="32">
        <v>36</v>
      </c>
      <c r="C13" s="34">
        <v>0</v>
      </c>
      <c r="D13" t="s" s="32">
        <v>37</v>
      </c>
      <c r="E13" s="37">
        <v>0.447476018938928</v>
      </c>
      <c r="F13" s="38">
        <v>5.58884951426417</v>
      </c>
      <c r="G13" s="42">
        <v>11.370333372283</v>
      </c>
      <c r="H13" s="34">
        <v>-4.96729596438994</v>
      </c>
      <c r="I13" s="6"/>
      <c r="J13" s="34">
        <v>1.02980759390032</v>
      </c>
      <c r="K13" s="6"/>
      <c r="L13" s="34" cm="1">
        <f t="array" ref="L13">E13*$J13</f>
        <v>0.460814202391591</v>
      </c>
      <c r="M13" s="34" cm="1">
        <f t="array" ref="M13">F13*$J13</f>
        <v>5.75543967095536</v>
      </c>
      <c r="N13" s="34" cm="1">
        <f t="array" ref="N13">G13*$J13</f>
        <v>11.7092556519553</v>
      </c>
      <c r="O13" s="34" cm="1">
        <f t="array" ref="O13">H13*$J13</f>
        <v>-5.11535910527917</v>
      </c>
      <c r="P13" s="6"/>
      <c r="Q13" s="34">
        <v>263.9</v>
      </c>
      <c r="R13" s="34" cm="1">
        <f t="array" ref="R13">Q13/1000</f>
        <v>0.2639</v>
      </c>
      <c r="S13" s="6"/>
      <c r="T13" s="34" cm="1">
        <f t="array" ref="T13">$R13*L13</f>
        <v>0.121608868011141</v>
      </c>
      <c r="U13" s="34" cm="1">
        <f t="array" ref="U13">$R13*M13</f>
        <v>1.51886052916512</v>
      </c>
      <c r="V13" s="34" cm="1">
        <f t="array" ref="V13">$R13*N13</f>
        <v>3.090072566551</v>
      </c>
      <c r="W13" s="34" cm="1">
        <f t="array" ref="W13">$R13*O13</f>
        <v>-1.34994326788317</v>
      </c>
      <c r="X13" s="6"/>
      <c r="Y13" s="6"/>
      <c r="Z13" s="6"/>
      <c r="AA13" s="6"/>
      <c r="AB13" s="6"/>
      <c r="AC13" s="6"/>
      <c r="AD13" s="41">
        <v>0.010209657</v>
      </c>
      <c r="AE13" s="35"/>
      <c r="AF13" s="41" cm="1">
        <f t="array" ref="AF13">Y13/$AD13</f>
        <v>0</v>
      </c>
      <c r="AG13" s="41" cm="1">
        <f t="array" ref="AG13">Z13/$AD13</f>
        <v>0</v>
      </c>
      <c r="AH13" s="41" cm="1">
        <f t="array" ref="AH13">AA13/$AD13</f>
        <v>0</v>
      </c>
      <c r="AI13" s="41" cm="1">
        <f t="array" ref="AI13">AB13/$AD13</f>
        <v>0</v>
      </c>
    </row>
    <row r="14" ht="17" customHeight="1">
      <c r="A14" s="6"/>
      <c r="B14" t="s" s="8">
        <v>38</v>
      </c>
      <c r="C14" s="44">
        <v>0</v>
      </c>
      <c r="D14" t="s" s="8">
        <v>39</v>
      </c>
      <c r="E14" s="37">
        <v>-7.57576280357805</v>
      </c>
      <c r="F14" s="43">
        <v>0.000898014361638009</v>
      </c>
      <c r="G14" s="39">
        <v>106.875835562341</v>
      </c>
      <c r="H14" s="40">
        <v>-52.4703996583684</v>
      </c>
      <c r="I14" s="6"/>
      <c r="J14" s="34">
        <v>1.03105257522219</v>
      </c>
      <c r="K14" s="6"/>
      <c r="L14" s="34" cm="1">
        <f t="array" ref="L14">E14*$J14</f>
        <v>-7.81100974790163</v>
      </c>
      <c r="M14" s="34" cm="1">
        <f t="array" ref="M14">F14*$J14</f>
        <v>0.00092590002015338</v>
      </c>
      <c r="N14" s="34" cm="1">
        <f t="array" ref="N14">G14*$J14</f>
        <v>110.194605485575</v>
      </c>
      <c r="O14" s="34" cm="1">
        <f t="array" ref="O14">H14*$J14</f>
        <v>-54.0997406906983</v>
      </c>
      <c r="P14" s="6"/>
      <c r="Q14" s="34">
        <v>265.83</v>
      </c>
      <c r="R14" s="34" cm="1">
        <f t="array" ref="R14">Q14/1000</f>
        <v>0.26583</v>
      </c>
      <c r="S14" s="6"/>
      <c r="T14" s="34" cm="1">
        <f t="array" ref="T14">$R14*L14</f>
        <v>-2.07640072128469</v>
      </c>
      <c r="U14" s="34" cm="1">
        <f t="array" ref="U14">$R14*M14</f>
        <v>0.000246132002357373</v>
      </c>
      <c r="V14" s="34" cm="1">
        <f t="array" ref="V14">$R14*N14</f>
        <v>29.2930319762304</v>
      </c>
      <c r="W14" s="34" cm="1">
        <f t="array" ref="W14">$R14*O14</f>
        <v>-14.3813340678083</v>
      </c>
      <c r="X14" s="6"/>
      <c r="Y14" s="6"/>
      <c r="Z14" s="6"/>
      <c r="AA14" s="6"/>
      <c r="AB14" s="6"/>
      <c r="AC14" s="6"/>
      <c r="AD14" s="41">
        <v>0.010209657</v>
      </c>
      <c r="AE14" s="35"/>
      <c r="AF14" s="41" cm="1">
        <f t="array" ref="AF14">Y14/$AD14</f>
        <v>0</v>
      </c>
      <c r="AG14" s="41" cm="1">
        <f t="array" ref="AG14">Z14/$AD14</f>
        <v>0</v>
      </c>
      <c r="AH14" s="41" cm="1">
        <f t="array" ref="AH14">AA14/$AD14</f>
        <v>0</v>
      </c>
      <c r="AI14" s="41" cm="1">
        <f t="array" ref="AI14">AB14/$AD14</f>
        <v>0</v>
      </c>
    </row>
    <row r="15" ht="17" customHeight="1">
      <c r="A15" s="6"/>
      <c r="B15" t="s" s="25">
        <v>40</v>
      </c>
      <c r="C15" s="45">
        <v>0</v>
      </c>
      <c r="D15" t="s" s="25">
        <v>41</v>
      </c>
      <c r="E15" s="37">
        <v>78.7914692516037</v>
      </c>
      <c r="F15" s="43">
        <v>0.000898014361638009</v>
      </c>
      <c r="G15" s="42">
        <v>2343.026665220770</v>
      </c>
      <c r="H15" s="34">
        <v>-51.1591319776632</v>
      </c>
      <c r="I15" s="6"/>
      <c r="J15" s="34">
        <v>1.03926292927922</v>
      </c>
      <c r="K15" s="6"/>
      <c r="L15" s="34" cm="1">
        <f t="array" ref="L15">E15*$J15</f>
        <v>81.88505313663531</v>
      </c>
      <c r="M15" s="34" cm="1">
        <f t="array" ref="M15">F15*$J15</f>
        <v>0.000933273036010726</v>
      </c>
      <c r="N15" s="34" cm="1">
        <f t="array" ref="N15">G15*$J15</f>
        <v>2435.020755476660</v>
      </c>
      <c r="O15" s="34" cm="1">
        <f t="array" ref="O15">H15*$J15</f>
        <v>-53.1677893584885</v>
      </c>
      <c r="P15" s="6"/>
      <c r="Q15" s="34">
        <v>263.7514</v>
      </c>
      <c r="R15" s="34" cm="1">
        <f t="array" ref="R15">Q15/1000</f>
        <v>0.2637514</v>
      </c>
      <c r="S15" s="6"/>
      <c r="T15" s="34" cm="1">
        <f t="array" ref="T15">$R15*L15</f>
        <v>21.597297403862</v>
      </c>
      <c r="U15" s="34" cm="1">
        <f t="array" ref="U15">$R15*M15</f>
        <v>0.000246152069830079</v>
      </c>
      <c r="V15" s="34" cm="1">
        <f t="array" ref="V15">$R15*N15</f>
        <v>642.240133286027</v>
      </c>
      <c r="W15" s="34" cm="1">
        <f t="array" ref="W15">$R15*O15</f>
        <v>-14.0230788782064</v>
      </c>
      <c r="X15" s="6"/>
      <c r="Y15" s="34" cm="1">
        <f t="array" ref="Y15">T15-Y$21-Y$3</f>
        <v>16.6640116765328</v>
      </c>
      <c r="Z15" s="34" cm="1">
        <f t="array" ref="Z15">U15-Z$21-Z$3</f>
        <v>-0.0400402725754155</v>
      </c>
      <c r="AA15" s="34" cm="1">
        <f t="array" ref="AA15">V15-AA$21-AA$3</f>
        <v>564.651352506880</v>
      </c>
      <c r="AB15" s="34" cm="1">
        <f t="array" ref="AB15">W15-AB$21-AB$3</f>
        <v>-8.30693534561448</v>
      </c>
      <c r="AC15" s="6"/>
      <c r="AD15" s="41">
        <v>0.010209657</v>
      </c>
      <c r="AE15" s="35"/>
      <c r="AF15" s="41" cm="1">
        <f t="array" ref="AF15">Y15/$AD15</f>
        <v>1632.181343264790</v>
      </c>
      <c r="AG15" s="41" cm="1">
        <f t="array" ref="AG15">Z15/$AD15</f>
        <v>-3.92180389364848</v>
      </c>
      <c r="AH15" s="41" cm="1">
        <f t="array" ref="AH15">AA15/$AD15</f>
        <v>55305.6143322817</v>
      </c>
      <c r="AI15" s="41" cm="1">
        <f t="array" ref="AI15">AB15/$AD15</f>
        <v>-813.635105039717</v>
      </c>
    </row>
    <row r="16" ht="17" customHeight="1">
      <c r="A16" s="6"/>
      <c r="B16" t="s" s="32">
        <v>42</v>
      </c>
      <c r="C16" s="34">
        <v>0</v>
      </c>
      <c r="D16" t="s" s="32">
        <v>43</v>
      </c>
      <c r="E16" s="37">
        <v>1.54053125110556</v>
      </c>
      <c r="F16" s="43">
        <v>0.000898014361638009</v>
      </c>
      <c r="G16" s="39">
        <v>234.561670040054</v>
      </c>
      <c r="H16" s="40">
        <v>-51.984752239738</v>
      </c>
      <c r="I16" s="6"/>
      <c r="J16" s="34">
        <v>1.02774837441403</v>
      </c>
      <c r="K16" s="6"/>
      <c r="L16" s="34" cm="1">
        <f t="array" ref="L16">E16*$J16</f>
        <v>1.58327848905775</v>
      </c>
      <c r="M16" s="34" cm="1">
        <f t="array" ref="M16">F16*$J16</f>
        <v>0.000922932800373917</v>
      </c>
      <c r="N16" s="34" cm="1">
        <f t="array" ref="N16">G16*$J16</f>
        <v>241.070375083506</v>
      </c>
      <c r="O16" s="34" cm="1">
        <f t="array" ref="O16">H16*$J16</f>
        <v>-53.4272446087068</v>
      </c>
      <c r="P16" s="6"/>
      <c r="Q16" s="34">
        <v>265.2086</v>
      </c>
      <c r="R16" s="34" cm="1">
        <f t="array" ref="R16">Q16/1000</f>
        <v>0.2652086</v>
      </c>
      <c r="S16" s="6"/>
      <c r="T16" s="34" cm="1">
        <f t="array" ref="T16">$R16*L16</f>
        <v>0.419899071493121</v>
      </c>
      <c r="U16" s="34" cm="1">
        <f t="array" ref="U16">$R16*M16</f>
        <v>0.000244769715881246</v>
      </c>
      <c r="V16" s="34" cm="1">
        <f t="array" ref="V16">$R16*N16</f>
        <v>63.9339366773715</v>
      </c>
      <c r="W16" s="34" cm="1">
        <f t="array" ref="W16">$R16*O16</f>
        <v>-14.1693647445327</v>
      </c>
      <c r="X16" s="6"/>
      <c r="Y16" s="34" cm="1">
        <f t="array" ref="Y16">T16-Y$21-Y$3</f>
        <v>-4.51338665583613</v>
      </c>
      <c r="Z16" s="34" cm="1">
        <f t="array" ref="Z16">U16-Z$21-Z$3</f>
        <v>-0.0400416549293644</v>
      </c>
      <c r="AA16" s="34" cm="1">
        <f t="array" ref="AA16">V16-AA$21-AA$3</f>
        <v>-13.6548441017755</v>
      </c>
      <c r="AB16" s="34" cm="1">
        <f t="array" ref="AB16">W16-AB$21-AB$3</f>
        <v>-8.453221211940781</v>
      </c>
      <c r="AC16" s="6"/>
      <c r="AD16" s="41">
        <v>0.010209657</v>
      </c>
      <c r="AE16" s="35"/>
      <c r="AF16" s="41" cm="1">
        <f t="array" ref="AF16">Y16/$AD16</f>
        <v>-442.070351221018</v>
      </c>
      <c r="AG16" s="41" cm="1">
        <f t="array" ref="AG16">Z16/$AD16</f>
        <v>-3.92193929035661</v>
      </c>
      <c r="AH16" s="41" cm="1">
        <f t="array" ref="AH16">AA16/$AD16</f>
        <v>-1337.443961317750</v>
      </c>
      <c r="AI16" s="41" cm="1">
        <f t="array" ref="AI16">AB16/$AD16</f>
        <v>-827.963291219360</v>
      </c>
    </row>
    <row r="17" ht="17" customHeight="1">
      <c r="A17" s="6"/>
      <c r="B17" t="s" s="32">
        <v>44</v>
      </c>
      <c r="C17" s="34">
        <v>0</v>
      </c>
      <c r="D17" t="s" s="32">
        <v>45</v>
      </c>
      <c r="E17" s="37">
        <v>83.5401861003958</v>
      </c>
      <c r="F17" s="43">
        <v>0.000898014361638009</v>
      </c>
      <c r="G17" s="42">
        <v>1220.109552968990</v>
      </c>
      <c r="H17" s="34">
        <v>-52.2668622993209</v>
      </c>
      <c r="I17" s="6"/>
      <c r="J17" s="34">
        <v>1.02951532725766</v>
      </c>
      <c r="K17" s="6"/>
      <c r="L17" s="34" cm="1">
        <f t="array" ref="L17">E17*$J17</f>
        <v>86.00590203231479</v>
      </c>
      <c r="M17" s="34" cm="1">
        <f t="array" ref="M17">F17*$J17</f>
        <v>0.000924519549403833</v>
      </c>
      <c r="N17" s="34" cm="1">
        <f t="array" ref="N17">G17*$J17</f>
        <v>1256.121485715070</v>
      </c>
      <c r="O17" s="34" cm="1">
        <f t="array" ref="O17">H17*$J17</f>
        <v>-53.8095358448164</v>
      </c>
      <c r="P17" s="6"/>
      <c r="Q17" s="34">
        <v>262.0014</v>
      </c>
      <c r="R17" s="34" cm="1">
        <f t="array" ref="R17">Q17/1000</f>
        <v>0.2620014</v>
      </c>
      <c r="S17" s="6"/>
      <c r="T17" s="34" cm="1">
        <f t="array" ref="T17">$R17*L17</f>
        <v>22.5336667407293</v>
      </c>
      <c r="U17" s="34" cm="1">
        <f t="array" ref="U17">$R17*M17</f>
        <v>0.000242225416271173</v>
      </c>
      <c r="V17" s="34" cm="1">
        <f t="array" ref="V17">$R17*N17</f>
        <v>329.105587827428</v>
      </c>
      <c r="W17" s="34" cm="1">
        <f t="array" ref="W17">$R17*O17</f>
        <v>-14.0981737246921</v>
      </c>
      <c r="X17" s="6"/>
      <c r="Y17" s="34" cm="1">
        <f t="array" ref="Y17">T17-Y$21-Y$3</f>
        <v>17.6003810134001</v>
      </c>
      <c r="Z17" s="34" cm="1">
        <f t="array" ref="Z17">U17-Z$21-Z$3</f>
        <v>-0.0400441992289744</v>
      </c>
      <c r="AA17" s="34" cm="1">
        <f t="array" ref="AA17">V17-AA$21-AA$3</f>
        <v>251.516807048281</v>
      </c>
      <c r="AB17" s="34" cm="1">
        <f t="array" ref="AB17">W17-AB$21-AB$3</f>
        <v>-8.38203019210018</v>
      </c>
      <c r="AC17" s="6"/>
      <c r="AD17" s="41">
        <v>0.010209657</v>
      </c>
      <c r="AE17" s="35"/>
      <c r="AF17" s="41" cm="1">
        <f t="array" ref="AF17">Y17/$AD17</f>
        <v>1723.895426986440</v>
      </c>
      <c r="AG17" s="41" cm="1">
        <f t="array" ref="AG17">Z17/$AD17</f>
        <v>-3.92218849555616</v>
      </c>
      <c r="AH17" s="41" cm="1">
        <f t="array" ref="AH17">AA17/$AD17</f>
        <v>24635.1867695733</v>
      </c>
      <c r="AI17" s="41" cm="1">
        <f t="array" ref="AI17">AB17/$AD17</f>
        <v>-820.990381175409</v>
      </c>
    </row>
    <row r="18" ht="17" customHeight="1">
      <c r="A18" s="6"/>
      <c r="B18" t="s" s="32">
        <v>46</v>
      </c>
      <c r="C18" s="34">
        <v>0</v>
      </c>
      <c r="D18" t="s" s="32">
        <v>47</v>
      </c>
      <c r="E18" s="37">
        <v>-19.0528413668904</v>
      </c>
      <c r="F18" s="43">
        <v>0.000898014361638009</v>
      </c>
      <c r="G18" s="46">
        <v>0.00202986066283844</v>
      </c>
      <c r="H18" s="40">
        <v>-53.5049293739512</v>
      </c>
      <c r="I18" s="6"/>
      <c r="J18" s="34">
        <v>1.02921725652286</v>
      </c>
      <c r="K18" s="6"/>
      <c r="L18" s="34" cm="1">
        <f t="array" ref="L18">E18*$J18</f>
        <v>-19.6095131205962</v>
      </c>
      <c r="M18" s="34" cm="1">
        <f t="array" ref="M18">F18*$J18</f>
        <v>0.0009242518776031991</v>
      </c>
      <c r="N18" s="34" cm="1">
        <f t="array" ref="N18">G18*$J18</f>
        <v>0.00208916762253025</v>
      </c>
      <c r="O18" s="34" cm="1">
        <f t="array" ref="O18">H18*$J18</f>
        <v>-55.0681966207074</v>
      </c>
      <c r="P18" s="6"/>
      <c r="Q18" s="34">
        <v>262.7592</v>
      </c>
      <c r="R18" s="34" cm="1">
        <f t="array" ref="R18">Q18/1000</f>
        <v>0.2627592</v>
      </c>
      <c r="S18" s="6"/>
      <c r="T18" s="34" cm="1">
        <f t="array" ref="T18">$R18*L18</f>
        <v>-5.15257997995736</v>
      </c>
      <c r="U18" s="34" cm="1">
        <f t="array" ref="U18">$R18*M18</f>
        <v>0.000242855683957514</v>
      </c>
      <c r="V18" s="34" cm="1">
        <f t="array" ref="V18">$R18*N18</f>
        <v>0.00054894801316195</v>
      </c>
      <c r="W18" s="34" cm="1">
        <f t="array" ref="W18">$R18*O18</f>
        <v>-14.4696752894998</v>
      </c>
      <c r="X18" s="6"/>
      <c r="Y18" s="34" cm="1">
        <f t="array" ref="Y18">T18-Y$21-Y$3</f>
        <v>-10.0858657072866</v>
      </c>
      <c r="Z18" s="34" cm="1">
        <f t="array" ref="Z18">U18-Z$21-Z$3</f>
        <v>-0.0400435689612881</v>
      </c>
      <c r="AA18" s="34" cm="1">
        <f t="array" ref="AA18">V18-AA$21-AA$3</f>
        <v>-77.5882318311338</v>
      </c>
      <c r="AB18" s="34" cm="1">
        <f t="array" ref="AB18">W18-AB$21-AB$3</f>
        <v>-8.753531756907879</v>
      </c>
      <c r="AC18" s="6"/>
      <c r="AD18" s="41">
        <v>0.010209657</v>
      </c>
      <c r="AE18" s="35"/>
      <c r="AF18" s="41" cm="1">
        <f t="array" ref="AF18">Y18/$AD18</f>
        <v>-987.875078201609</v>
      </c>
      <c r="AG18" s="41" cm="1">
        <f t="array" ref="AG18">Z18/$AD18</f>
        <v>-3.92212676305268</v>
      </c>
      <c r="AH18" s="41" cm="1">
        <f t="array" ref="AH18">AA18/$AD18</f>
        <v>-7599.494462069960</v>
      </c>
      <c r="AI18" s="41" cm="1">
        <f t="array" ref="AI18">AB18/$AD18</f>
        <v>-857.377653030643</v>
      </c>
    </row>
    <row r="19" ht="17" customHeight="1">
      <c r="A19" s="6"/>
      <c r="B19" t="s" s="32">
        <v>48</v>
      </c>
      <c r="C19" s="34">
        <v>0</v>
      </c>
      <c r="D19" t="s" s="32">
        <v>49</v>
      </c>
      <c r="E19" s="37">
        <v>0.716206431402682</v>
      </c>
      <c r="F19" s="43">
        <v>0.000898014361638009</v>
      </c>
      <c r="G19" s="42">
        <v>4.50945099941598</v>
      </c>
      <c r="H19" s="34">
        <v>-3.23856911922651</v>
      </c>
      <c r="I19" s="6"/>
      <c r="J19" s="34">
        <v>1.0298228780374</v>
      </c>
      <c r="K19" s="6"/>
      <c r="L19" s="34" cm="1">
        <f t="array" ref="L19">E19*$J19</f>
        <v>0.737565768456006</v>
      </c>
      <c r="M19" s="34" cm="1">
        <f t="array" ref="M19">F19*$J19</f>
        <v>0.000924795734420973</v>
      </c>
      <c r="N19" s="34" cm="1">
        <f t="array" ref="N19">G19*$J19</f>
        <v>4.64393580658719</v>
      </c>
      <c r="O19" s="34" cm="1">
        <f t="array" ref="O19">H19*$J19</f>
        <v>-3.33515257108489</v>
      </c>
      <c r="P19" s="6"/>
      <c r="Q19" s="34">
        <v>264.4936</v>
      </c>
      <c r="R19" s="34" cm="1">
        <f t="array" ref="R19">Q19/1000</f>
        <v>0.2644936</v>
      </c>
      <c r="S19" s="6"/>
      <c r="T19" s="34" cm="1">
        <f t="array" ref="T19">$R19*L19</f>
        <v>0.195081425335695</v>
      </c>
      <c r="U19" s="34" cm="1">
        <f t="array" ref="U19">$R19*M19</f>
        <v>0.000244602553061647</v>
      </c>
      <c r="V19" s="34" cm="1">
        <f t="array" ref="V19">$R19*N19</f>
        <v>1.22829129965315</v>
      </c>
      <c r="W19" s="34" cm="1">
        <f t="array" ref="W19">$R19*O19</f>
        <v>-0.882126510075498</v>
      </c>
      <c r="X19" s="6"/>
      <c r="Y19" s="34" cm="1">
        <f t="array" ref="Y19">T19-Y$21-Y$3</f>
        <v>-4.73820430199356</v>
      </c>
      <c r="Z19" s="34" cm="1">
        <f t="array" ref="Z19">U19-Z$21-Z$3</f>
        <v>-0.040041822092184</v>
      </c>
      <c r="AA19" s="34" cm="1">
        <f t="array" ref="AA19">V19-AA$21-AA$3</f>
        <v>-76.36048947949391</v>
      </c>
      <c r="AB19" s="34" cm="1">
        <f t="array" ref="AB19">W19-AB$21-AB$3</f>
        <v>4.83401702251642</v>
      </c>
      <c r="AC19" s="6"/>
      <c r="AD19" s="41">
        <v>0.010209657</v>
      </c>
      <c r="AE19" s="35"/>
      <c r="AF19" s="41" cm="1">
        <f t="array" ref="AF19">Y19/$AD19</f>
        <v>-464.090449071263</v>
      </c>
      <c r="AG19" s="41" cm="1">
        <f t="array" ref="AG19">Z19/$AD19</f>
        <v>-3.92195566336695</v>
      </c>
      <c r="AH19" s="41" cm="1">
        <f t="array" ref="AH19">AA19/$AD19</f>
        <v>-7479.241416189980</v>
      </c>
      <c r="AI19" s="41" cm="1">
        <f t="array" ref="AI19">AB19/$AD19</f>
        <v>473.474968112682</v>
      </c>
    </row>
    <row r="20" ht="17" customHeight="1">
      <c r="A20" s="6"/>
      <c r="B20" t="s" s="32">
        <v>50</v>
      </c>
      <c r="C20" s="34">
        <v>0</v>
      </c>
      <c r="D20" t="s" s="32">
        <v>51</v>
      </c>
      <c r="E20" s="37">
        <v>159.571536528521</v>
      </c>
      <c r="F20" s="38">
        <v>1.1821306404507</v>
      </c>
      <c r="G20" s="42">
        <v>1735.163732993970</v>
      </c>
      <c r="H20" s="34">
        <v>-2.99740556574864</v>
      </c>
      <c r="I20" s="6"/>
      <c r="J20" s="34">
        <v>1.02906018136851</v>
      </c>
      <c r="K20" s="6"/>
      <c r="L20" s="34" cm="1">
        <f t="array" ref="L20">E20*$J20</f>
        <v>164.208714321292</v>
      </c>
      <c r="M20" s="34" cm="1">
        <f t="array" ref="M20">F20*$J20</f>
        <v>1.21648357126347</v>
      </c>
      <c r="N20" s="34" cm="1">
        <f t="array" ref="N20">G20*$J20</f>
        <v>1785.587905778840</v>
      </c>
      <c r="O20" s="34" cm="1">
        <f t="array" ref="O20">H20*$J20</f>
        <v>-3.08451071512428</v>
      </c>
      <c r="P20" s="6"/>
      <c r="Q20" s="34">
        <v>264.5412</v>
      </c>
      <c r="R20" s="34" cm="1">
        <f t="array" ref="R20">Q20/1000</f>
        <v>0.2645412</v>
      </c>
      <c r="S20" s="6"/>
      <c r="T20" s="34" cm="1">
        <f t="array" ref="T20">$R20*L20</f>
        <v>43.4399703370118</v>
      </c>
      <c r="U20" s="34" cm="1">
        <f t="array" ref="U20">$R20*M20</f>
        <v>0.321810023722324</v>
      </c>
      <c r="V20" s="34" cm="1">
        <f t="array" ref="V20">$R20*N20</f>
        <v>472.361567300221</v>
      </c>
      <c r="W20" s="34" cm="1">
        <f t="array" ref="W20">$R20*O20</f>
        <v>-0.815980165991835</v>
      </c>
      <c r="X20" s="6"/>
      <c r="Y20" s="34" cm="1">
        <f t="array" ref="Y20">T20-Y$21-Y$3</f>
        <v>38.5066846096826</v>
      </c>
      <c r="Z20" s="34" cm="1">
        <f t="array" ref="Z20">U20-Z$21-Z$3</f>
        <v>0.281523599077078</v>
      </c>
      <c r="AA20" s="34" cm="1">
        <f t="array" ref="AA20">V20-AA$21-AA$3</f>
        <v>394.772786521074</v>
      </c>
      <c r="AB20" s="34" cm="1">
        <f t="array" ref="AB20">W20-AB$21-AB$3</f>
        <v>4.90016336660009</v>
      </c>
      <c r="AC20" s="6"/>
      <c r="AD20" s="41">
        <v>0.010209657</v>
      </c>
      <c r="AE20" s="35"/>
      <c r="AF20" s="41" cm="1">
        <f t="array" ref="AF20">Y20/$AD20</f>
        <v>3771.594345400890</v>
      </c>
      <c r="AG20" s="41" cm="1">
        <f t="array" ref="AG20">Z20/$AD20</f>
        <v>27.5742465272906</v>
      </c>
      <c r="AH20" s="41" cm="1">
        <f t="array" ref="AH20">AA20/$AD20</f>
        <v>38666.6061867773</v>
      </c>
      <c r="AI20" s="41" cm="1">
        <f t="array" ref="AI20">AB20/$AD20</f>
        <v>479.953769906285</v>
      </c>
    </row>
    <row r="21" ht="17" customHeight="1">
      <c r="A21" s="6"/>
      <c r="B21" t="s" s="32">
        <v>52</v>
      </c>
      <c r="C21" s="34">
        <v>0</v>
      </c>
      <c r="D21" t="s" s="32">
        <v>53</v>
      </c>
      <c r="E21" s="37">
        <v>44.1761779943269</v>
      </c>
      <c r="F21" s="43">
        <v>0.000898014361638009</v>
      </c>
      <c r="G21" s="39">
        <v>457.553051927409</v>
      </c>
      <c r="H21" s="40">
        <v>-4.26362574611197</v>
      </c>
      <c r="I21" s="6"/>
      <c r="J21" s="34">
        <v>1.03081064130037</v>
      </c>
      <c r="K21" s="6"/>
      <c r="L21" s="34" cm="1">
        <f t="array" ref="L21">E21*$J21</f>
        <v>45.5372743685314</v>
      </c>
      <c r="M21" s="34" cm="1">
        <f t="array" ref="M21">F21*$J21</f>
        <v>0.000925682760017018</v>
      </c>
      <c r="N21" s="34" cm="1">
        <f t="array" ref="N21">G21*$J21</f>
        <v>471.650554886234</v>
      </c>
      <c r="O21" s="34" cm="1">
        <f t="array" ref="O21">H21*$J21</f>
        <v>-4.39499078961445</v>
      </c>
      <c r="P21" s="6"/>
      <c r="Q21" s="34">
        <v>267.77</v>
      </c>
      <c r="R21" s="34" cm="1">
        <f t="array" ref="R21">Q21/1000</f>
        <v>0.26777</v>
      </c>
      <c r="S21" s="6"/>
      <c r="T21" s="34" cm="1">
        <f t="array" ref="T21">$R21*L21</f>
        <v>12.1935159576617</v>
      </c>
      <c r="U21" s="34" cm="1">
        <f t="array" ref="U21">$R21*M21</f>
        <v>0.000247870072649757</v>
      </c>
      <c r="V21" s="34" cm="1">
        <f t="array" ref="V21">$R21*N21</f>
        <v>126.293869081887</v>
      </c>
      <c r="W21" s="34" cm="1">
        <f t="array" ref="W21">$R21*O21</f>
        <v>-1.17684668373506</v>
      </c>
      <c r="X21" s="6"/>
      <c r="Y21" s="34" cm="1">
        <f t="array" ref="Y21">AVERAGE(T21:T23)</f>
        <v>4.93328572732925</v>
      </c>
      <c r="Z21" s="34" cm="1">
        <f t="array" ref="Z21">AVERAGE(U21:U23)</f>
        <v>0.0402864246452456</v>
      </c>
      <c r="AA21" s="34" cm="1">
        <f t="array" ref="AA21">AVERAGE(V21:V23)</f>
        <v>77.588780779147</v>
      </c>
      <c r="AB21" s="34" cm="1">
        <f t="array" ref="AB21">AVERAGE(W21:W23)</f>
        <v>-5.71614353259192</v>
      </c>
      <c r="AC21" s="6"/>
      <c r="AD21" s="41">
        <v>0.010209657</v>
      </c>
      <c r="AE21" s="35"/>
      <c r="AF21" s="41" cm="1">
        <f t="array" ref="AF21">Y21/$AD21</f>
        <v>483.197988662033</v>
      </c>
      <c r="AG21" s="41" cm="1">
        <f t="array" ref="AG21">Z21/$AD21</f>
        <v>3.9459136232731</v>
      </c>
      <c r="AH21" s="41" cm="1">
        <f t="array" ref="AH21">AA21/$AD21</f>
        <v>7599.548229597430</v>
      </c>
      <c r="AI21" s="41" cm="1">
        <f t="array" ref="AI21">AB21/$AD21</f>
        <v>-559.8761576997071</v>
      </c>
    </row>
    <row r="22" ht="17" customHeight="1">
      <c r="A22" s="6"/>
      <c r="B22" t="s" s="32">
        <v>54</v>
      </c>
      <c r="C22" s="34">
        <v>0</v>
      </c>
      <c r="D22" t="s" s="32">
        <v>55</v>
      </c>
      <c r="E22" s="37">
        <v>20.1335810263051</v>
      </c>
      <c r="F22" s="38">
        <v>0.43690470884507</v>
      </c>
      <c r="G22" s="39">
        <v>386.473617035316</v>
      </c>
      <c r="H22" s="40">
        <v>-5.0308155048992</v>
      </c>
      <c r="I22" s="6"/>
      <c r="J22" s="34">
        <v>1.03062344406671</v>
      </c>
      <c r="K22" s="6"/>
      <c r="L22" s="34" cm="1">
        <f t="array" ref="L22">E22*$J22</f>
        <v>20.7501406187267</v>
      </c>
      <c r="M22" s="34" cm="1">
        <f t="array" ref="M22">F22*$J22</f>
        <v>0.450284235758869</v>
      </c>
      <c r="N22" s="34" cm="1">
        <f t="array" ref="N22">G22*$J22</f>
        <v>398.308770229856</v>
      </c>
      <c r="O22" s="34" cm="1">
        <f t="array" ref="O22">H22*$J22</f>
        <v>-5.18487640212342</v>
      </c>
      <c r="P22" s="6"/>
      <c r="Q22" s="34">
        <v>267.31</v>
      </c>
      <c r="R22" s="34" cm="1">
        <f t="array" ref="R22">Q22/1000</f>
        <v>0.26731</v>
      </c>
      <c r="S22" s="6"/>
      <c r="T22" s="34" cm="1">
        <f t="array" ref="T22">$R22*L22</f>
        <v>5.54672008879183</v>
      </c>
      <c r="U22" s="34" cm="1">
        <f t="array" ref="U22">$R22*M22</f>
        <v>0.120365479060703</v>
      </c>
      <c r="V22" s="34" cm="1">
        <f t="array" ref="V22">$R22*N22</f>
        <v>106.471917370143</v>
      </c>
      <c r="W22" s="34" cm="1">
        <f t="array" ref="W22">$R22*O22</f>
        <v>-1.38596931105161</v>
      </c>
      <c r="X22" s="6"/>
      <c r="Y22" s="6"/>
      <c r="Z22" s="6"/>
      <c r="AA22" s="6"/>
      <c r="AB22" s="6"/>
      <c r="AC22" s="6"/>
      <c r="AD22" s="41">
        <v>0.010209657</v>
      </c>
      <c r="AE22" s="35"/>
      <c r="AF22" s="41" cm="1">
        <f t="array" ref="AF22">Y22/$AD22</f>
        <v>0</v>
      </c>
      <c r="AG22" s="41" cm="1">
        <f t="array" ref="AG22">Z22/$AD22</f>
        <v>0</v>
      </c>
      <c r="AH22" s="41" cm="1">
        <f t="array" ref="AH22">AA22/$AD22</f>
        <v>0</v>
      </c>
      <c r="AI22" s="41" cm="1">
        <f t="array" ref="AI22">AB22/$AD22</f>
        <v>0</v>
      </c>
    </row>
    <row r="23" ht="17" customHeight="1">
      <c r="A23" s="6"/>
      <c r="B23" t="s" s="8">
        <v>56</v>
      </c>
      <c r="C23" s="44">
        <v>0</v>
      </c>
      <c r="D23" t="s" s="8">
        <v>57</v>
      </c>
      <c r="E23" s="37">
        <v>-10.737031903048</v>
      </c>
      <c r="F23" s="43">
        <v>0.000898014361638009</v>
      </c>
      <c r="G23" s="46">
        <v>0.00202986066283844</v>
      </c>
      <c r="H23" s="40">
        <v>-53.2605546892028</v>
      </c>
      <c r="I23" s="6"/>
      <c r="J23" s="34">
        <v>1.02971977749341</v>
      </c>
      <c r="K23" s="6"/>
      <c r="L23" s="34" cm="1">
        <f t="array" ref="L23">E23*$J23</f>
        <v>-11.0561341021462</v>
      </c>
      <c r="M23" s="34" cm="1">
        <f t="array" ref="M23">F23*$J23</f>
        <v>0.000924703148651777</v>
      </c>
      <c r="N23" s="34" cm="1">
        <f t="array" ref="N23">G23*$J23</f>
        <v>0.00209018767008062</v>
      </c>
      <c r="O23" s="34" cm="1">
        <f t="array" ref="O23">H23*$J23</f>
        <v>-54.8434465237415</v>
      </c>
      <c r="P23" s="6"/>
      <c r="Q23" s="34">
        <v>265.95</v>
      </c>
      <c r="R23" s="34" cm="1">
        <f t="array" ref="R23">Q23/1000</f>
        <v>0.26595</v>
      </c>
      <c r="S23" s="6"/>
      <c r="T23" s="34" cm="1">
        <f t="array" ref="T23">$R23*L23</f>
        <v>-2.94037886446578</v>
      </c>
      <c r="U23" s="34" cm="1">
        <f t="array" ref="U23">$R23*M23</f>
        <v>0.00024592480238394</v>
      </c>
      <c r="V23" s="34" cm="1">
        <f t="array" ref="V23">$R23*N23</f>
        <v>0.000555885410857941</v>
      </c>
      <c r="W23" s="34" cm="1">
        <f t="array" ref="W23">$R23*O23</f>
        <v>-14.5856146029891</v>
      </c>
      <c r="X23" s="6"/>
      <c r="Y23" s="6"/>
      <c r="Z23" s="6"/>
      <c r="AA23" s="6"/>
      <c r="AB23" s="6"/>
      <c r="AC23" s="6"/>
      <c r="AD23" s="41">
        <v>0.010209657</v>
      </c>
      <c r="AE23" s="35"/>
      <c r="AF23" s="41" cm="1">
        <f t="array" ref="AF23">Y23/$AD23</f>
        <v>0</v>
      </c>
      <c r="AG23" s="41" cm="1">
        <f t="array" ref="AG23">Z23/$AD23</f>
        <v>0</v>
      </c>
      <c r="AH23" s="41" cm="1">
        <f t="array" ref="AH23">AA23/$AD23</f>
        <v>0</v>
      </c>
      <c r="AI23" s="41" cm="1">
        <f t="array" ref="AI23">AB23/$AD23</f>
        <v>0</v>
      </c>
    </row>
    <row r="24" ht="17" customHeight="1">
      <c r="A24" s="6"/>
      <c r="B24" t="s" s="25">
        <v>58</v>
      </c>
      <c r="C24" s="45">
        <v>0</v>
      </c>
      <c r="D24" t="s" s="25">
        <v>59</v>
      </c>
      <c r="E24" s="37">
        <v>-12.4185483335767</v>
      </c>
      <c r="F24" s="43">
        <v>0.000898014361638009</v>
      </c>
      <c r="G24" s="39">
        <v>10.8208865596541</v>
      </c>
      <c r="H24" s="40">
        <v>-53.0863923397452</v>
      </c>
      <c r="I24" s="6"/>
      <c r="J24" s="34">
        <v>1.02888288930773</v>
      </c>
      <c r="K24" s="6"/>
      <c r="L24" s="34" cm="1">
        <f t="array" ref="L24">E24*$J24</f>
        <v>-12.7772318904581</v>
      </c>
      <c r="M24" s="34" cm="1">
        <f t="array" ref="M24">F24*$J24</f>
        <v>0.000923951611041951</v>
      </c>
      <c r="N24" s="34" cm="1">
        <f t="array" ref="N24">G24*$J24</f>
        <v>11.1334250283681</v>
      </c>
      <c r="O24" s="34" cm="1">
        <f t="array" ref="O24">H24*$J24</f>
        <v>-54.6196807334408</v>
      </c>
      <c r="P24" s="6"/>
      <c r="Q24" s="34">
        <v>266.6738</v>
      </c>
      <c r="R24" s="34" cm="1">
        <f t="array" ref="R24">Q24/1000</f>
        <v>0.2666738</v>
      </c>
      <c r="S24" s="6"/>
      <c r="T24" s="34" cm="1">
        <f t="array" ref="T24">$R24*L24</f>
        <v>-3.40735298170965</v>
      </c>
      <c r="U24" s="34" cm="1">
        <f t="array" ref="U24">$R24*M24</f>
        <v>0.000246393687132679</v>
      </c>
      <c r="V24" s="34" cm="1">
        <f t="array" ref="V24">$R24*N24</f>
        <v>2.96899275933003</v>
      </c>
      <c r="W24" s="34" cm="1">
        <f t="array" ref="W24">$R24*O24</f>
        <v>-14.5656378159734</v>
      </c>
      <c r="X24" s="6"/>
      <c r="Y24" s="34" cm="1">
        <f t="array" ref="Y24">T24-Y$30-Y$3</f>
        <v>-8.49519637760879</v>
      </c>
      <c r="Z24" s="34" cm="1">
        <f t="array" ref="Z24">U24-Z$30-Z$3</f>
        <v>-0.0543622979527328</v>
      </c>
      <c r="AA24" s="34" cm="1">
        <f t="array" ref="AA24">V24-AA$30-AA$3</f>
        <v>2.11015098806563</v>
      </c>
      <c r="AB24" s="34" cm="1">
        <f t="array" ref="AB24">W24-AB$30-AB$3</f>
        <v>-13.2314349153401</v>
      </c>
      <c r="AC24" s="6"/>
      <c r="AD24" s="41">
        <v>0.010209657</v>
      </c>
      <c r="AE24" s="35"/>
      <c r="AF24" s="41" cm="1">
        <f t="array" ref="AF24">Y24/$AD24</f>
        <v>-832.074611087208</v>
      </c>
      <c r="AG24" s="41" cm="1">
        <f t="array" ref="AG24">Z24/$AD24</f>
        <v>-5.32459591470436</v>
      </c>
      <c r="AH24" s="41" cm="1">
        <f t="array" ref="AH24">AA24/$AD24</f>
        <v>206.681868750892</v>
      </c>
      <c r="AI24" s="41" cm="1">
        <f t="array" ref="AI24">AB24/$AD24</f>
        <v>-1295.972520461760</v>
      </c>
    </row>
    <row r="25" ht="17" customHeight="1">
      <c r="A25" s="6"/>
      <c r="B25" t="s" s="32">
        <v>60</v>
      </c>
      <c r="C25" s="34">
        <v>0</v>
      </c>
      <c r="D25" t="s" s="32">
        <v>61</v>
      </c>
      <c r="E25" s="37">
        <v>-12.7659215915574</v>
      </c>
      <c r="F25" s="43">
        <v>0.000898014361638009</v>
      </c>
      <c r="G25" s="42">
        <v>24.8968778817796</v>
      </c>
      <c r="H25" s="34">
        <v>-53.1132422522069</v>
      </c>
      <c r="I25" s="6"/>
      <c r="J25" s="34">
        <v>1.02968089794437</v>
      </c>
      <c r="K25" s="6"/>
      <c r="L25" s="34" cm="1">
        <f t="array" ref="L25">E25*$J25</f>
        <v>-13.1448256074822</v>
      </c>
      <c r="M25" s="34" cm="1">
        <f t="array" ref="M25">F25*$J25</f>
        <v>0.000924668234258365</v>
      </c>
      <c r="N25" s="34" cm="1">
        <f t="array" ref="N25">G25*$J25</f>
        <v>25.6358395733221</v>
      </c>
      <c r="O25" s="34" cm="1">
        <f t="array" ref="O25">H25*$J25</f>
        <v>-54.6896909749893</v>
      </c>
      <c r="P25" s="6"/>
      <c r="Q25" s="34">
        <v>267.3144</v>
      </c>
      <c r="R25" s="34" cm="1">
        <f t="array" ref="R25">Q25/1000</f>
        <v>0.2673144</v>
      </c>
      <c r="S25" s="6"/>
      <c r="T25" s="34" cm="1">
        <f t="array" ref="T25">$R25*L25</f>
        <v>-3.51380117036874</v>
      </c>
      <c r="U25" s="34" cm="1">
        <f t="array" ref="U25">$R25*M25</f>
        <v>0.000247177134239834</v>
      </c>
      <c r="V25" s="34" cm="1">
        <f t="array" ref="V25">$R25*N25</f>
        <v>6.85282907403885</v>
      </c>
      <c r="W25" s="34" cm="1">
        <f t="array" ref="W25">$R25*O25</f>
        <v>-14.6193419291647</v>
      </c>
      <c r="X25" s="6"/>
      <c r="Y25" s="34" cm="1">
        <f t="array" ref="Y25">T25-Y$30-Y$3</f>
        <v>-8.601644566267881</v>
      </c>
      <c r="Z25" s="34" cm="1">
        <f t="array" ref="Z25">U25-Z$30-Z$3</f>
        <v>-0.0543615145056257</v>
      </c>
      <c r="AA25" s="34" cm="1">
        <f t="array" ref="AA25">V25-AA$30-AA$3</f>
        <v>5.99398730277445</v>
      </c>
      <c r="AB25" s="34" cm="1">
        <f t="array" ref="AB25">W25-AB$30-AB$3</f>
        <v>-13.2851390285314</v>
      </c>
      <c r="AC25" s="6"/>
      <c r="AD25" s="41">
        <v>0.010209657</v>
      </c>
      <c r="AE25" s="35"/>
      <c r="AF25" s="41" cm="1">
        <f t="array" ref="AF25">Y25/$AD25</f>
        <v>-842.500836832019</v>
      </c>
      <c r="AG25" s="41" cm="1">
        <f t="array" ref="AG25">Z25/$AD25</f>
        <v>-5.32451917881528</v>
      </c>
      <c r="AH25" s="41" cm="1">
        <f t="array" ref="AH25">AA25/$AD25</f>
        <v>587.089977927216</v>
      </c>
      <c r="AI25" s="41" cm="1">
        <f t="array" ref="AI25">AB25/$AD25</f>
        <v>-1301.232649493650</v>
      </c>
    </row>
    <row r="26" ht="17" customHeight="1">
      <c r="A26" s="6"/>
      <c r="B26" t="s" s="32">
        <v>62</v>
      </c>
      <c r="C26" s="34">
        <v>0</v>
      </c>
      <c r="D26" t="s" s="32">
        <v>63</v>
      </c>
      <c r="E26" s="37">
        <v>14.6136923414531</v>
      </c>
      <c r="F26" s="43">
        <v>0.000898014361638009</v>
      </c>
      <c r="G26" s="39">
        <v>203.419849284249</v>
      </c>
      <c r="H26" s="40">
        <v>-53.1755955902519</v>
      </c>
      <c r="I26" s="6"/>
      <c r="J26" s="34">
        <v>1.02987223793067</v>
      </c>
      <c r="K26" s="6"/>
      <c r="L26" s="34" cm="1">
        <f t="array" ref="L26">E26*$J26</f>
        <v>15.0502360361226</v>
      </c>
      <c r="M26" s="34" cm="1">
        <f t="array" ref="M26">F26*$J26</f>
        <v>0.000924840060314018</v>
      </c>
      <c r="N26" s="34" cm="1">
        <f t="array" ref="N26">G26*$J26</f>
        <v>209.496455421889</v>
      </c>
      <c r="O26" s="34" cm="1">
        <f t="array" ref="O26">H26*$J26</f>
        <v>-54.764069633829</v>
      </c>
      <c r="P26" s="6"/>
      <c r="Q26" s="34">
        <v>268.1498</v>
      </c>
      <c r="R26" s="34" cm="1">
        <f t="array" ref="R26">Q26/1000</f>
        <v>0.2681498</v>
      </c>
      <c r="S26" s="6"/>
      <c r="T26" s="34" cm="1">
        <f t="array" ref="T26">$R26*L26</f>
        <v>4.03571778303907</v>
      </c>
      <c r="U26" s="34" cm="1">
        <f t="array" ref="U26">$R26*M26</f>
        <v>0.000247995677205192</v>
      </c>
      <c r="V26" s="34" cm="1">
        <f t="array" ref="V26">$R26*N26</f>
        <v>56.1764326220885</v>
      </c>
      <c r="W26" s="34" cm="1">
        <f t="array" ref="W26">$R26*O26</f>
        <v>-14.6849743194973</v>
      </c>
      <c r="X26" s="6"/>
      <c r="Y26" s="34" cm="1">
        <f t="array" ref="Y26">T26-Y$30-Y$3</f>
        <v>-1.05212561286007</v>
      </c>
      <c r="Z26" s="34" cm="1">
        <f t="array" ref="Z26">U26-Z$30-Z$3</f>
        <v>-0.0543606959626603</v>
      </c>
      <c r="AA26" s="34" cm="1">
        <f t="array" ref="AA26">V26-AA$30-AA$3</f>
        <v>55.3175908508241</v>
      </c>
      <c r="AB26" s="34" cm="1">
        <f t="array" ref="AB26">W26-AB$30-AB$3</f>
        <v>-13.350771418864</v>
      </c>
      <c r="AC26" s="6"/>
      <c r="AD26" s="41">
        <v>0.010209657</v>
      </c>
      <c r="AE26" s="35"/>
      <c r="AF26" s="41" cm="1">
        <f t="array" ref="AF26">Y26/$AD26</f>
        <v>-103.052003888090</v>
      </c>
      <c r="AG26" s="41" cm="1">
        <f t="array" ref="AG26">Z26/$AD26</f>
        <v>-5.3244390054103</v>
      </c>
      <c r="AH26" s="41" cm="1">
        <f t="array" ref="AH26">AA26/$AD26</f>
        <v>5418.163494701550</v>
      </c>
      <c r="AI26" s="41" cm="1">
        <f t="array" ref="AI26">AB26/$AD26</f>
        <v>-1307.6611113247</v>
      </c>
    </row>
    <row r="27" ht="17" customHeight="1">
      <c r="A27" s="6"/>
      <c r="B27" t="s" s="32">
        <v>64</v>
      </c>
      <c r="C27" s="34">
        <v>0</v>
      </c>
      <c r="D27" t="s" s="32">
        <v>65</v>
      </c>
      <c r="E27" s="37">
        <v>-5.44574315503664</v>
      </c>
      <c r="F27" s="43">
        <v>0.000898014361638009</v>
      </c>
      <c r="G27" s="42">
        <v>91.2891080102479</v>
      </c>
      <c r="H27" s="34">
        <v>-52.3355288291704</v>
      </c>
      <c r="I27" s="6"/>
      <c r="J27" s="34">
        <v>1.02944310179049</v>
      </c>
      <c r="K27" s="6"/>
      <c r="L27" s="34" cm="1">
        <f t="array" ref="L27">E27*$J27</f>
        <v>-5.60608272507525</v>
      </c>
      <c r="M27" s="34" cm="1">
        <f t="array" ref="M27">F27*$J27</f>
        <v>0.000924454689897039</v>
      </c>
      <c r="N27" s="34" cm="1">
        <f t="array" ref="N27">G27*$J27</f>
        <v>93.9769425097567</v>
      </c>
      <c r="O27" s="34" cm="1">
        <f t="array" ref="O27">H27*$J27</f>
        <v>-53.8764491317468</v>
      </c>
      <c r="P27" s="6"/>
      <c r="Q27" s="34">
        <v>267.1128</v>
      </c>
      <c r="R27" s="34" cm="1">
        <f t="array" ref="R27">Q27/1000</f>
        <v>0.2671128</v>
      </c>
      <c r="S27" s="6"/>
      <c r="T27" s="34" cm="1">
        <f t="array" ref="T27">$R27*L27</f>
        <v>-1.49745645372648</v>
      </c>
      <c r="U27" s="34" cm="1">
        <f t="array" ref="U27">$R27*M27</f>
        <v>0.00024693368069153</v>
      </c>
      <c r="V27" s="34" cm="1">
        <f t="array" ref="V27">$R27*N27</f>
        <v>25.1024442492201</v>
      </c>
      <c r="W27" s="34" cm="1">
        <f t="array" ref="W27">$R27*O27</f>
        <v>-14.3910891816385</v>
      </c>
      <c r="X27" s="6"/>
      <c r="Y27" s="34" cm="1">
        <f t="array" ref="Y27">T27-Y$30-Y$3</f>
        <v>-6.58529984962562</v>
      </c>
      <c r="Z27" s="34" cm="1">
        <f t="array" ref="Z27">U27-Z$30-Z$3</f>
        <v>-0.054361757959174</v>
      </c>
      <c r="AA27" s="34" cm="1">
        <f t="array" ref="AA27">V27-AA$30-AA$3</f>
        <v>24.2436024779557</v>
      </c>
      <c r="AB27" s="34" cm="1">
        <f t="array" ref="AB27">W27-AB$30-AB$3</f>
        <v>-13.0568862810052</v>
      </c>
      <c r="AC27" s="6"/>
      <c r="AD27" s="41">
        <v>0.010209657</v>
      </c>
      <c r="AE27" s="35"/>
      <c r="AF27" s="41" cm="1">
        <f t="array" ref="AF27">Y27/$AD27</f>
        <v>-645.006962489104</v>
      </c>
      <c r="AG27" s="41" cm="1">
        <f t="array" ref="AG27">Z27/$AD27</f>
        <v>-5.32454302423421</v>
      </c>
      <c r="AH27" s="41" cm="1">
        <f t="array" ref="AH27">AA27/$AD27</f>
        <v>2374.575607971520</v>
      </c>
      <c r="AI27" s="41" cm="1">
        <f t="array" ref="AI27">AB27/$AD27</f>
        <v>-1278.876095544170</v>
      </c>
    </row>
    <row r="28" ht="17" customHeight="1">
      <c r="A28" s="6"/>
      <c r="B28" t="s" s="32">
        <v>66</v>
      </c>
      <c r="C28" s="34">
        <v>0</v>
      </c>
      <c r="D28" t="s" s="32">
        <v>67</v>
      </c>
      <c r="E28" s="37">
        <v>-6.84232745139344</v>
      </c>
      <c r="F28" s="43">
        <v>0.000898014361638009</v>
      </c>
      <c r="G28" s="46">
        <v>0.00202986066283844</v>
      </c>
      <c r="H28" s="40">
        <v>-50.8440758465827</v>
      </c>
      <c r="I28" s="6"/>
      <c r="J28" s="34">
        <v>1.02836715274027</v>
      </c>
      <c r="K28" s="6"/>
      <c r="L28" s="34" cm="1">
        <f t="array" ref="L28">E28*$J28</f>
        <v>-7.03642479930606</v>
      </c>
      <c r="M28" s="34" cm="1">
        <f t="array" ref="M28">F28*$J28</f>
        <v>0.00092348847219755</v>
      </c>
      <c r="N28" s="34" cm="1">
        <f t="array" ref="N28">G28*$J28</f>
        <v>0.00208744203030264</v>
      </c>
      <c r="O28" s="34" cm="1">
        <f t="array" ref="O28">H28*$J28</f>
        <v>-52.2863775120606</v>
      </c>
      <c r="P28" s="6"/>
      <c r="Q28" s="34">
        <v>266.5996</v>
      </c>
      <c r="R28" s="34" cm="1">
        <f t="array" ref="R28">Q28/1000</f>
        <v>0.2665996</v>
      </c>
      <c r="S28" s="6"/>
      <c r="T28" s="34" cm="1">
        <f t="array" ref="T28">$R28*L28</f>
        <v>-1.87590803692508</v>
      </c>
      <c r="U28" s="34" cm="1">
        <f t="array" ref="U28">$R28*M28</f>
        <v>0.000246201657292478</v>
      </c>
      <c r="V28" s="34" cm="1">
        <f t="array" ref="V28">$R28*N28</f>
        <v>0.000556511210301872</v>
      </c>
      <c r="W28" s="34" cm="1">
        <f t="array" ref="W28">$R28*O28</f>
        <v>-13.9395273301644</v>
      </c>
      <c r="X28" s="6"/>
      <c r="Y28" s="34" cm="1">
        <f t="array" ref="Y28">T28-Y$30-Y$3</f>
        <v>-6.96375143282422</v>
      </c>
      <c r="Z28" s="34" cm="1">
        <f t="array" ref="Z28">U28-Z$30-Z$3</f>
        <v>-0.054362489982573</v>
      </c>
      <c r="AA28" s="34" cm="1">
        <f t="array" ref="AA28">V28-AA$30-AA$3</f>
        <v>-0.858285260054094</v>
      </c>
      <c r="AB28" s="34" cm="1">
        <f t="array" ref="AB28">W28-AB$30-AB$3</f>
        <v>-12.6053244295311</v>
      </c>
      <c r="AC28" s="6"/>
      <c r="AD28" s="41">
        <v>0.010209657</v>
      </c>
      <c r="AE28" s="35"/>
      <c r="AF28" s="41" cm="1">
        <f t="array" ref="AF28">Y28/$AD28</f>
        <v>-682.074964205381</v>
      </c>
      <c r="AG28" s="41" cm="1">
        <f t="array" ref="AG28">Z28/$AD28</f>
        <v>-5.32461472335192</v>
      </c>
      <c r="AH28" s="41" cm="1">
        <f t="array" ref="AH28">AA28/$AD28</f>
        <v>-84.0660229872653</v>
      </c>
      <c r="AI28" s="41" cm="1">
        <f t="array" ref="AI28">AB28/$AD28</f>
        <v>-1234.647200148950</v>
      </c>
    </row>
    <row r="29" ht="17" customHeight="1">
      <c r="A29" s="6"/>
      <c r="B29" t="s" s="32">
        <v>68</v>
      </c>
      <c r="C29" s="34">
        <v>0</v>
      </c>
      <c r="D29" t="s" s="32">
        <v>69</v>
      </c>
      <c r="E29" s="37">
        <v>-0.00020253192124787</v>
      </c>
      <c r="F29" s="38">
        <v>5.37719991680514</v>
      </c>
      <c r="G29" s="42">
        <v>6.13125815676078</v>
      </c>
      <c r="H29" s="34">
        <v>-3.3414017127991</v>
      </c>
      <c r="I29" s="6"/>
      <c r="J29" s="34">
        <v>1.02946550348697</v>
      </c>
      <c r="K29" s="6"/>
      <c r="L29" s="34" cm="1">
        <f t="array" ref="L29">E29*$J29</f>
        <v>-0.000208499626279622</v>
      </c>
      <c r="M29" s="34" cm="1">
        <f t="array" ref="M29">F29*$J29</f>
        <v>5.5356418197039</v>
      </c>
      <c r="N29" s="34" cm="1">
        <f t="array" ref="N29">G29*$J29</f>
        <v>6.31191876535833</v>
      </c>
      <c r="O29" s="34" cm="1">
        <f t="array" ref="O29">H29*$J29</f>
        <v>-3.43985779661895</v>
      </c>
      <c r="P29" s="6"/>
      <c r="Q29" s="34">
        <v>267.124</v>
      </c>
      <c r="R29" s="34" cm="1">
        <f t="array" ref="R29">Q29/1000</f>
        <v>0.267124</v>
      </c>
      <c r="S29" s="6"/>
      <c r="T29" s="34" cm="1">
        <f t="array" ref="T29">$R29*L29</f>
        <v>-5.56952541703177e-05</v>
      </c>
      <c r="U29" s="34" cm="1">
        <f t="array" ref="U29">$R29*M29</f>
        <v>1.47870278544658</v>
      </c>
      <c r="V29" s="34" cm="1">
        <f t="array" ref="V29">$R29*N29</f>
        <v>1.68606498827758</v>
      </c>
      <c r="W29" s="34" cm="1">
        <f t="array" ref="W29">$R29*O29</f>
        <v>-0.91886857406404</v>
      </c>
      <c r="X29" s="6"/>
      <c r="Y29" s="34" cm="1">
        <f t="array" ref="Y29">T29-Y$30-Y$3</f>
        <v>-5.08789909115331</v>
      </c>
      <c r="Z29" s="34" cm="1">
        <f t="array" ref="Z29">U29-Z$30-Z$3</f>
        <v>1.42409409380671</v>
      </c>
      <c r="AA29" s="34" cm="1">
        <f t="array" ref="AA29">V29-AA$30-AA$3</f>
        <v>0.827223217013184</v>
      </c>
      <c r="AB29" s="34" cm="1">
        <f t="array" ref="AB29">W29-AB$30-AB$3</f>
        <v>0.41533432656929</v>
      </c>
      <c r="AC29" s="6"/>
      <c r="AD29" s="41">
        <v>0.010209657</v>
      </c>
      <c r="AE29" s="35"/>
      <c r="AF29" s="41" cm="1">
        <f t="array" ref="AF29">Y29/$AD29</f>
        <v>-498.341823937211</v>
      </c>
      <c r="AG29" s="41" cm="1">
        <f t="array" ref="AG29">Z29/$AD29</f>
        <v>139.485008537183</v>
      </c>
      <c r="AH29" s="41" cm="1">
        <f t="array" ref="AH29">AA29/$AD29</f>
        <v>81.0236051037938</v>
      </c>
      <c r="AI29" s="41" cm="1">
        <f t="array" ref="AI29">AB29/$AD29</f>
        <v>40.6805367280497</v>
      </c>
    </row>
    <row r="30" ht="17" customHeight="1">
      <c r="A30" s="6"/>
      <c r="B30" t="s" s="32">
        <v>70</v>
      </c>
      <c r="C30" s="34">
        <v>0</v>
      </c>
      <c r="D30" t="s" s="32">
        <v>71</v>
      </c>
      <c r="E30" s="37">
        <v>52.8748062916306</v>
      </c>
      <c r="F30" s="43">
        <v>0.000898014361638009</v>
      </c>
      <c r="G30" s="46">
        <v>0.00202986066283844</v>
      </c>
      <c r="H30" s="40">
        <v>-4.48729010323995</v>
      </c>
      <c r="I30" s="6"/>
      <c r="J30" s="34">
        <v>1.02920834083254</v>
      </c>
      <c r="K30" s="6"/>
      <c r="L30" s="34" cm="1">
        <f t="array" ref="L30">E30*$J30</f>
        <v>54.4191916552511</v>
      </c>
      <c r="M30" s="34" cm="1">
        <f t="array" ref="M30">F30*$J30</f>
        <v>0.000924243871185248</v>
      </c>
      <c r="N30" s="34" cm="1">
        <f t="array" ref="N30">G30*$J30</f>
        <v>0.00208914952492119</v>
      </c>
      <c r="O30" s="34" cm="1">
        <f t="array" ref="O30">H30*$J30</f>
        <v>-4.61835640198987</v>
      </c>
      <c r="P30" s="6"/>
      <c r="Q30" s="34">
        <v>266.93</v>
      </c>
      <c r="R30" s="34" cm="1">
        <f t="array" ref="R30">Q30/1000</f>
        <v>0.26693</v>
      </c>
      <c r="S30" s="6"/>
      <c r="T30" s="34" cm="1">
        <f t="array" ref="T30">$R30*L30</f>
        <v>14.5261148285362</v>
      </c>
      <c r="U30" s="34" cm="1">
        <f t="array" ref="U30">$R30*M30</f>
        <v>0.000246708416535478</v>
      </c>
      <c r="V30" s="34" cm="1">
        <f t="array" ref="V30">$R30*N30</f>
        <v>0.000557656682687213</v>
      </c>
      <c r="W30" s="34" cm="1">
        <f t="array" ref="W30">$R30*O30</f>
        <v>-1.23277787438316</v>
      </c>
      <c r="X30" s="6"/>
      <c r="Y30" s="34" cm="1">
        <f t="array" ref="Y30">AVERAGE(T30:T32)</f>
        <v>5.08784339589914</v>
      </c>
      <c r="Z30" s="34" cm="1">
        <f t="array" ref="Z30">AVERAGE(U30:U32)</f>
        <v>0.0546086916398655</v>
      </c>
      <c r="AA30" s="34" cm="1">
        <f t="array" ref="AA30">AVERAGE(V30:V32)</f>
        <v>0.858841771264396</v>
      </c>
      <c r="AB30" s="34" cm="1">
        <f t="array" ref="AB30">AVERAGE(W30:W32)</f>
        <v>-1.33420290063333</v>
      </c>
      <c r="AC30" s="6"/>
      <c r="AD30" s="41">
        <v>0.010209657</v>
      </c>
      <c r="AE30" s="35"/>
      <c r="AF30" s="41" cm="1">
        <f t="array" ref="AF30">Y30/$AD30</f>
        <v>498.336368782922</v>
      </c>
      <c r="AG30" s="41" cm="1">
        <f t="array" ref="AG30">Z30/$AD30</f>
        <v>5.3487293098941</v>
      </c>
      <c r="AH30" s="41" cm="1">
        <f t="array" ref="AH30">AA30/$AD30</f>
        <v>84.1205313032941</v>
      </c>
      <c r="AI30" s="41" cm="1">
        <f t="array" ref="AI30">AB30/$AD30</f>
        <v>-130.680482276077</v>
      </c>
    </row>
    <row r="31" ht="17" customHeight="1">
      <c r="A31" s="6"/>
      <c r="B31" t="s" s="32">
        <v>72</v>
      </c>
      <c r="C31" s="34">
        <v>0</v>
      </c>
      <c r="D31" t="s" s="32">
        <v>73</v>
      </c>
      <c r="E31" s="37">
        <v>3.94218868755639</v>
      </c>
      <c r="F31" s="43">
        <v>0.000898014361638009</v>
      </c>
      <c r="G31" s="42">
        <v>5.80633401082532</v>
      </c>
      <c r="H31" s="34">
        <v>-4.86821171926047</v>
      </c>
      <c r="I31" s="6"/>
      <c r="J31" s="34">
        <v>1.02008136651918</v>
      </c>
      <c r="K31" s="6"/>
      <c r="L31" s="34" cm="1">
        <f t="array" ref="L31">E31*$J31</f>
        <v>4.02135322347898</v>
      </c>
      <c r="M31" s="34" cm="1">
        <f t="array" ref="M31">F31*$J31</f>
        <v>0.000916047717173549</v>
      </c>
      <c r="N31" s="34" cm="1">
        <f t="array" ref="N31">G31*$J31</f>
        <v>5.92293313222948</v>
      </c>
      <c r="O31" s="34" cm="1">
        <f t="array" ref="O31">H31*$J31</f>
        <v>-4.96597206308791</v>
      </c>
      <c r="P31" s="6"/>
      <c r="Q31" s="34">
        <v>266.69</v>
      </c>
      <c r="R31" s="34" cm="1">
        <f t="array" ref="R31">Q31/1000</f>
        <v>0.26669</v>
      </c>
      <c r="S31" s="6"/>
      <c r="T31" s="34" cm="1">
        <f t="array" ref="T31">$R31*L31</f>
        <v>1.07245469116961</v>
      </c>
      <c r="U31" s="34" cm="1">
        <f t="array" ref="U31">$R31*M31</f>
        <v>0.000244300765693014</v>
      </c>
      <c r="V31" s="34" cm="1">
        <f t="array" ref="V31">$R31*N31</f>
        <v>1.57958703703428</v>
      </c>
      <c r="W31" s="34" cm="1">
        <f t="array" ref="W31">$R31*O31</f>
        <v>-1.32437508950491</v>
      </c>
      <c r="X31" s="6"/>
      <c r="Y31" s="6"/>
      <c r="Z31" s="6"/>
      <c r="AA31" s="6"/>
      <c r="AB31" s="6"/>
      <c r="AC31" s="6"/>
      <c r="AD31" s="41">
        <v>0.010209657</v>
      </c>
      <c r="AE31" s="35"/>
      <c r="AF31" s="41" cm="1">
        <f t="array" ref="AF31">Y31/$AD31</f>
        <v>0</v>
      </c>
      <c r="AG31" s="41" cm="1">
        <f t="array" ref="AG31">Z31/$AD31</f>
        <v>0</v>
      </c>
      <c r="AH31" s="41" cm="1">
        <f t="array" ref="AH31">AA31/$AD31</f>
        <v>0</v>
      </c>
      <c r="AI31" s="41" cm="1">
        <f t="array" ref="AI31">AB31/$AD31</f>
        <v>0</v>
      </c>
    </row>
    <row r="32" ht="17" customHeight="1">
      <c r="A32" s="6"/>
      <c r="B32" t="s" s="8">
        <v>74</v>
      </c>
      <c r="C32" s="44">
        <v>0</v>
      </c>
      <c r="D32" t="s" s="8">
        <v>75</v>
      </c>
      <c r="E32" s="37">
        <v>-1.22858440013331</v>
      </c>
      <c r="F32" s="38">
        <v>0.598947331218564</v>
      </c>
      <c r="G32" s="39">
        <v>3.65371336876391</v>
      </c>
      <c r="H32" s="40">
        <v>-5.30046535181168</v>
      </c>
      <c r="I32" s="6"/>
      <c r="J32" s="34">
        <v>1.01520197214774</v>
      </c>
      <c r="K32" s="6"/>
      <c r="L32" s="34" cm="1">
        <f t="array" ref="L32">E32*$J32</f>
        <v>-1.24726130596528</v>
      </c>
      <c r="M32" s="34" cm="1">
        <f t="array" ref="M32">F32*$J32</f>
        <v>0.608052511865712</v>
      </c>
      <c r="N32" s="34" cm="1">
        <f t="array" ref="N32">G32*$J32</f>
        <v>3.70925701763168</v>
      </c>
      <c r="O32" s="34" cm="1">
        <f t="array" ref="O32">H32*$J32</f>
        <v>-5.38104287845998</v>
      </c>
      <c r="P32" s="6"/>
      <c r="Q32" s="34">
        <v>268.62</v>
      </c>
      <c r="R32" s="34" cm="1">
        <f t="array" ref="R32">Q32/1000</f>
        <v>0.26862</v>
      </c>
      <c r="S32" s="6"/>
      <c r="T32" s="34" cm="1">
        <f t="array" ref="T32">$R32*L32</f>
        <v>-0.335039332008394</v>
      </c>
      <c r="U32" s="34" cm="1">
        <f t="array" ref="U32">$R32*M32</f>
        <v>0.163335065737368</v>
      </c>
      <c r="V32" s="34" cm="1">
        <f t="array" ref="V32">$R32*N32</f>
        <v>0.996380620076222</v>
      </c>
      <c r="W32" s="34" cm="1">
        <f t="array" ref="W32">$R32*O32</f>
        <v>-1.44545573801192</v>
      </c>
      <c r="X32" s="6"/>
      <c r="Y32" s="6"/>
      <c r="Z32" s="6"/>
      <c r="AA32" s="6"/>
      <c r="AB32" s="6"/>
      <c r="AC32" s="6"/>
      <c r="AD32" s="41">
        <v>0.010209657</v>
      </c>
      <c r="AE32" s="35"/>
      <c r="AF32" s="41" cm="1">
        <f t="array" ref="AF32">Y32/$AD32</f>
        <v>0</v>
      </c>
      <c r="AG32" s="41" cm="1">
        <f t="array" ref="AG32">Z32/$AD32</f>
        <v>0</v>
      </c>
      <c r="AH32" s="41" cm="1">
        <f t="array" ref="AH32">AA32/$AD32</f>
        <v>0</v>
      </c>
      <c r="AI32" s="41" cm="1">
        <f t="array" ref="AI32">AB32/$AD32</f>
        <v>0</v>
      </c>
    </row>
    <row r="33" ht="17" customHeight="1">
      <c r="A33" s="6"/>
      <c r="B33" t="s" s="25">
        <v>76</v>
      </c>
      <c r="C33" s="45">
        <v>0</v>
      </c>
      <c r="D33" t="s" s="25">
        <v>77</v>
      </c>
      <c r="E33" s="37">
        <v>4.75037547514668</v>
      </c>
      <c r="F33" s="43">
        <v>0.000898014361638009</v>
      </c>
      <c r="G33" s="42">
        <v>30.5023927765291</v>
      </c>
      <c r="H33" s="34">
        <v>-5.14571099476689</v>
      </c>
      <c r="I33" s="6"/>
      <c r="J33" s="34">
        <v>1.01766858777502</v>
      </c>
      <c r="K33" s="6"/>
      <c r="L33" s="34" cm="1">
        <f t="array" ref="L33">E33*$J33</f>
        <v>4.83430790119361</v>
      </c>
      <c r="M33" s="34" cm="1">
        <f t="array" ref="M33">F33*$J33</f>
        <v>0.000913881007209839</v>
      </c>
      <c r="N33" s="34" cm="1">
        <f t="array" ref="N33">G33*$J33</f>
        <v>31.0413269806493</v>
      </c>
      <c r="O33" s="34" cm="1">
        <f t="array" ref="O33">H33*$J33</f>
        <v>-5.23662844114281</v>
      </c>
      <c r="P33" s="6"/>
      <c r="Q33" s="34">
        <v>262.2548</v>
      </c>
      <c r="R33" s="34" cm="1">
        <f t="array" ref="R33">Q33/1000</f>
        <v>0.2622548</v>
      </c>
      <c r="S33" s="6"/>
      <c r="T33" s="34" cm="1">
        <f t="array" ref="T33">$R33*L33</f>
        <v>1.26782045176595</v>
      </c>
      <c r="U33" s="34" cm="1">
        <f t="array" ref="U33">$R33*M33</f>
        <v>0.000239669680769615</v>
      </c>
      <c r="V33" s="34" cm="1">
        <f t="array" ref="V33">$R33*N33</f>
        <v>8.14073699904479</v>
      </c>
      <c r="W33" s="34" cm="1">
        <f t="array" ref="W33">$R33*O33</f>
        <v>-1.37333094450622</v>
      </c>
      <c r="X33" s="6"/>
      <c r="Y33" s="34" cm="1">
        <f t="array" ref="Y33">T33-Y$39-Y$3</f>
        <v>1.2512575405433</v>
      </c>
      <c r="Z33" s="34" cm="1">
        <f t="array" ref="Z33">U33-Z$39-Z$3</f>
        <v>-1.223076514508e-06</v>
      </c>
      <c r="AA33" s="34" cm="1">
        <f t="array" ref="AA33">V33-AA$39-AA$3</f>
        <v>3.92099413888797</v>
      </c>
      <c r="AB33" s="34" cm="1">
        <f t="array" ref="AB33">W33-AB$39-AB$3</f>
        <v>0.03577883801882</v>
      </c>
      <c r="AC33" s="6"/>
      <c r="AD33" s="41">
        <v>0.010209657</v>
      </c>
      <c r="AE33" s="35"/>
      <c r="AF33" s="41" cm="1">
        <f t="array" ref="AF33">Y33/$AD33</f>
        <v>122.556275939858</v>
      </c>
      <c r="AG33" s="41" cm="1">
        <f t="array" ref="AG33">Z33/$AD33</f>
        <v>-0.000119796043540738</v>
      </c>
      <c r="AH33" s="41" cm="1">
        <f t="array" ref="AH33">AA33/$AD33</f>
        <v>384.047587385940</v>
      </c>
      <c r="AI33" s="41" cm="1">
        <f t="array" ref="AI33">AB33/$AD33</f>
        <v>3.50441136453654</v>
      </c>
    </row>
    <row r="34" ht="17" customHeight="1">
      <c r="A34" s="6"/>
      <c r="B34" t="s" s="32">
        <v>78</v>
      </c>
      <c r="C34" s="34">
        <v>0</v>
      </c>
      <c r="D34" t="s" s="32">
        <v>79</v>
      </c>
      <c r="E34" s="37">
        <v>2.34596695635005</v>
      </c>
      <c r="F34" s="43">
        <v>0.000898014361638009</v>
      </c>
      <c r="G34" s="39">
        <v>26.7827576045769</v>
      </c>
      <c r="H34" s="40">
        <v>-5.18047063622239</v>
      </c>
      <c r="I34" s="6"/>
      <c r="J34" s="34">
        <v>1.01707273407874</v>
      </c>
      <c r="K34" s="6"/>
      <c r="L34" s="34" cm="1">
        <f t="array" ref="L34">E34*$J34</f>
        <v>2.38601902635333</v>
      </c>
      <c r="M34" s="34" cm="1">
        <f t="array" ref="M34">F34*$J34</f>
        <v>0.000913345922033144</v>
      </c>
      <c r="N34" s="34" cm="1">
        <f t="array" ref="N34">G34*$J34</f>
        <v>27.2400125030552</v>
      </c>
      <c r="O34" s="34" cm="1">
        <f t="array" ref="O34">H34*$J34</f>
        <v>-5.26891543379734</v>
      </c>
      <c r="P34" s="6"/>
      <c r="Q34" s="34">
        <v>261.8022</v>
      </c>
      <c r="R34" s="34" cm="1">
        <f t="array" ref="R34">Q34/1000</f>
        <v>0.2618022</v>
      </c>
      <c r="S34" s="6"/>
      <c r="T34" s="34" cm="1">
        <f t="array" ref="T34">$R34*L34</f>
        <v>0.6246650303411601</v>
      </c>
      <c r="U34" s="34" cm="1">
        <f t="array" ref="U34">$R34*M34</f>
        <v>0.000239115971749306</v>
      </c>
      <c r="V34" s="34" cm="1">
        <f t="array" ref="V34">$R34*N34</f>
        <v>7.13149520132736</v>
      </c>
      <c r="W34" s="34" cm="1">
        <f t="array" ref="W34">$R34*O34</f>
        <v>-1.3794136521821</v>
      </c>
      <c r="X34" s="6"/>
      <c r="Y34" s="34" cm="1">
        <f t="array" ref="Y34">T34-Y$39-Y$3</f>
        <v>0.608102119118508</v>
      </c>
      <c r="Z34" s="34" cm="1">
        <f t="array" ref="Z34">U34-Z$39-Z$3</f>
        <v>-1.776785534817e-06</v>
      </c>
      <c r="AA34" s="34" cm="1">
        <f t="array" ref="AA34">V34-AA$39-AA$3</f>
        <v>2.91175234117054</v>
      </c>
      <c r="AB34" s="34" cm="1">
        <f t="array" ref="AB34">W34-AB$39-AB$3</f>
        <v>0.02969613034294</v>
      </c>
      <c r="AC34" s="6"/>
      <c r="AD34" s="41">
        <v>0.010209657</v>
      </c>
      <c r="AE34" s="35"/>
      <c r="AF34" s="41" cm="1">
        <f t="array" ref="AF34">Y34/$AD34</f>
        <v>59.5614641234772</v>
      </c>
      <c r="AG34" s="41" cm="1">
        <f t="array" ref="AG34">Z34/$AD34</f>
        <v>-0.000174029894913904</v>
      </c>
      <c r="AH34" s="41" cm="1">
        <f t="array" ref="AH34">AA34/$AD34</f>
        <v>285.195902386392</v>
      </c>
      <c r="AI34" s="41" cm="1">
        <f t="array" ref="AI34">AB34/$AD34</f>
        <v>2.90863153805657</v>
      </c>
    </row>
    <row r="35" ht="17" customHeight="1">
      <c r="A35" s="6"/>
      <c r="B35" t="s" s="32">
        <v>80</v>
      </c>
      <c r="C35" s="34">
        <v>0</v>
      </c>
      <c r="D35" t="s" s="32">
        <v>81</v>
      </c>
      <c r="E35" s="37">
        <v>1.39246126250607</v>
      </c>
      <c r="F35" s="38">
        <v>0.0657564636393506</v>
      </c>
      <c r="G35" s="42">
        <v>35.4693292275993</v>
      </c>
      <c r="H35" s="34">
        <v>-5.06899684773991</v>
      </c>
      <c r="I35" s="6"/>
      <c r="J35" s="34">
        <v>1.01682584449715</v>
      </c>
      <c r="K35" s="6"/>
      <c r="L35" s="34" cm="1">
        <f t="array" ref="L35">E35*$J35</f>
        <v>1.4158905991773</v>
      </c>
      <c r="M35" s="34" cm="1">
        <f t="array" ref="M35">F35*$J35</f>
        <v>0.0668628716712288</v>
      </c>
      <c r="N35" s="34" cm="1">
        <f t="array" ref="N35">G35*$J35</f>
        <v>36.0661306456011</v>
      </c>
      <c r="O35" s="34" cm="1">
        <f t="array" ref="O35">H35*$J35</f>
        <v>-5.15428700045653</v>
      </c>
      <c r="P35" s="6"/>
      <c r="Q35" s="34">
        <v>264.213</v>
      </c>
      <c r="R35" s="34" cm="1">
        <f t="array" ref="R35">Q35/1000</f>
        <v>0.264213</v>
      </c>
      <c r="S35" s="6"/>
      <c r="T35" s="34" cm="1">
        <f t="array" ref="T35">$R35*L35</f>
        <v>0.374096702880432</v>
      </c>
      <c r="U35" s="34" cm="1">
        <f t="array" ref="U35">$R35*M35</f>
        <v>0.0176660399128704</v>
      </c>
      <c r="V35" s="34" cm="1">
        <f t="array" ref="V35">$R35*N35</f>
        <v>9.529140576266199</v>
      </c>
      <c r="W35" s="34" cm="1">
        <f t="array" ref="W35">$R35*O35</f>
        <v>-1.36182963125162</v>
      </c>
      <c r="X35" s="6"/>
      <c r="Y35" s="34" cm="1">
        <f t="array" ref="Y35">T35-Y$39-Y$3</f>
        <v>0.35753379165778</v>
      </c>
      <c r="Z35" s="34" cm="1">
        <f t="array" ref="Z35">U35-Z$39-Z$3</f>
        <v>0.0174251471555863</v>
      </c>
      <c r="AA35" s="34" cm="1">
        <f t="array" ref="AA35">V35-AA$39-AA$3</f>
        <v>5.30939771610938</v>
      </c>
      <c r="AB35" s="34" cm="1">
        <f t="array" ref="AB35">W35-AB$39-AB$3</f>
        <v>0.04728015127342</v>
      </c>
      <c r="AC35" s="6"/>
      <c r="AD35" s="41">
        <v>0.010209657</v>
      </c>
      <c r="AE35" s="35"/>
      <c r="AF35" s="41" cm="1">
        <f t="array" ref="AF35">Y35/$AD35</f>
        <v>35.0191775940935</v>
      </c>
      <c r="AG35" s="41" cm="1">
        <f t="array" ref="AG35">Z35/$AD35</f>
        <v>1.70673188683874</v>
      </c>
      <c r="AH35" s="41" cm="1">
        <f t="array" ref="AH35">AA35/$AD35</f>
        <v>520.0368353324091</v>
      </c>
      <c r="AI35" s="41" cm="1">
        <f t="array" ref="AI35">AB35/$AD35</f>
        <v>4.63092455245264</v>
      </c>
    </row>
    <row r="36" ht="17" customHeight="1">
      <c r="A36" s="6"/>
      <c r="B36" t="s" s="32">
        <v>82</v>
      </c>
      <c r="C36" s="34">
        <v>0</v>
      </c>
      <c r="D36" t="s" s="32">
        <v>83</v>
      </c>
      <c r="E36" s="37">
        <v>4.47712914778708</v>
      </c>
      <c r="F36" s="43">
        <v>0.000898014361638009</v>
      </c>
      <c r="G36" s="39">
        <v>6.53591670791708</v>
      </c>
      <c r="H36" s="40">
        <v>-2.34558760516386</v>
      </c>
      <c r="I36" s="6"/>
      <c r="J36" s="34">
        <v>1.01536117348575</v>
      </c>
      <c r="K36" s="6"/>
      <c r="L36" s="34" cm="1">
        <f t="array" ref="L36">E36*$J36</f>
        <v>4.54590310534435</v>
      </c>
      <c r="M36" s="34" cm="1">
        <f t="array" ref="M36">F36*$J36</f>
        <v>0.000911808916039825</v>
      </c>
      <c r="N36" s="34" cm="1">
        <f t="array" ref="N36">G36*$J36</f>
        <v>6.63631605835581</v>
      </c>
      <c r="O36" s="34" cm="1">
        <f t="array" ref="O36">H36*$J36</f>
        <v>-2.38161858329281</v>
      </c>
      <c r="P36" s="6"/>
      <c r="Q36" s="34">
        <v>262.5406</v>
      </c>
      <c r="R36" s="34" cm="1">
        <f t="array" ref="R36">Q36/1000</f>
        <v>0.2625406</v>
      </c>
      <c r="S36" s="6"/>
      <c r="T36" s="34" cm="1">
        <f t="array" ref="T36">$R36*L36</f>
        <v>1.19348412881897</v>
      </c>
      <c r="U36" s="34" cm="1">
        <f t="array" ref="U36">$R36*M36</f>
        <v>0.000239386859902445</v>
      </c>
      <c r="V36" s="34" cm="1">
        <f t="array" ref="V36">$R36*N36</f>
        <v>1.74230239975037</v>
      </c>
      <c r="W36" s="34" cm="1">
        <f t="array" ref="W36">$R36*O36</f>
        <v>-0.625271571828844</v>
      </c>
      <c r="X36" s="6"/>
      <c r="Y36" s="34" cm="1">
        <f t="array" ref="Y36">T36-Y$39-Y$3</f>
        <v>1.17692121759632</v>
      </c>
      <c r="Z36" s="34" cm="1">
        <f t="array" ref="Z36">U36-Z$39-Z$3</f>
        <v>-1.505897381678e-06</v>
      </c>
      <c r="AA36" s="34" cm="1">
        <f t="array" ref="AA36">V36-AA$39-AA$3</f>
        <v>-2.47744046040645</v>
      </c>
      <c r="AB36" s="34" cm="1">
        <f t="array" ref="AB36">W36-AB$39-AB$3</f>
        <v>0.783838210696196</v>
      </c>
      <c r="AC36" s="6"/>
      <c r="AD36" s="41">
        <v>0.010209657</v>
      </c>
      <c r="AE36" s="35"/>
      <c r="AF36" s="41" cm="1">
        <f t="array" ref="AF36">Y36/$AD36</f>
        <v>115.275294517369</v>
      </c>
      <c r="AG36" s="41" cm="1">
        <f t="array" ref="AG36">Z36/$AD36</f>
        <v>-0.000147497352915774</v>
      </c>
      <c r="AH36" s="41" cm="1">
        <f t="array" ref="AH36">AA36/$AD36</f>
        <v>-242.656580961187</v>
      </c>
      <c r="AI36" s="41" cm="1">
        <f t="array" ref="AI36">AB36/$AD36</f>
        <v>76.77419630220641</v>
      </c>
    </row>
    <row r="37" ht="17" customHeight="1">
      <c r="A37" s="6"/>
      <c r="B37" t="s" s="32">
        <v>84</v>
      </c>
      <c r="C37" s="34">
        <v>0</v>
      </c>
      <c r="D37" t="s" s="32">
        <v>85</v>
      </c>
      <c r="E37" s="37">
        <v>2.71218149244305</v>
      </c>
      <c r="F37" s="43">
        <v>0.000898014361638009</v>
      </c>
      <c r="G37" s="42">
        <v>5.62657277144776</v>
      </c>
      <c r="H37" s="34">
        <v>-1.31152878875038</v>
      </c>
      <c r="I37" s="6"/>
      <c r="J37" s="34">
        <v>1.01574230867213</v>
      </c>
      <c r="K37" s="6"/>
      <c r="L37" s="34" cm="1">
        <f t="array" ref="L37">E37*$J37</f>
        <v>2.75487749067193</v>
      </c>
      <c r="M37" s="34" cm="1">
        <f t="array" ref="M37">F37*$J37</f>
        <v>0.00091215118091092</v>
      </c>
      <c r="N37" s="34" cm="1">
        <f t="array" ref="N37">G37*$J37</f>
        <v>5.71514801678209</v>
      </c>
      <c r="O37" s="34" cm="1">
        <f t="array" ref="O37">H37*$J37</f>
        <v>-1.33217527977527</v>
      </c>
      <c r="P37" s="6"/>
      <c r="Q37" s="34">
        <v>264.0138</v>
      </c>
      <c r="R37" s="34" cm="1">
        <f t="array" ref="R37">Q37/1000</f>
        <v>0.2640138</v>
      </c>
      <c r="S37" s="6"/>
      <c r="T37" s="34" cm="1">
        <f t="array" ref="T37">$R37*L37</f>
        <v>0.727325674846761</v>
      </c>
      <c r="U37" s="34" cm="1">
        <f t="array" ref="U37">$R37*M37</f>
        <v>0.000240820499446779</v>
      </c>
      <c r="V37" s="34" cm="1">
        <f t="array" ref="V37">$R37*N37</f>
        <v>1.5088779454731</v>
      </c>
      <c r="W37" s="34" cm="1">
        <f t="array" ref="W37">$R37*O37</f>
        <v>-0.351712657879532</v>
      </c>
      <c r="X37" s="6"/>
      <c r="Y37" s="34" cm="1">
        <f t="array" ref="Y37">T37-Y$39-Y$3</f>
        <v>0.710762763624109</v>
      </c>
      <c r="Z37" s="34" cm="1">
        <f t="array" ref="Z37">U37-Z$39-Z$3</f>
        <v>-7.2257837344e-08</v>
      </c>
      <c r="AA37" s="34" cm="1">
        <f t="array" ref="AA37">V37-AA$39-AA$3</f>
        <v>-2.71086491468372</v>
      </c>
      <c r="AB37" s="34" cm="1">
        <f t="array" ref="AB37">W37-AB$39-AB$3</f>
        <v>1.05739712464551</v>
      </c>
      <c r="AC37" s="6"/>
      <c r="AD37" s="41">
        <v>0.010209657</v>
      </c>
      <c r="AE37" s="35"/>
      <c r="AF37" s="41" cm="1">
        <f t="array" ref="AF37">Y37/$AD37</f>
        <v>69.6167132376836</v>
      </c>
      <c r="AG37" s="41" cm="1">
        <f t="array" ref="AG37">Z37/$AD37</f>
        <v>-7.07740106685269e-06</v>
      </c>
      <c r="AH37" s="41" cm="1">
        <f t="array" ref="AH37">AA37/$AD37</f>
        <v>-265.519685400177</v>
      </c>
      <c r="AI37" s="41" cm="1">
        <f t="array" ref="AI37">AB37/$AD37</f>
        <v>103.568329929743</v>
      </c>
    </row>
    <row r="38" ht="17" customHeight="1">
      <c r="A38" s="6"/>
      <c r="B38" t="s" s="32">
        <v>86</v>
      </c>
      <c r="C38" s="34">
        <v>0</v>
      </c>
      <c r="D38" t="s" s="32">
        <v>87</v>
      </c>
      <c r="E38" s="37">
        <v>-0.816996402554245</v>
      </c>
      <c r="F38" s="43">
        <v>0.000898014361638009</v>
      </c>
      <c r="G38" s="39">
        <v>3.58907758192133</v>
      </c>
      <c r="H38" s="40">
        <v>4.6851155860118</v>
      </c>
      <c r="I38" s="6"/>
      <c r="J38" s="34">
        <v>1.01587181846985</v>
      </c>
      <c r="K38" s="6"/>
      <c r="L38" s="34" cm="1">
        <f t="array" ref="L38">E38*$J38</f>
        <v>-0.829963621146106</v>
      </c>
      <c r="M38" s="34" cm="1">
        <f t="array" ref="M38">F38*$J38</f>
        <v>0.000912267482569246</v>
      </c>
      <c r="N38" s="34" cm="1">
        <f t="array" ref="N38">G38*$J38</f>
        <v>3.64604276977579</v>
      </c>
      <c r="O38" s="34" cm="1">
        <f t="array" ref="O38">H38*$J38</f>
        <v>4.75947689010324</v>
      </c>
      <c r="P38" s="6"/>
      <c r="Q38" s="34">
        <v>265.1078</v>
      </c>
      <c r="R38" s="34" cm="1">
        <f t="array" ref="R38">Q38/1000</f>
        <v>0.2651078</v>
      </c>
      <c r="S38" s="6"/>
      <c r="T38" s="34" cm="1">
        <f t="array" ref="T38">$R38*L38</f>
        <v>-0.220029829682078</v>
      </c>
      <c r="U38" s="34" cm="1">
        <f t="array" ref="U38">$R38*M38</f>
        <v>0.000241849225315471</v>
      </c>
      <c r="V38" s="34" cm="1">
        <f t="array" ref="V38">$R38*N38</f>
        <v>0.966594377401166</v>
      </c>
      <c r="W38" s="34" cm="1">
        <f t="array" ref="W38">$R38*O38</f>
        <v>1.26177444748611</v>
      </c>
      <c r="X38" s="6"/>
      <c r="Y38" s="34" cm="1">
        <f t="array" ref="Y38">T38-Y$39-Y$3</f>
        <v>-0.23659274090473</v>
      </c>
      <c r="Z38" s="34" cm="1">
        <f t="array" ref="Z38">U38-Z$39-Z$3</f>
        <v>9.564680313479999e-07</v>
      </c>
      <c r="AA38" s="34" cm="1">
        <f t="array" ref="AA38">V38-AA$39-AA$3</f>
        <v>-3.25314848275565</v>
      </c>
      <c r="AB38" s="34" cm="1">
        <f t="array" ref="AB38">W38-AB$39-AB$3</f>
        <v>2.67088423001115</v>
      </c>
      <c r="AC38" s="6"/>
      <c r="AD38" s="41">
        <v>0.010209657</v>
      </c>
      <c r="AE38" s="35"/>
      <c r="AF38" s="41" cm="1">
        <f t="array" ref="AF38">Y38/$AD38</f>
        <v>-23.1734269725937</v>
      </c>
      <c r="AG38" s="41" cm="1">
        <f t="array" ref="AG38">Z38/$AD38</f>
        <v>9.36826801672182e-05</v>
      </c>
      <c r="AH38" s="41" cm="1">
        <f t="array" ref="AH38">AA38/$AD38</f>
        <v>-318.634453905322</v>
      </c>
      <c r="AI38" s="41" cm="1">
        <f t="array" ref="AI38">AB38/$AD38</f>
        <v>261.603717932067</v>
      </c>
    </row>
    <row r="39" ht="17" customHeight="1">
      <c r="A39" s="6"/>
      <c r="B39" t="s" s="32">
        <v>88</v>
      </c>
      <c r="C39" s="34">
        <v>0</v>
      </c>
      <c r="D39" t="s" s="32">
        <v>89</v>
      </c>
      <c r="E39" s="37">
        <v>-0.247571556809224</v>
      </c>
      <c r="F39" s="43">
        <v>0.000898014361638009</v>
      </c>
      <c r="G39" s="42">
        <v>40.3010862589306</v>
      </c>
      <c r="H39" s="34">
        <v>-5.28813801710849</v>
      </c>
      <c r="I39" s="6"/>
      <c r="J39" s="34">
        <v>1.01499027348667</v>
      </c>
      <c r="K39" s="6"/>
      <c r="L39" s="34" cm="1">
        <f t="array" ref="L39">E39*$J39</f>
        <v>-0.251282722153315</v>
      </c>
      <c r="M39" s="34" cm="1">
        <f t="array" ref="M39">F39*$J39</f>
        <v>0.00091147584251392</v>
      </c>
      <c r="N39" s="34" cm="1">
        <f t="array" ref="N39">G39*$J39</f>
        <v>40.9052105637618</v>
      </c>
      <c r="O39" s="34" cm="1">
        <f t="array" ref="O39">H39*$J39</f>
        <v>-5.3674086522202</v>
      </c>
      <c r="P39" s="6"/>
      <c r="Q39" s="34">
        <v>264.02</v>
      </c>
      <c r="R39" s="34" cm="1">
        <f t="array" ref="R39">Q39/1000</f>
        <v>0.26402</v>
      </c>
      <c r="S39" s="6"/>
      <c r="T39" s="34" cm="1">
        <f t="array" ref="T39">$R39*L39</f>
        <v>-0.0663436643029182</v>
      </c>
      <c r="U39" s="34" cm="1">
        <f t="array" ref="U39">$R39*M39</f>
        <v>0.000240647851940525</v>
      </c>
      <c r="V39" s="34" cm="1">
        <f t="array" ref="V39">$R39*N39</f>
        <v>10.7997936930444</v>
      </c>
      <c r="W39" s="34" cm="1">
        <f t="array" ref="W39">$R39*O39</f>
        <v>-1.41710323235918</v>
      </c>
      <c r="X39" s="6"/>
      <c r="Y39" s="34" cm="1">
        <f t="array" ref="Y39">AVERAGE(T39:T41)</f>
        <v>0.0165629112226523</v>
      </c>
      <c r="Z39" s="34" cm="1">
        <f t="array" ref="Z39">AVERAGE(U39:U41)</f>
        <v>0.000240892757284123</v>
      </c>
      <c r="AA39" s="34" cm="1">
        <f t="array" ref="AA39">AVERAGE(V39:V41)</f>
        <v>4.21974286015682</v>
      </c>
      <c r="AB39" s="34" cm="1">
        <f t="array" ref="AB39">AVERAGE(W39:W41)</f>
        <v>-1.40910978252504</v>
      </c>
      <c r="AC39" s="6"/>
      <c r="AD39" s="41">
        <v>0.010209657</v>
      </c>
      <c r="AE39" s="35"/>
      <c r="AF39" s="41" cm="1">
        <f t="array" ref="AF39">Y39/$AD39</f>
        <v>1.62227890933577</v>
      </c>
      <c r="AG39" s="41" cm="1">
        <f t="array" ref="AG39">Z39/$AD39</f>
        <v>0.0235945984555723</v>
      </c>
      <c r="AH39" s="41" cm="1">
        <f t="array" ref="AH39">AA39/$AD39</f>
        <v>413.308974058269</v>
      </c>
      <c r="AI39" s="41" cm="1">
        <f t="array" ref="AI39">AB39/$AD39</f>
        <v>-138.017347940782</v>
      </c>
    </row>
    <row r="40" ht="17" customHeight="1">
      <c r="A40" s="6"/>
      <c r="B40" t="s" s="32">
        <v>90</v>
      </c>
      <c r="C40" s="34">
        <v>0</v>
      </c>
      <c r="D40" t="s" s="32">
        <v>91</v>
      </c>
      <c r="E40" s="37">
        <v>1.33843714341031</v>
      </c>
      <c r="F40" s="43">
        <v>0.000898014361638009</v>
      </c>
      <c r="G40" s="39">
        <v>4.64032606486526</v>
      </c>
      <c r="H40" s="40">
        <v>-5.25282401716497</v>
      </c>
      <c r="I40" s="6"/>
      <c r="J40" s="34">
        <v>1.01462794590577</v>
      </c>
      <c r="K40" s="6"/>
      <c r="L40" s="34" cm="1">
        <f t="array" ref="L40">E40*$J40</f>
        <v>1.35801572954239</v>
      </c>
      <c r="M40" s="34" cm="1">
        <f t="array" ref="M40">F40*$J40</f>
        <v>0.000911150467142654</v>
      </c>
      <c r="N40" s="34" cm="1">
        <f t="array" ref="N40">G40*$J40</f>
        <v>4.70820450352724</v>
      </c>
      <c r="O40" s="34" cm="1">
        <f t="array" ref="O40">H40*$J40</f>
        <v>-5.32966204274059</v>
      </c>
      <c r="P40" s="6"/>
      <c r="Q40" s="34">
        <v>264.36</v>
      </c>
      <c r="R40" s="34" cm="1">
        <f t="array" ref="R40">Q40/1000</f>
        <v>0.26436</v>
      </c>
      <c r="S40" s="6"/>
      <c r="T40" s="34" cm="1">
        <f t="array" ref="T40">$R40*L40</f>
        <v>0.359005038261826</v>
      </c>
      <c r="U40" s="34" cm="1">
        <f t="array" ref="U40">$R40*M40</f>
        <v>0.000240871737493832</v>
      </c>
      <c r="V40" s="34" cm="1">
        <f t="array" ref="V40">$R40*N40</f>
        <v>1.24466094255246</v>
      </c>
      <c r="W40" s="34" cm="1">
        <f t="array" ref="W40">$R40*O40</f>
        <v>-1.4089494576189</v>
      </c>
      <c r="X40" s="6"/>
      <c r="Y40" s="6"/>
      <c r="Z40" s="6"/>
      <c r="AA40" s="6"/>
      <c r="AB40" s="6"/>
      <c r="AC40" s="6"/>
      <c r="AD40" s="41">
        <v>0.010209657</v>
      </c>
      <c r="AE40" s="35"/>
      <c r="AF40" s="41" cm="1">
        <f t="array" ref="AF40">Y40/$AD40</f>
        <v>0</v>
      </c>
      <c r="AG40" s="41" cm="1">
        <f t="array" ref="AG40">Z40/$AD40</f>
        <v>0</v>
      </c>
      <c r="AH40" s="41" cm="1">
        <f t="array" ref="AH40">AA40/$AD40</f>
        <v>0</v>
      </c>
      <c r="AI40" s="41" cm="1">
        <f t="array" ref="AI40">AB40/$AD40</f>
        <v>0</v>
      </c>
    </row>
    <row r="41" ht="17" customHeight="1">
      <c r="A41" s="6"/>
      <c r="B41" t="s" s="8">
        <v>92</v>
      </c>
      <c r="C41" s="44">
        <v>0</v>
      </c>
      <c r="D41" t="s" s="8">
        <v>93</v>
      </c>
      <c r="E41" s="37">
        <v>-0.904769085146081</v>
      </c>
      <c r="F41" s="43">
        <v>0.000898014361638009</v>
      </c>
      <c r="G41" s="42">
        <v>2.28926375829344</v>
      </c>
      <c r="H41" s="34">
        <v>-5.2180023150444</v>
      </c>
      <c r="I41" s="6"/>
      <c r="J41" s="34">
        <v>1.01526058162971</v>
      </c>
      <c r="K41" s="6"/>
      <c r="L41" s="34" cm="1">
        <f t="array" ref="L41">E41*$J41</f>
        <v>-0.918576387625991</v>
      </c>
      <c r="M41" s="34" cm="1">
        <f t="array" ref="M41">F41*$J41</f>
        <v>0.000911718583108438</v>
      </c>
      <c r="N41" s="34" cm="1">
        <f t="array" ref="N41">G41*$J41</f>
        <v>2.32419925474881</v>
      </c>
      <c r="O41" s="34" cm="1">
        <f t="array" ref="O41">H41*$J41</f>
        <v>-5.29763206531715</v>
      </c>
      <c r="P41" s="6"/>
      <c r="Q41" s="34">
        <v>264.51</v>
      </c>
      <c r="R41" s="34" cm="1">
        <f t="array" ref="R41">Q41/1000</f>
        <v>0.26451</v>
      </c>
      <c r="S41" s="6"/>
      <c r="T41" s="34" cm="1">
        <f t="array" ref="T41">$R41*L41</f>
        <v>-0.242972640290951</v>
      </c>
      <c r="U41" s="34" cm="1">
        <f t="array" ref="U41">$R41*M41</f>
        <v>0.000241158682418013</v>
      </c>
      <c r="V41" s="34" cm="1">
        <f t="array" ref="V41">$R41*N41</f>
        <v>0.614773944873608</v>
      </c>
      <c r="W41" s="34" cm="1">
        <f t="array" ref="W41">$R41*O41</f>
        <v>-1.40127665759704</v>
      </c>
      <c r="X41" s="6"/>
      <c r="Y41" s="6"/>
      <c r="Z41" s="6"/>
      <c r="AA41" s="6"/>
      <c r="AB41" s="6"/>
      <c r="AC41" s="6"/>
      <c r="AD41" s="41">
        <v>0.010209657</v>
      </c>
      <c r="AE41" s="35"/>
      <c r="AF41" s="41" cm="1">
        <f t="array" ref="AF41">Y41/$AD41</f>
        <v>0</v>
      </c>
      <c r="AG41" s="41" cm="1">
        <f t="array" ref="AG41">Z41/$AD41</f>
        <v>0</v>
      </c>
      <c r="AH41" s="41" cm="1">
        <f t="array" ref="AH41">AA41/$AD41</f>
        <v>0</v>
      </c>
      <c r="AI41" s="41" cm="1">
        <f t="array" ref="AI41">AB41/$AD41</f>
        <v>0</v>
      </c>
    </row>
    <row r="42" ht="17" customHeight="1">
      <c r="A42" s="6"/>
      <c r="B42" t="s" s="25">
        <v>94</v>
      </c>
      <c r="C42" s="45">
        <v>0</v>
      </c>
      <c r="D42" t="s" s="25">
        <v>95</v>
      </c>
      <c r="E42" s="37">
        <v>-6.22092572700254</v>
      </c>
      <c r="F42" s="43">
        <v>0.000898014361638009</v>
      </c>
      <c r="G42" s="39">
        <v>26.0095722290274</v>
      </c>
      <c r="H42" s="40">
        <v>-52.997809530452</v>
      </c>
      <c r="I42" s="6"/>
      <c r="J42" s="34">
        <v>1.01574937120876</v>
      </c>
      <c r="K42" s="6"/>
      <c r="L42" s="34" cm="1">
        <f t="array" ref="L42">E42*$J42</f>
        <v>-6.31890139553923</v>
      </c>
      <c r="M42" s="34" cm="1">
        <f t="array" ref="M42">F42*$J42</f>
        <v>0.000912157523170244</v>
      </c>
      <c r="N42" s="34" cm="1">
        <f t="array" ref="N42">G42*$J42</f>
        <v>26.4192066370434</v>
      </c>
      <c r="O42" s="34" cm="1">
        <f t="array" ref="O42">H42*$J42</f>
        <v>-53.8324917059982</v>
      </c>
      <c r="P42" s="6"/>
      <c r="Q42" s="34">
        <v>264.067</v>
      </c>
      <c r="R42" s="34" cm="1">
        <f t="array" ref="R42">Q42/1000</f>
        <v>0.264067</v>
      </c>
      <c r="S42" s="6"/>
      <c r="T42" s="34" cm="1">
        <f t="array" ref="T42">$R42*L42</f>
        <v>-1.66861333481586</v>
      </c>
      <c r="U42" s="34" cm="1">
        <f t="array" ref="U42">$R42*M42</f>
        <v>0.000240870700670997</v>
      </c>
      <c r="V42" s="34" cm="1">
        <f t="array" ref="V42">$R42*N42</f>
        <v>6.97644063902414</v>
      </c>
      <c r="W42" s="34" cm="1">
        <f t="array" ref="W42">$R42*O42</f>
        <v>-14.2153845873278</v>
      </c>
      <c r="X42" s="6"/>
      <c r="Y42" s="34" cm="1">
        <f t="array" ref="Y42">T42-Y$48-Y$3</f>
        <v>-1.7868277628523</v>
      </c>
      <c r="Z42" s="34" cm="1">
        <f t="array" ref="Z42">U42-Z$48-Z$3</f>
        <v>-0.465278370845442</v>
      </c>
      <c r="AA42" s="34" cm="1">
        <f t="array" ref="AA42">V42-AA$48-AA$3</f>
        <v>5.37824507226288</v>
      </c>
      <c r="AB42" s="34" cm="1">
        <f t="array" ref="AB42">W42-AB$48-AB$3</f>
        <v>0.2435130973858</v>
      </c>
      <c r="AC42" s="6"/>
      <c r="AD42" s="41">
        <v>0.010209657</v>
      </c>
      <c r="AE42" s="35"/>
      <c r="AF42" s="41" cm="1">
        <f t="array" ref="AF42">Y42/$AD42</f>
        <v>-175.013495835590</v>
      </c>
      <c r="AG42" s="41" cm="1">
        <f t="array" ref="AG42">Z42/$AD42</f>
        <v>-45.5723802323077</v>
      </c>
      <c r="AH42" s="41" cm="1">
        <f t="array" ref="AH42">AA42/$AD42</f>
        <v>526.780191759907</v>
      </c>
      <c r="AI42" s="41" cm="1">
        <f t="array" ref="AI42">AB42/$AD42</f>
        <v>23.8512515538769</v>
      </c>
    </row>
    <row r="43" ht="17" customHeight="1">
      <c r="A43" s="6"/>
      <c r="B43" t="s" s="32">
        <v>96</v>
      </c>
      <c r="C43" s="34">
        <v>0</v>
      </c>
      <c r="D43" t="s" s="32">
        <v>97</v>
      </c>
      <c r="E43" s="37">
        <v>7.47886514015278</v>
      </c>
      <c r="F43" s="43">
        <v>0.000898014361638009</v>
      </c>
      <c r="G43" s="42">
        <v>16.3896517075116</v>
      </c>
      <c r="H43" s="34">
        <v>-53.0454376824022</v>
      </c>
      <c r="I43" s="6"/>
      <c r="J43" s="34">
        <v>1.01500081991173</v>
      </c>
      <c r="K43" s="6"/>
      <c r="L43" s="34" cm="1">
        <f t="array" ref="L43">E43*$J43</f>
        <v>7.59105424926433</v>
      </c>
      <c r="M43" s="34" cm="1">
        <f t="array" ref="M43">F43*$J43</f>
        <v>0.000911485313355088</v>
      </c>
      <c r="N43" s="34" cm="1">
        <f t="array" ref="N43">G43*$J43</f>
        <v>16.635509921192</v>
      </c>
      <c r="O43" s="34" cm="1">
        <f t="array" ref="O43">H43*$J43</f>
        <v>-53.8411627402148</v>
      </c>
      <c r="P43" s="6"/>
      <c r="Q43" s="34">
        <v>265.9786</v>
      </c>
      <c r="R43" s="34" cm="1">
        <f t="array" ref="R43">Q43/1000</f>
        <v>0.2659786</v>
      </c>
      <c r="S43" s="6"/>
      <c r="T43" s="34" cm="1">
        <f t="array" ref="T43">$R43*L43</f>
        <v>2.01905798174338</v>
      </c>
      <c r="U43" s="34" cm="1">
        <f t="array" ref="U43">$R43*M43</f>
        <v>0.000242435587566748</v>
      </c>
      <c r="V43" s="34" cm="1">
        <f t="array" ref="V43">$R43*N43</f>
        <v>4.42468963912476</v>
      </c>
      <c r="W43" s="34" cm="1">
        <f t="array" ref="W43">$R43*O43</f>
        <v>-14.3205970880145</v>
      </c>
      <c r="X43" s="6"/>
      <c r="Y43" s="34" cm="1">
        <f t="array" ref="Y43">T43-Y$48-Y$3</f>
        <v>1.90084355370694</v>
      </c>
      <c r="Z43" s="34" cm="1">
        <f t="array" ref="Z43">U43-Z$48-Z$3</f>
        <v>-0.465276805958546</v>
      </c>
      <c r="AA43" s="34" cm="1">
        <f t="array" ref="AA43">V43-AA$48-AA$3</f>
        <v>2.8264940723635</v>
      </c>
      <c r="AB43" s="34" cm="1">
        <f t="array" ref="AB43">W43-AB$48-AB$3</f>
        <v>0.1383005966991</v>
      </c>
      <c r="AC43" s="6"/>
      <c r="AD43" s="41">
        <v>0.010209657</v>
      </c>
      <c r="AE43" s="35"/>
      <c r="AF43" s="41" cm="1">
        <f t="array" ref="AF43">Y43/$AD43</f>
        <v>186.180941603321</v>
      </c>
      <c r="AG43" s="41" cm="1">
        <f t="array" ref="AG43">Z43/$AD43</f>
        <v>-45.5722269571393</v>
      </c>
      <c r="AH43" s="41" cm="1">
        <f t="array" ref="AH43">AA43/$AD43</f>
        <v>276.845154774886</v>
      </c>
      <c r="AI43" s="41" cm="1">
        <f t="array" ref="AI43">AB43/$AD43</f>
        <v>13.5460571005569</v>
      </c>
    </row>
    <row r="44" ht="17" customHeight="1">
      <c r="A44" s="6"/>
      <c r="B44" t="s" s="32">
        <v>98</v>
      </c>
      <c r="C44" s="34">
        <v>0</v>
      </c>
      <c r="D44" t="s" s="32">
        <v>99</v>
      </c>
      <c r="E44" s="37">
        <v>577.796920855217</v>
      </c>
      <c r="F44" s="43">
        <v>0.000898014361638009</v>
      </c>
      <c r="G44" s="39">
        <v>16.6079623571181</v>
      </c>
      <c r="H44" s="40">
        <v>-52.9935488540281</v>
      </c>
      <c r="I44" s="6"/>
      <c r="J44" s="34">
        <v>1.01509686134744</v>
      </c>
      <c r="K44" s="6"/>
      <c r="L44" s="34" cm="1">
        <f t="array" ref="L44">E44*$J44</f>
        <v>586.519840856346</v>
      </c>
      <c r="M44" s="34" cm="1">
        <f t="array" ref="M44">F44*$J44</f>
        <v>0.0009115715599436679</v>
      </c>
      <c r="N44" s="34" cm="1">
        <f t="array" ref="N44">G44*$J44</f>
        <v>16.858690462087</v>
      </c>
      <c r="O44" s="34" cm="1">
        <f t="array" ref="O44">H44*$J44</f>
        <v>-53.7935851133862</v>
      </c>
      <c r="P44" s="6"/>
      <c r="Q44" s="34">
        <v>255.78</v>
      </c>
      <c r="R44" s="34" cm="1">
        <f t="array" ref="R44">Q44/1000</f>
        <v>0.25578</v>
      </c>
      <c r="S44" s="6"/>
      <c r="T44" s="34" cm="1">
        <f t="array" ref="T44">$R44*L44</f>
        <v>150.020044894236</v>
      </c>
      <c r="U44" s="34" cm="1">
        <f t="array" ref="U44">$R44*M44</f>
        <v>0.000233161773602391</v>
      </c>
      <c r="V44" s="34" cm="1">
        <f t="array" ref="V44">$R44*N44</f>
        <v>4.31211584639261</v>
      </c>
      <c r="W44" s="34" cm="1">
        <f t="array" ref="W44">$R44*O44</f>
        <v>-13.7593232003019</v>
      </c>
      <c r="X44" s="6"/>
      <c r="Y44" s="34" cm="1">
        <f t="array" ref="Y44">T44-Y$48-Y$3</f>
        <v>149.9018304662</v>
      </c>
      <c r="Z44" s="34" cm="1">
        <f t="array" ref="Z44">U44-Z$48-Z$3</f>
        <v>-0.465286079772511</v>
      </c>
      <c r="AA44" s="34" cm="1">
        <f t="array" ref="AA44">V44-AA$48-AA$3</f>
        <v>2.71392027963135</v>
      </c>
      <c r="AB44" s="34" cm="1">
        <f t="array" ref="AB44">W44-AB$48-AB$3</f>
        <v>0.6995744844117</v>
      </c>
      <c r="AC44" s="6"/>
      <c r="AD44" s="41">
        <v>0.010209657</v>
      </c>
      <c r="AE44" s="35"/>
      <c r="AF44" s="41" cm="1">
        <f t="array" ref="AF44">Y44/$AD44</f>
        <v>14682.3571512931</v>
      </c>
      <c r="AG44" s="41" cm="1">
        <f t="array" ref="AG44">Z44/$AD44</f>
        <v>-45.573135294605</v>
      </c>
      <c r="AH44" s="41" cm="1">
        <f t="array" ref="AH44">AA44/$AD44</f>
        <v>265.818947652340</v>
      </c>
      <c r="AI44" s="41" cm="1">
        <f t="array" ref="AI44">AB44/$AD44</f>
        <v>68.52086063338859</v>
      </c>
    </row>
    <row r="45" ht="17" customHeight="1">
      <c r="A45" s="6"/>
      <c r="B45" t="s" s="32">
        <v>100</v>
      </c>
      <c r="C45" s="34">
        <v>0</v>
      </c>
      <c r="D45" t="s" s="32">
        <v>101</v>
      </c>
      <c r="E45" s="37">
        <v>1.69886060642668</v>
      </c>
      <c r="F45" s="43">
        <v>0.000898014361638009</v>
      </c>
      <c r="G45" s="42">
        <v>3.51157521408663</v>
      </c>
      <c r="H45" s="34">
        <v>1.24127390829984</v>
      </c>
      <c r="I45" s="6"/>
      <c r="J45" s="34">
        <v>1.01565714116585</v>
      </c>
      <c r="K45" s="6"/>
      <c r="L45" s="34" cm="1">
        <f t="array" ref="L45">E45*$J45</f>
        <v>1.7254599067626</v>
      </c>
      <c r="M45" s="34" cm="1">
        <f t="array" ref="M45">F45*$J45</f>
        <v>0.000912074699267136</v>
      </c>
      <c r="N45" s="34" cm="1">
        <f t="array" ref="N45">G45*$J45</f>
        <v>3.56655644292808</v>
      </c>
      <c r="O45" s="34" cm="1">
        <f t="array" ref="O45">H45*$J45</f>
        <v>1.26070870910758</v>
      </c>
      <c r="P45" s="6"/>
      <c r="Q45" s="34">
        <v>264.9454</v>
      </c>
      <c r="R45" s="34" cm="1">
        <f t="array" ref="R45">Q45/1000</f>
        <v>0.2649454</v>
      </c>
      <c r="S45" s="6"/>
      <c r="T45" s="34" cm="1">
        <f t="array" ref="T45">$R45*L45</f>
        <v>0.45715266518118</v>
      </c>
      <c r="U45" s="34" cm="1">
        <f t="array" ref="U45">$R45*M45</f>
        <v>0.000241649996027211</v>
      </c>
      <c r="V45" s="34" cm="1">
        <f t="array" ref="V45">$R45*N45</f>
        <v>0.944942723394157</v>
      </c>
      <c r="W45" s="34" cm="1">
        <f t="array" ref="W45">$R45*O45</f>
        <v>0.334018973217991</v>
      </c>
      <c r="X45" s="6"/>
      <c r="Y45" s="34" cm="1">
        <f t="array" ref="Y45">T45-Y$48-Y$3</f>
        <v>0.338938237144736</v>
      </c>
      <c r="Z45" s="34" cm="1">
        <f t="array" ref="Z45">U45-Z$48-Z$3</f>
        <v>-0.465277591550086</v>
      </c>
      <c r="AA45" s="34" cm="1">
        <f t="array" ref="AA45">V45-AA$48-AA$3</f>
        <v>-0.653252843367103</v>
      </c>
      <c r="AB45" s="34" cm="1">
        <f t="array" ref="AB45">W45-AB$48-AB$3</f>
        <v>14.7929166579316</v>
      </c>
      <c r="AC45" s="6"/>
      <c r="AD45" s="41">
        <v>0.010209657</v>
      </c>
      <c r="AE45" s="35"/>
      <c r="AF45" s="41" cm="1">
        <f t="array" ref="AF45">Y45/$AD45</f>
        <v>33.1978084224314</v>
      </c>
      <c r="AG45" s="41" cm="1">
        <f t="array" ref="AG45">Z45/$AD45</f>
        <v>-45.572303903068</v>
      </c>
      <c r="AH45" s="41" cm="1">
        <f t="array" ref="AH45">AA45/$AD45</f>
        <v>-63.9838187871643</v>
      </c>
      <c r="AI45" s="41" cm="1">
        <f t="array" ref="AI45">AB45/$AD45</f>
        <v>1448.914166061760</v>
      </c>
    </row>
    <row r="46" ht="17" customHeight="1">
      <c r="A46" s="6"/>
      <c r="B46" t="s" s="32">
        <v>102</v>
      </c>
      <c r="C46" s="34">
        <v>0</v>
      </c>
      <c r="D46" t="s" s="32">
        <v>103</v>
      </c>
      <c r="E46" s="37">
        <v>-0.730894470627459</v>
      </c>
      <c r="F46" s="43">
        <v>0.000898014361638009</v>
      </c>
      <c r="G46" s="39">
        <v>6.37502917753089</v>
      </c>
      <c r="H46" s="40">
        <v>1.89751653509531</v>
      </c>
      <c r="I46" s="6"/>
      <c r="J46" s="34">
        <v>1.01497499411416</v>
      </c>
      <c r="K46" s="6"/>
      <c r="L46" s="34" cm="1">
        <f t="array" ref="L46">E46*$J46</f>
        <v>-0.741839611023177</v>
      </c>
      <c r="M46" s="34" cm="1">
        <f t="array" ref="M46">F46*$J46</f>
        <v>0.000911462121417969</v>
      </c>
      <c r="N46" s="34" cm="1">
        <f t="array" ref="N46">G46*$J46</f>
        <v>6.47049520194201</v>
      </c>
      <c r="O46" s="34" cm="1">
        <f t="array" ref="O46">H46*$J46</f>
        <v>1.92593183403988</v>
      </c>
      <c r="P46" s="6"/>
      <c r="Q46" s="34">
        <v>265.0274</v>
      </c>
      <c r="R46" s="34" cm="1">
        <f t="array" ref="R46">Q46/1000</f>
        <v>0.2650274</v>
      </c>
      <c r="S46" s="6"/>
      <c r="T46" s="34" cm="1">
        <f t="array" ref="T46">$R46*L46</f>
        <v>-0.196607823326484</v>
      </c>
      <c r="U46" s="34" cm="1">
        <f t="array" ref="U46">$R46*M46</f>
        <v>0.000241562436237889</v>
      </c>
      <c r="V46" s="34" cm="1">
        <f t="array" ref="V46">$R46*N46</f>
        <v>1.71485852008317</v>
      </c>
      <c r="W46" s="34" cm="1">
        <f t="array" ref="W46">$R46*O46</f>
        <v>0.510424706552821</v>
      </c>
      <c r="X46" s="6"/>
      <c r="Y46" s="34" cm="1">
        <f t="array" ref="Y46">T46-Y$48-Y$3</f>
        <v>-0.314822251362928</v>
      </c>
      <c r="Z46" s="34" cm="1">
        <f t="array" ref="Z46">U46-Z$48-Z$3</f>
        <v>-0.465277679109875</v>
      </c>
      <c r="AA46" s="34" cm="1">
        <f t="array" ref="AA46">V46-AA$48-AA$3</f>
        <v>0.11666295332191</v>
      </c>
      <c r="AB46" s="34" cm="1">
        <f t="array" ref="AB46">W46-AB$48-AB$3</f>
        <v>14.9693223912664</v>
      </c>
      <c r="AC46" s="6"/>
      <c r="AD46" s="41">
        <v>0.010209657</v>
      </c>
      <c r="AE46" s="35"/>
      <c r="AF46" s="41" cm="1">
        <f t="array" ref="AF46">Y46/$AD46</f>
        <v>-30.8357324210723</v>
      </c>
      <c r="AG46" s="41" cm="1">
        <f t="array" ref="AG46">Z46/$AD46</f>
        <v>-45.5723124792415</v>
      </c>
      <c r="AH46" s="41" cm="1">
        <f t="array" ref="AH46">AA46/$AD46</f>
        <v>11.4267260224227</v>
      </c>
      <c r="AI46" s="41" cm="1">
        <f t="array" ref="AI46">AB46/$AD46</f>
        <v>1466.192487295740</v>
      </c>
    </row>
    <row r="47" ht="17" customHeight="1">
      <c r="A47" s="6"/>
      <c r="B47" t="s" s="32">
        <v>104</v>
      </c>
      <c r="C47" s="34">
        <v>0</v>
      </c>
      <c r="D47" t="s" s="32">
        <v>105</v>
      </c>
      <c r="E47" s="37">
        <v>-0.687410713095749</v>
      </c>
      <c r="F47" s="43">
        <v>0.000898014361638009</v>
      </c>
      <c r="G47" s="42">
        <v>10.9411837359923</v>
      </c>
      <c r="H47" s="34">
        <v>15.4749605627389</v>
      </c>
      <c r="I47" s="6"/>
      <c r="J47" s="34">
        <v>1.01516911069916</v>
      </c>
      <c r="K47" s="6"/>
      <c r="L47" s="34" cm="1">
        <f t="array" ref="L47">E47*$J47</f>
        <v>-0.697838122298487</v>
      </c>
      <c r="M47" s="34" cm="1">
        <f t="array" ref="M47">F47*$J47</f>
        <v>0.000911636440899131</v>
      </c>
      <c r="N47" s="34" cm="1">
        <f t="array" ref="N47">G47*$J47</f>
        <v>11.1071517632634</v>
      </c>
      <c r="O47" s="34" cm="1">
        <f t="array" ref="O47">H47*$J47</f>
        <v>15.7097019525802</v>
      </c>
      <c r="P47" s="6"/>
      <c r="Q47" s="34">
        <v>265.6504</v>
      </c>
      <c r="R47" s="34" cm="1">
        <f t="array" ref="R47">Q47/1000</f>
        <v>0.2656504</v>
      </c>
      <c r="S47" s="6"/>
      <c r="T47" s="34" cm="1">
        <f t="array" ref="T47">$R47*L47</f>
        <v>-0.185380976323842</v>
      </c>
      <c r="U47" s="34" cm="1">
        <f t="array" ref="U47">$R47*M47</f>
        <v>0.000242176585179431</v>
      </c>
      <c r="V47" s="34" cm="1">
        <f t="array" ref="V47">$R47*N47</f>
        <v>2.95061930877163</v>
      </c>
      <c r="W47" s="34" cm="1">
        <f t="array" ref="W47">$R47*O47</f>
        <v>4.17328860758371</v>
      </c>
      <c r="X47" s="6"/>
      <c r="Y47" s="34" cm="1">
        <f t="array" ref="Y47">T47-Y$48-Y$3</f>
        <v>-0.303595404360286</v>
      </c>
      <c r="Z47" s="34" cm="1">
        <f t="array" ref="Z47">U47-Z$48-Z$3</f>
        <v>-0.465277064960934</v>
      </c>
      <c r="AA47" s="34" cm="1">
        <f t="array" ref="AA47">V47-AA$48-AA$3</f>
        <v>1.35242374201037</v>
      </c>
      <c r="AB47" s="34" cm="1">
        <f t="array" ref="AB47">W47-AB$48-AB$3</f>
        <v>18.6321862922973</v>
      </c>
      <c r="AC47" s="6"/>
      <c r="AD47" s="41">
        <v>0.010209657</v>
      </c>
      <c r="AE47" s="35"/>
      <c r="AF47" s="41" cm="1">
        <f t="array" ref="AF47">Y47/$AD47</f>
        <v>-29.736102237351</v>
      </c>
      <c r="AG47" s="41" cm="1">
        <f t="array" ref="AG47">Z47/$AD47</f>
        <v>-45.5722523255124</v>
      </c>
      <c r="AH47" s="41" cm="1">
        <f t="array" ref="AH47">AA47/$AD47</f>
        <v>132.465149613779</v>
      </c>
      <c r="AI47" s="41" cm="1">
        <f t="array" ref="AI47">AB47/$AD47</f>
        <v>1824.9571256211</v>
      </c>
    </row>
    <row r="48" ht="17" customHeight="1">
      <c r="A48" s="6"/>
      <c r="B48" t="s" s="32">
        <v>106</v>
      </c>
      <c r="C48" s="34">
        <v>0</v>
      </c>
      <c r="D48" t="s" s="32">
        <v>107</v>
      </c>
      <c r="E48" s="37">
        <v>0.314435441058914</v>
      </c>
      <c r="F48" s="43">
        <v>0.000898014361638009</v>
      </c>
      <c r="G48" s="39">
        <v>5.66543685884893</v>
      </c>
      <c r="H48" s="40">
        <v>-53.1726641180678</v>
      </c>
      <c r="I48" s="6"/>
      <c r="J48" s="34">
        <v>1.01532115497938</v>
      </c>
      <c r="K48" s="6"/>
      <c r="L48" s="34" cm="1">
        <f t="array" ref="L48">E48*$J48</f>
        <v>0.319252955182387</v>
      </c>
      <c r="M48" s="34" cm="1">
        <f t="array" ref="M48">F48*$J48</f>
        <v>0.000911772978846374</v>
      </c>
      <c r="N48" s="34" cm="1">
        <f t="array" ref="N48">G48*$J48</f>
        <v>5.75223789498925</v>
      </c>
      <c r="O48" s="34" cm="1">
        <f t="array" ref="O48">H48*$J48</f>
        <v>-53.9873307456872</v>
      </c>
      <c r="P48" s="6"/>
      <c r="Q48" s="34">
        <v>265.51</v>
      </c>
      <c r="R48" s="34" cm="1">
        <f t="array" ref="R48">Q48/1000</f>
        <v>0.26551</v>
      </c>
      <c r="S48" s="6"/>
      <c r="T48" s="34" cm="1">
        <f t="array" ref="T48">$R48*L48</f>
        <v>0.0847648521304756</v>
      </c>
      <c r="U48" s="34" cm="1">
        <f t="array" ref="U48">$R48*M48</f>
        <v>0.000242084843613501</v>
      </c>
      <c r="V48" s="34" cm="1">
        <f t="array" ref="V48">$R48*N48</f>
        <v>1.5272766834986</v>
      </c>
      <c r="W48" s="34" cm="1">
        <f t="array" ref="W48">$R48*O48</f>
        <v>-14.3341761862874</v>
      </c>
      <c r="X48" s="6"/>
      <c r="Y48" s="34" cm="1">
        <f t="array" ref="Y48">AVERAGE(T48:T50)</f>
        <v>0.118214428036444</v>
      </c>
      <c r="Z48" s="34" cm="1">
        <f t="array" ref="Z48">AVERAGE(U48:U50)</f>
        <v>0.465519241546113</v>
      </c>
      <c r="AA48" s="34" cm="1">
        <f t="array" ref="AA48">AVERAGE(V48:V50)</f>
        <v>1.59819556676126</v>
      </c>
      <c r="AB48" s="34" cm="1">
        <f t="array" ref="AB48">AVERAGE(W48:W50)</f>
        <v>-14.4588976847136</v>
      </c>
      <c r="AC48" s="6"/>
      <c r="AD48" s="41">
        <v>0.010209657</v>
      </c>
      <c r="AE48" s="35"/>
      <c r="AF48" s="41" cm="1">
        <f t="array" ref="AF48">Y48/$AD48</f>
        <v>11.578687514815</v>
      </c>
      <c r="AG48" s="41" cm="1">
        <f t="array" ref="AG48">Z48/$AD48</f>
        <v>45.5959726703956</v>
      </c>
      <c r="AH48" s="41" cm="1">
        <f t="array" ref="AH48">AA48/$AD48</f>
        <v>156.537635570055</v>
      </c>
      <c r="AI48" s="41" cm="1">
        <f t="array" ref="AI48">AB48/$AD48</f>
        <v>-1416.198182241930</v>
      </c>
    </row>
    <row r="49" ht="17" customHeight="1">
      <c r="A49" s="6"/>
      <c r="B49" t="s" s="32">
        <v>108</v>
      </c>
      <c r="C49" s="34">
        <v>0</v>
      </c>
      <c r="D49" t="s" s="32">
        <v>109</v>
      </c>
      <c r="E49" s="37">
        <v>0.396202330019182</v>
      </c>
      <c r="F49" s="43">
        <v>0.000898014361638009</v>
      </c>
      <c r="G49" s="42">
        <v>5.53179971247869</v>
      </c>
      <c r="H49" s="34">
        <v>-53.2677819620641</v>
      </c>
      <c r="I49" s="6"/>
      <c r="J49" s="34">
        <v>1.01748843337775</v>
      </c>
      <c r="K49" s="6"/>
      <c r="L49" s="34" cm="1">
        <f t="array" ref="L49">E49*$J49</f>
        <v>0.403131288071832</v>
      </c>
      <c r="M49" s="34" cm="1">
        <f t="array" ref="M49">F49*$J49</f>
        <v>0.000913719225973778</v>
      </c>
      <c r="N49" s="34" cm="1">
        <f t="array" ref="N49">G49*$J49</f>
        <v>5.62854222320943</v>
      </c>
      <c r="O49" s="34" cm="1">
        <f t="array" ref="O49">H49*$J49</f>
        <v>-54.1993520180882</v>
      </c>
      <c r="P49" s="6"/>
      <c r="Q49" s="34">
        <v>273.95</v>
      </c>
      <c r="R49" s="34" cm="1">
        <f t="array" ref="R49">Q49/1000</f>
        <v>0.27395</v>
      </c>
      <c r="S49" s="6"/>
      <c r="T49" s="34" cm="1">
        <f t="array" ref="T49">$R49*L49</f>
        <v>0.110437816367278</v>
      </c>
      <c r="U49" s="34" cm="1">
        <f t="array" ref="U49">$R49*M49</f>
        <v>0.000250313381955516</v>
      </c>
      <c r="V49" s="34" cm="1">
        <f t="array" ref="V49">$R49*N49</f>
        <v>1.54193914204822</v>
      </c>
      <c r="W49" s="34" cm="1">
        <f t="array" ref="W49">$R49*O49</f>
        <v>-14.8479124853553</v>
      </c>
      <c r="X49" s="6"/>
      <c r="Y49" s="6"/>
      <c r="Z49" s="6"/>
      <c r="AA49" s="6"/>
      <c r="AB49" s="6"/>
      <c r="AC49" s="6"/>
      <c r="AD49" s="41">
        <v>0.010209657</v>
      </c>
      <c r="AE49" s="35"/>
      <c r="AF49" s="41" cm="1">
        <f t="array" ref="AF49">Y49/$AD49</f>
        <v>0</v>
      </c>
      <c r="AG49" s="41" cm="1">
        <f t="array" ref="AG49">Z49/$AD49</f>
        <v>0</v>
      </c>
      <c r="AH49" s="41" cm="1">
        <f t="array" ref="AH49">AA49/$AD49</f>
        <v>0</v>
      </c>
      <c r="AI49" s="41" cm="1">
        <f t="array" ref="AI49">AB49/$AD49</f>
        <v>0</v>
      </c>
    </row>
    <row r="50" ht="17" customHeight="1">
      <c r="A50" s="5"/>
      <c r="B50" t="s" s="47">
        <v>110</v>
      </c>
      <c r="C50" s="44">
        <v>0</v>
      </c>
      <c r="D50" t="s" s="8">
        <v>111</v>
      </c>
      <c r="E50" s="48">
        <v>0.598593395947613</v>
      </c>
      <c r="F50" s="38">
        <v>5.24129614964584</v>
      </c>
      <c r="G50" s="39">
        <v>6.47761931435302</v>
      </c>
      <c r="H50" s="49">
        <v>-53.2912922398132</v>
      </c>
      <c r="I50" s="5"/>
      <c r="J50" s="50">
        <v>1.01562874610405</v>
      </c>
      <c r="K50" s="5"/>
      <c r="L50" s="50" cm="1">
        <f t="array" ref="L50">E50*$J50</f>
        <v>0.607948660152439</v>
      </c>
      <c r="M50" s="50" cm="1">
        <f t="array" ref="M50">F50*$J50</f>
        <v>5.32321103642479</v>
      </c>
      <c r="N50" s="50" cm="1">
        <f t="array" ref="N50">G50*$J50</f>
        <v>6.57885638197573</v>
      </c>
      <c r="O50" s="50" cm="1">
        <f t="array" ref="O50">H50*$J50</f>
        <v>-54.124168315786</v>
      </c>
      <c r="P50" s="5"/>
      <c r="Q50" s="44">
        <v>262.26</v>
      </c>
      <c r="R50" s="50" cm="1">
        <f t="array" ref="R50">Q50/1000</f>
        <v>0.26226</v>
      </c>
      <c r="S50" s="5"/>
      <c r="T50" s="50" cm="1">
        <f t="array" ref="T50">$R50*L50</f>
        <v>0.159440615611579</v>
      </c>
      <c r="U50" s="50" cm="1">
        <f t="array" ref="U50">$R50*M50</f>
        <v>1.39606532641277</v>
      </c>
      <c r="V50" s="50" cm="1">
        <f t="array" ref="V50">$R50*N50</f>
        <v>1.72537087473695</v>
      </c>
      <c r="W50" s="50" cm="1">
        <f t="array" ref="W50">$R50*O50</f>
        <v>-14.194604382498</v>
      </c>
      <c r="X50" s="5"/>
      <c r="Y50" s="5"/>
      <c r="Z50" s="5"/>
      <c r="AA50" s="5"/>
      <c r="AB50" s="5"/>
      <c r="AC50" s="5"/>
      <c r="AD50" s="73">
        <v>0.010209657</v>
      </c>
      <c r="AE50" s="11"/>
      <c r="AF50" s="73" cm="1">
        <f t="array" ref="AF50">Y50/$AD50</f>
        <v>0</v>
      </c>
      <c r="AG50" s="73" cm="1">
        <f t="array" ref="AG50">Z50/$AD50</f>
        <v>0</v>
      </c>
      <c r="AH50" s="73" cm="1">
        <f t="array" ref="AH50">AA50/$AD50</f>
        <v>0</v>
      </c>
      <c r="AI50" s="73" cm="1">
        <f t="array" ref="AI50">AB50/$AD50</f>
        <v>0</v>
      </c>
    </row>
    <row r="51" ht="17" customHeight="1">
      <c r="A51" s="45">
        <v>2</v>
      </c>
      <c r="B51" t="s" s="52">
        <v>22</v>
      </c>
      <c r="C51" s="45">
        <v>2</v>
      </c>
      <c r="D51" t="s" s="53">
        <v>112</v>
      </c>
      <c r="E51" s="54">
        <v>-7.84102671182952</v>
      </c>
      <c r="F51" s="38">
        <v>101.112188037731</v>
      </c>
      <c r="G51" s="39">
        <v>6010.7193578923</v>
      </c>
      <c r="H51" s="55">
        <v>-6.75836330423656</v>
      </c>
      <c r="I51" s="26"/>
      <c r="J51" s="56">
        <v>1.04333783065538</v>
      </c>
      <c r="K51" s="26"/>
      <c r="L51" s="56" cm="1">
        <f t="array" ref="L51">E51*$J51</f>
        <v>-8.1808397996311</v>
      </c>
      <c r="M51" s="56" cm="1">
        <f t="array" ref="M51">F51*$J51</f>
        <v>105.494170920105</v>
      </c>
      <c r="N51" s="56" cm="1">
        <f t="array" ref="N51">G51*$J51</f>
        <v>6271.210895541650</v>
      </c>
      <c r="O51" s="56" cm="1">
        <f t="array" ref="O51">H51*$J51</f>
        <v>-7.0512561086231</v>
      </c>
      <c r="P51" s="26"/>
      <c r="Q51" s="45">
        <v>251.111</v>
      </c>
      <c r="R51" s="56" cm="1">
        <f t="array" ref="R51">Q51/1000</f>
        <v>0.251111</v>
      </c>
      <c r="S51" s="26"/>
      <c r="T51" s="56" cm="1">
        <f t="array" ref="T51">$R51*L51</f>
        <v>-2.05429886292517</v>
      </c>
      <c r="U51" s="56" cm="1">
        <f t="array" ref="U51">$R51*M51</f>
        <v>26.4907467539185</v>
      </c>
      <c r="V51" s="56" cm="1">
        <f t="array" ref="V51">$R51*N51</f>
        <v>1574.770039190360</v>
      </c>
      <c r="W51" s="56" cm="1">
        <f t="array" ref="W51">$R51*O51</f>
        <v>-1.77064797269246</v>
      </c>
      <c r="X51" s="26"/>
      <c r="Y51" s="45" cm="1">
        <f t="array" ref="Y51">T51-Y$57-Y$3</f>
        <v>-0.58541501654007</v>
      </c>
      <c r="Z51" s="45" cm="1">
        <f t="array" ref="Z51">U51-Z$57-Z$3</f>
        <v>15.1324432855517</v>
      </c>
      <c r="AA51" s="45" cm="1">
        <f t="array" ref="AA51">V51-AA$57-AA$3</f>
        <v>1572.382909888850</v>
      </c>
      <c r="AB51" s="45" cm="1">
        <f t="array" ref="AB51">W51-AB$57-AB$3</f>
        <v>-133.916410900902</v>
      </c>
      <c r="AC51" s="26"/>
      <c r="AD51" s="74">
        <v>0.010209657</v>
      </c>
      <c r="AE51" s="58"/>
      <c r="AF51" s="59" cm="1">
        <f t="array" ref="AF51">Y51/$AD51</f>
        <v>-57.3393422070957</v>
      </c>
      <c r="AG51" s="75" cm="1">
        <f t="array" ref="AG51">Z51/$AD51</f>
        <v>1482.169605262130</v>
      </c>
      <c r="AH51" s="75" cm="1">
        <f t="array" ref="AH51">AA51/$AD51</f>
        <v>154009.376601863</v>
      </c>
      <c r="AI51" s="59" cm="1">
        <f t="array" ref="AI51">AB51/$AD51</f>
        <v>-13116.6415189954</v>
      </c>
    </row>
    <row r="52" ht="17" customHeight="1">
      <c r="A52" s="6"/>
      <c r="B52" t="s" s="32">
        <v>24</v>
      </c>
      <c r="C52" s="34">
        <v>2</v>
      </c>
      <c r="D52" t="s" s="53">
        <v>113</v>
      </c>
      <c r="E52" s="37">
        <v>6.32866440219695</v>
      </c>
      <c r="F52" s="38">
        <v>134.326962242526</v>
      </c>
      <c r="G52" s="42">
        <v>7592.935145076810</v>
      </c>
      <c r="H52" s="34">
        <v>-4.12585697771404</v>
      </c>
      <c r="I52" s="6"/>
      <c r="J52" s="34">
        <v>1.03794037940379</v>
      </c>
      <c r="K52" s="6"/>
      <c r="L52" s="34" cm="1">
        <f t="array" ref="L52">E52*$J52</f>
        <v>6.56877633073556</v>
      </c>
      <c r="M52" s="34" cm="1">
        <f t="array" ref="M52">F52*$J52</f>
        <v>139.423378154166</v>
      </c>
      <c r="N52" s="34" cm="1">
        <f t="array" ref="N52">G52*$J52</f>
        <v>7881.0139852694</v>
      </c>
      <c r="O52" s="34" cm="1">
        <f t="array" ref="O52">H52*$J52</f>
        <v>-4.28239355681429</v>
      </c>
      <c r="P52" s="6"/>
      <c r="Q52" s="34">
        <v>246.5676</v>
      </c>
      <c r="R52" s="34" cm="1">
        <f t="array" ref="R52">Q52/1000</f>
        <v>0.2465676</v>
      </c>
      <c r="S52" s="6"/>
      <c r="T52" s="34" cm="1">
        <f t="array" ref="T52">$R52*L52</f>
        <v>1.61964741480627</v>
      </c>
      <c r="U52" s="34" cm="1">
        <f t="array" ref="U52">$R52*M52</f>
        <v>34.3772877353651</v>
      </c>
      <c r="V52" s="34" cm="1">
        <f t="array" ref="V52">$R52*N52</f>
        <v>1943.202703914310</v>
      </c>
      <c r="W52" s="34" cm="1">
        <f t="array" ref="W52">$R52*O52</f>
        <v>-1.05589950155916</v>
      </c>
      <c r="X52" s="6"/>
      <c r="Y52" s="34" cm="1">
        <f t="array" ref="Y52">T52-Y$57-Y$3</f>
        <v>3.08853126119137</v>
      </c>
      <c r="Z52" s="34" cm="1">
        <f t="array" ref="Z52">U52-Z$57-Z$3</f>
        <v>23.0189842669983</v>
      </c>
      <c r="AA52" s="34" cm="1">
        <f t="array" ref="AA52">V52-AA$57-AA$3</f>
        <v>1940.8155746128</v>
      </c>
      <c r="AB52" s="34" cm="1">
        <f t="array" ref="AB52">W52-AB$57-AB$3</f>
        <v>-133.201662429769</v>
      </c>
      <c r="AC52" s="6"/>
      <c r="AD52" s="41">
        <v>0.010209657</v>
      </c>
      <c r="AE52" s="35"/>
      <c r="AF52" s="41" cm="1">
        <f t="array" ref="AF52">Y52/$AD52</f>
        <v>302.510775943929</v>
      </c>
      <c r="AG52" s="41" cm="1">
        <f t="array" ref="AG52">Z52/$AD52</f>
        <v>2254.628560685070</v>
      </c>
      <c r="AH52" s="41" cm="1">
        <f t="array" ref="AH52">AA52/$AD52</f>
        <v>190096.06048595</v>
      </c>
      <c r="AI52" s="41" cm="1">
        <f t="array" ref="AI52">AB52/$AD52</f>
        <v>-13046.6344197233</v>
      </c>
    </row>
    <row r="53" ht="17" customHeight="1">
      <c r="A53" s="6"/>
      <c r="B53" t="s" s="32">
        <v>26</v>
      </c>
      <c r="C53" s="34">
        <v>2</v>
      </c>
      <c r="D53" t="s" s="53">
        <v>114</v>
      </c>
      <c r="E53" s="37">
        <v>35.0328890377303</v>
      </c>
      <c r="F53" s="38">
        <v>214.578643496098</v>
      </c>
      <c r="G53" s="39">
        <v>8026.261098120950</v>
      </c>
      <c r="H53" s="40">
        <v>3.37983026530718</v>
      </c>
      <c r="I53" s="6"/>
      <c r="J53" s="34">
        <v>1.03784493607398</v>
      </c>
      <c r="K53" s="6"/>
      <c r="L53" s="34" cm="1">
        <f t="array" ref="L53">E53*$J53</f>
        <v>36.358706483850</v>
      </c>
      <c r="M53" s="34" cm="1">
        <f t="array" ref="M53">F53*$J53</f>
        <v>222.699358542049</v>
      </c>
      <c r="N53" s="34" cm="1">
        <f t="array" ref="N53">G53*$J53</f>
        <v>8330.014436292409</v>
      </c>
      <c r="O53" s="34" cm="1">
        <f t="array" ref="O53">H53*$J53</f>
        <v>3.50773972563863</v>
      </c>
      <c r="P53" s="6"/>
      <c r="Q53" s="34">
        <v>247.0258</v>
      </c>
      <c r="R53" s="34" cm="1">
        <f t="array" ref="R53">Q53/1000</f>
        <v>0.2470258</v>
      </c>
      <c r="S53" s="6"/>
      <c r="T53" s="34" cm="1">
        <f t="array" ref="T53">$R53*L53</f>
        <v>8.981538556138229</v>
      </c>
      <c r="U53" s="34" cm="1">
        <f t="array" ref="U53">$R53*M53</f>
        <v>55.0124872033365</v>
      </c>
      <c r="V53" s="34" cm="1">
        <f t="array" ref="V53">$R53*N53</f>
        <v>2057.728480136680</v>
      </c>
      <c r="W53" s="34" cm="1">
        <f t="array" ref="W53">$R53*O53</f>
        <v>0.866502211917663</v>
      </c>
      <c r="X53" s="6"/>
      <c r="Y53" s="34" cm="1">
        <f t="array" ref="Y53">T53-Y$57-Y$3</f>
        <v>10.4504224025233</v>
      </c>
      <c r="Z53" s="34" cm="1">
        <f t="array" ref="Z53">U53-Z$57-Z$3</f>
        <v>43.6541837349697</v>
      </c>
      <c r="AA53" s="34" cm="1">
        <f t="array" ref="AA53">V53-AA$57-AA$3</f>
        <v>2055.341350835170</v>
      </c>
      <c r="AB53" s="34" cm="1">
        <f t="array" ref="AB53">W53-AB$57-AB$3</f>
        <v>-131.279260716292</v>
      </c>
      <c r="AC53" s="6"/>
      <c r="AD53" s="41">
        <v>0.010209657</v>
      </c>
      <c r="AE53" s="35"/>
      <c r="AF53" s="41" cm="1">
        <f t="array" ref="AF53">Y53/$AD53</f>
        <v>1023.5821245046</v>
      </c>
      <c r="AG53" s="41" cm="1">
        <f t="array" ref="AG53">Z53/$AD53</f>
        <v>4275.773783092780</v>
      </c>
      <c r="AH53" s="41" cm="1">
        <f t="array" ref="AH53">AA53/$AD53</f>
        <v>201313.457527042</v>
      </c>
      <c r="AI53" s="41" cm="1">
        <f t="array" ref="AI53">AB53/$AD53</f>
        <v>-12858.3419321817</v>
      </c>
    </row>
    <row r="54" ht="17" customHeight="1">
      <c r="A54" s="6"/>
      <c r="B54" t="s" s="32">
        <v>28</v>
      </c>
      <c r="C54" s="34">
        <v>2</v>
      </c>
      <c r="D54" t="s" s="53">
        <v>115</v>
      </c>
      <c r="E54" s="37">
        <v>-0.712127399308959</v>
      </c>
      <c r="F54" s="38">
        <v>21.2827364482686</v>
      </c>
      <c r="G54" s="39">
        <v>18.3154587017232</v>
      </c>
      <c r="H54" s="40">
        <v>1384.502142722520</v>
      </c>
      <c r="I54" s="6"/>
      <c r="J54" s="34">
        <v>1.03412306945904</v>
      </c>
      <c r="K54" s="6"/>
      <c r="L54" s="34" cm="1">
        <f t="array" ref="L54">E54*$J54</f>
        <v>-0.736427372019264</v>
      </c>
      <c r="M54" s="34" cm="1">
        <f t="array" ref="M54">F54*$J54</f>
        <v>22.0089687423713</v>
      </c>
      <c r="N54" s="34" cm="1">
        <f t="array" ref="N54">G54*$J54</f>
        <v>18.9404383711763</v>
      </c>
      <c r="O54" s="34" cm="1">
        <f t="array" ref="O54">H54*$J54</f>
        <v>1431.745605504830</v>
      </c>
      <c r="P54" s="6"/>
      <c r="Q54" s="34">
        <v>247.925</v>
      </c>
      <c r="R54" s="34" cm="1">
        <f t="array" ref="R54">Q54/1000</f>
        <v>0.247925</v>
      </c>
      <c r="S54" s="6"/>
      <c r="T54" s="34" cm="1">
        <f t="array" ref="T54">$R54*L54</f>
        <v>-0.182578756207876</v>
      </c>
      <c r="U54" s="34" cm="1">
        <f t="array" ref="U54">$R54*M54</f>
        <v>5.4565735754524</v>
      </c>
      <c r="V54" s="34" cm="1">
        <f t="array" ref="V54">$R54*N54</f>
        <v>4.69580818317388</v>
      </c>
      <c r="W54" s="34" cm="1">
        <f t="array" ref="W54">$R54*O54</f>
        <v>354.965529244785</v>
      </c>
      <c r="X54" s="6"/>
      <c r="Y54" s="34" cm="1">
        <f t="array" ref="Y54">T54-Y$57-Y$3</f>
        <v>1.28630509017722</v>
      </c>
      <c r="Z54" s="34" cm="1">
        <f t="array" ref="Z54">U54-Z$57-Z$3</f>
        <v>-5.9017298929144</v>
      </c>
      <c r="AA54" s="34" cm="1">
        <f t="array" ref="AA54">V54-AA$57-AA$3</f>
        <v>2.30867888166771</v>
      </c>
      <c r="AB54" s="34" cm="1">
        <f t="array" ref="AB54">W54-AB$57-AB$3</f>
        <v>222.819766316575</v>
      </c>
      <c r="AC54" s="6"/>
      <c r="AD54" s="41">
        <v>0.010209657</v>
      </c>
      <c r="AE54" s="35"/>
      <c r="AF54" s="41" cm="1">
        <f t="array" ref="AF54">Y54/$AD54</f>
        <v>125.989060178733</v>
      </c>
      <c r="AG54" s="41" cm="1">
        <f t="array" ref="AG54">Z54/$AD54</f>
        <v>-578.053689062659</v>
      </c>
      <c r="AH54" s="41" cm="1">
        <f t="array" ref="AH54">AA54/$AD54</f>
        <v>226.126977788550</v>
      </c>
      <c r="AI54" s="41" cm="1">
        <f t="array" ref="AI54">AB54/$AD54</f>
        <v>21824.4125455512</v>
      </c>
    </row>
    <row r="55" ht="17" customHeight="1">
      <c r="A55" s="6"/>
      <c r="B55" t="s" s="32">
        <v>30</v>
      </c>
      <c r="C55" s="34">
        <v>2</v>
      </c>
      <c r="D55" t="s" s="53">
        <v>116</v>
      </c>
      <c r="E55" s="37">
        <v>-6.19910763019492</v>
      </c>
      <c r="F55" s="38">
        <v>29.5033541612642</v>
      </c>
      <c r="G55" s="42">
        <v>81.53934908333891</v>
      </c>
      <c r="H55" s="34">
        <v>1362.293417494530</v>
      </c>
      <c r="I55" s="6"/>
      <c r="J55" s="34">
        <v>1.03725448711168</v>
      </c>
      <c r="K55" s="6"/>
      <c r="L55" s="34" cm="1">
        <f t="array" ref="L55">E55*$J55</f>
        <v>-6.43005220550793</v>
      </c>
      <c r="M55" s="34" cm="1">
        <f t="array" ref="M55">F55*$J55</f>
        <v>30.6024864886163</v>
      </c>
      <c r="N55" s="34" cm="1">
        <f t="array" ref="N55">G55*$J55</f>
        <v>84.57705571285889</v>
      </c>
      <c r="O55" s="34" cm="1">
        <f t="array" ref="O55">H55*$J55</f>
        <v>1413.044960058910</v>
      </c>
      <c r="P55" s="6"/>
      <c r="Q55" s="34">
        <v>244.148</v>
      </c>
      <c r="R55" s="34" cm="1">
        <f t="array" ref="R55">Q55/1000</f>
        <v>0.244148</v>
      </c>
      <c r="S55" s="6"/>
      <c r="T55" s="34" cm="1">
        <f t="array" ref="T55">$R55*L55</f>
        <v>-1.56988438587035</v>
      </c>
      <c r="U55" s="34" cm="1">
        <f t="array" ref="U55">$R55*M55</f>
        <v>7.47153587122269</v>
      </c>
      <c r="V55" s="34" cm="1">
        <f t="array" ref="V55">$R55*N55</f>
        <v>20.6493189981831</v>
      </c>
      <c r="W55" s="34" cm="1">
        <f t="array" ref="W55">$R55*O55</f>
        <v>344.992100908463</v>
      </c>
      <c r="X55" s="6"/>
      <c r="Y55" s="34" cm="1">
        <f t="array" ref="Y55">T55-Y$57-Y$3</f>
        <v>-0.10100053948525</v>
      </c>
      <c r="Z55" s="34" cm="1">
        <f t="array" ref="Z55">U55-Z$57-Z$3</f>
        <v>-3.88676759714411</v>
      </c>
      <c r="AA55" s="34" cm="1">
        <f t="array" ref="AA55">V55-AA$57-AA$3</f>
        <v>18.2621896966769</v>
      </c>
      <c r="AB55" s="34" cm="1">
        <f t="array" ref="AB55">W55-AB$57-AB$3</f>
        <v>212.846337980253</v>
      </c>
      <c r="AC55" s="6"/>
      <c r="AD55" s="41">
        <v>0.010209657</v>
      </c>
      <c r="AE55" s="35"/>
      <c r="AF55" s="41" cm="1">
        <f t="array" ref="AF55">Y55/$AD55</f>
        <v>-9.89264766536721</v>
      </c>
      <c r="AG55" s="41" cm="1">
        <f t="array" ref="AG55">Z55/$AD55</f>
        <v>-380.695217982750</v>
      </c>
      <c r="AH55" s="41" cm="1">
        <f t="array" ref="AH55">AA55/$AD55</f>
        <v>1788.7172602054</v>
      </c>
      <c r="AI55" s="41" cm="1">
        <f t="array" ref="AI55">AB55/$AD55</f>
        <v>20847.5503124398</v>
      </c>
    </row>
    <row r="56" ht="17" customHeight="1">
      <c r="A56" s="6"/>
      <c r="B56" t="s" s="32">
        <v>32</v>
      </c>
      <c r="C56" s="34">
        <v>2</v>
      </c>
      <c r="D56" t="s" s="53">
        <v>117</v>
      </c>
      <c r="E56" s="37">
        <v>-6.00473025715451</v>
      </c>
      <c r="F56" s="38">
        <v>63.9673758731599</v>
      </c>
      <c r="G56" s="39">
        <v>1.83418512794058</v>
      </c>
      <c r="H56" s="40">
        <v>-24.2036501342694</v>
      </c>
      <c r="I56" s="6"/>
      <c r="J56" s="34">
        <v>1.0450204638472</v>
      </c>
      <c r="K56" s="6"/>
      <c r="L56" s="34" cm="1">
        <f t="array" ref="L56">E56*$J56</f>
        <v>-6.27506599860892</v>
      </c>
      <c r="M56" s="34" cm="1">
        <f t="array" ref="M56">F56*$J56</f>
        <v>66.8472168060577</v>
      </c>
      <c r="N56" s="34" cm="1">
        <f t="array" ref="N56">G56*$J56</f>
        <v>1.9167609931821</v>
      </c>
      <c r="O56" s="34" cm="1">
        <f t="array" ref="O56">H56*$J56</f>
        <v>-25.2933096901096</v>
      </c>
      <c r="P56" s="6"/>
      <c r="Q56" s="34">
        <v>245.83</v>
      </c>
      <c r="R56" s="34" cm="1">
        <f t="array" ref="R56">Q56/1000</f>
        <v>0.24583</v>
      </c>
      <c r="S56" s="6"/>
      <c r="T56" s="34" cm="1">
        <f t="array" ref="T56">$R56*L56</f>
        <v>-1.54259947443803</v>
      </c>
      <c r="U56" s="34" cm="1">
        <f t="array" ref="U56">$R56*M56</f>
        <v>16.4330513074332</v>
      </c>
      <c r="V56" s="34" cm="1">
        <f t="array" ref="V56">$R56*N56</f>
        <v>0.471197354953956</v>
      </c>
      <c r="W56" s="34" cm="1">
        <f t="array" ref="W56">$R56*O56</f>
        <v>-6.21785432111964</v>
      </c>
      <c r="X56" s="6"/>
      <c r="Y56" s="34" cm="1">
        <f t="array" ref="Y56">T56-Y$57-Y$3</f>
        <v>-0.07371562805293</v>
      </c>
      <c r="Z56" s="34" cm="1">
        <f t="array" ref="Z56">U56-Z$57-Z$3</f>
        <v>5.0747478390664</v>
      </c>
      <c r="AA56" s="34" cm="1">
        <f t="array" ref="AA56">V56-AA$57-AA$3</f>
        <v>-1.91593194655221</v>
      </c>
      <c r="AB56" s="34" cm="1">
        <f t="array" ref="AB56">W56-AB$57-AB$3</f>
        <v>-138.363617249330</v>
      </c>
      <c r="AC56" s="6"/>
      <c r="AD56" s="41">
        <v>0.010209657</v>
      </c>
      <c r="AE56" s="35"/>
      <c r="AF56" s="41" cm="1">
        <f t="array" ref="AF56">Y56/$AD56</f>
        <v>-7.22018654034411</v>
      </c>
      <c r="AG56" s="41" cm="1">
        <f t="array" ref="AG56">Z56/$AD56</f>
        <v>497.053705042824</v>
      </c>
      <c r="AH56" s="41" cm="1">
        <f t="array" ref="AH56">AA56/$AD56</f>
        <v>-187.658796622865</v>
      </c>
      <c r="AI56" s="41" cm="1">
        <f t="array" ref="AI56">AB56/$AD56</f>
        <v>-13552.2297418346</v>
      </c>
    </row>
    <row r="57" ht="17" customHeight="1">
      <c r="A57" s="6"/>
      <c r="B57" t="s" s="32">
        <v>34</v>
      </c>
      <c r="C57" s="34">
        <v>2</v>
      </c>
      <c r="D57" t="s" s="53">
        <v>118</v>
      </c>
      <c r="E57" s="37">
        <v>-0.652088324728091</v>
      </c>
      <c r="F57" s="38">
        <v>56.0425091028351</v>
      </c>
      <c r="G57" s="42">
        <v>1.3874559422593</v>
      </c>
      <c r="H57" s="34">
        <v>-24.9822570380631</v>
      </c>
      <c r="I57" s="6"/>
      <c r="J57" s="34">
        <v>1.03597198268276</v>
      </c>
      <c r="K57" s="6"/>
      <c r="L57" s="34" cm="1">
        <f t="array" ref="L57">E57*$J57</f>
        <v>-0.67554523465284</v>
      </c>
      <c r="M57" s="34" cm="1">
        <f t="array" ref="M57">F57*$J57</f>
        <v>58.0584692697807</v>
      </c>
      <c r="N57" s="34" cm="1">
        <f t="array" ref="N57">G57*$J57</f>
        <v>1.43736548338734</v>
      </c>
      <c r="O57" s="34" cm="1">
        <f t="array" ref="O57">H57*$J57</f>
        <v>-25.8809183556126</v>
      </c>
      <c r="P57" s="6"/>
      <c r="Q57" s="34">
        <v>245.34</v>
      </c>
      <c r="R57" s="34" cm="1">
        <f t="array" ref="R57">Q57/1000</f>
        <v>0.24534</v>
      </c>
      <c r="S57" s="6"/>
      <c r="T57" s="34" cm="1">
        <f t="array" ref="T57">$R57*L57</f>
        <v>-0.165738267869728</v>
      </c>
      <c r="U57" s="34" cm="1">
        <f t="array" ref="U57">$R57*M57</f>
        <v>14.244064850648</v>
      </c>
      <c r="V57" s="34" cm="1">
        <f t="array" ref="V57">$R57*N57</f>
        <v>0.35264324769425</v>
      </c>
      <c r="W57" s="34" cm="1">
        <f t="array" ref="W57">$R57*O57</f>
        <v>-6.349624509366</v>
      </c>
      <c r="X57" s="6"/>
      <c r="Y57" s="34" cm="1">
        <f t="array" ref="Y57">AVERAGE(T57:T59)</f>
        <v>-1.4688838463851</v>
      </c>
      <c r="Z57" s="34" cm="1">
        <f t="array" ref="Z57">AVERAGE(U57:U59)</f>
        <v>11.3583034683668</v>
      </c>
      <c r="AA57" s="34" cm="1">
        <f t="array" ref="AA57">AVERAGE(V57:V59)</f>
        <v>2.38712930150617</v>
      </c>
      <c r="AB57" s="34" cm="1">
        <f t="array" ref="AB57">AVERAGE(W57:W59)</f>
        <v>132.145762928210</v>
      </c>
      <c r="AC57" s="6"/>
      <c r="AD57" s="41">
        <v>0.010209657</v>
      </c>
      <c r="AE57" s="35"/>
      <c r="AF57" s="41" cm="1">
        <f t="array" ref="AF57">Y57/$AD57</f>
        <v>-143.872007295162</v>
      </c>
      <c r="AG57" s="41" cm="1">
        <f t="array" ref="AG57">Z57/$AD57</f>
        <v>1112.505882260960</v>
      </c>
      <c r="AH57" s="41" cm="1">
        <f t="array" ref="AH57">AA57/$AD57</f>
        <v>233.810920533978</v>
      </c>
      <c r="AI57" s="41" cm="1">
        <f t="array" ref="AI57">AB57/$AD57</f>
        <v>12943.2127767084</v>
      </c>
    </row>
    <row r="58" ht="17" customHeight="1">
      <c r="A58" s="6"/>
      <c r="B58" t="s" s="32">
        <v>36</v>
      </c>
      <c r="C58" s="34">
        <v>2</v>
      </c>
      <c r="D58" t="s" s="53">
        <v>119</v>
      </c>
      <c r="E58" s="37">
        <v>-0.752063507345894</v>
      </c>
      <c r="F58" s="38">
        <v>15.6984240086481</v>
      </c>
      <c r="G58" s="39">
        <v>7.82358283640583</v>
      </c>
      <c r="H58" s="40">
        <v>-5.06963328583828</v>
      </c>
      <c r="I58" s="6"/>
      <c r="J58" s="34">
        <v>1.03006812309138</v>
      </c>
      <c r="K58" s="6"/>
      <c r="L58" s="34" cm="1">
        <f t="array" ref="L58">E58*$J58</f>
        <v>-0.774676645457305</v>
      </c>
      <c r="M58" s="34" cm="1">
        <f t="array" ref="M58">F58*$J58</f>
        <v>16.1704461540808</v>
      </c>
      <c r="N58" s="34" cm="1">
        <f t="array" ref="N58">G58*$J58</f>
        <v>8.05882328814649</v>
      </c>
      <c r="O58" s="34" cm="1">
        <f t="array" ref="O58">H58*$J58</f>
        <v>-5.22206764350502</v>
      </c>
      <c r="P58" s="6"/>
      <c r="Q58" s="34">
        <v>243.87</v>
      </c>
      <c r="R58" s="34" cm="1">
        <f t="array" ref="R58">Q58/1000</f>
        <v>0.24387</v>
      </c>
      <c r="S58" s="6"/>
      <c r="T58" s="34" cm="1">
        <f t="array" ref="T58">$R58*L58</f>
        <v>-0.188920393527673</v>
      </c>
      <c r="U58" s="34" cm="1">
        <f t="array" ref="U58">$R58*M58</f>
        <v>3.94348670359568</v>
      </c>
      <c r="V58" s="34" cm="1">
        <f t="array" ref="V58">$R58*N58</f>
        <v>1.96530523528028</v>
      </c>
      <c r="W58" s="34" cm="1">
        <f t="array" ref="W58">$R58*O58</f>
        <v>-1.27350563622157</v>
      </c>
      <c r="X58" s="6"/>
      <c r="Y58" s="6"/>
      <c r="Z58" s="6"/>
      <c r="AA58" s="6"/>
      <c r="AB58" s="6"/>
      <c r="AC58" s="6"/>
      <c r="AD58" s="41">
        <v>0.010209657</v>
      </c>
      <c r="AE58" s="35"/>
      <c r="AF58" s="41" cm="1">
        <f t="array" ref="AF58">Y58/$AD58</f>
        <v>0</v>
      </c>
      <c r="AG58" s="41" cm="1">
        <f t="array" ref="AG58">Z58/$AD58</f>
        <v>0</v>
      </c>
      <c r="AH58" s="41" cm="1">
        <f t="array" ref="AH58">AA58/$AD58</f>
        <v>0</v>
      </c>
      <c r="AI58" s="41" cm="1">
        <f t="array" ref="AI58">AB58/$AD58</f>
        <v>0</v>
      </c>
    </row>
    <row r="59" ht="17" customHeight="1">
      <c r="A59" s="6"/>
      <c r="B59" t="s" s="32">
        <v>38</v>
      </c>
      <c r="C59" s="34">
        <v>2</v>
      </c>
      <c r="D59" t="s" s="25">
        <v>120</v>
      </c>
      <c r="E59" s="37">
        <v>-15.7948696136992</v>
      </c>
      <c r="F59" s="38">
        <v>61.9297143716063</v>
      </c>
      <c r="G59" s="42">
        <v>18.8799675747377</v>
      </c>
      <c r="H59" s="34">
        <v>1575.0475940103</v>
      </c>
      <c r="I59" s="6"/>
      <c r="J59" s="34">
        <v>1.03892464389942</v>
      </c>
      <c r="K59" s="6"/>
      <c r="L59" s="34" cm="1">
        <f t="array" ref="L59">E59*$J59</f>
        <v>-16.4096792888502</v>
      </c>
      <c r="M59" s="34" cm="1">
        <f t="array" ref="M59">F59*$J59</f>
        <v>64.3403064503139</v>
      </c>
      <c r="N59" s="34" cm="1">
        <f t="array" ref="N59">G59*$J59</f>
        <v>19.614863589417</v>
      </c>
      <c r="O59" s="34" cm="1">
        <f t="array" ref="O59">H59*$J59</f>
        <v>1636.355760731790</v>
      </c>
      <c r="P59" s="6"/>
      <c r="Q59" s="34">
        <v>246.927</v>
      </c>
      <c r="R59" s="34" cm="1">
        <f t="array" ref="R59">Q59/1000</f>
        <v>0.246927</v>
      </c>
      <c r="S59" s="6"/>
      <c r="T59" s="34" cm="1">
        <f t="array" ref="T59">$R59*L59</f>
        <v>-4.05199287775791</v>
      </c>
      <c r="U59" s="34" cm="1">
        <f t="array" ref="U59">$R59*M59</f>
        <v>15.8873588508567</v>
      </c>
      <c r="V59" s="34" cm="1">
        <f t="array" ref="V59">$R59*N59</f>
        <v>4.84343942154397</v>
      </c>
      <c r="W59" s="34" cm="1">
        <f t="array" ref="W59">$R59*O59</f>
        <v>404.060418930219</v>
      </c>
      <c r="X59" s="6"/>
      <c r="Y59" s="6"/>
      <c r="Z59" s="6"/>
      <c r="AA59" s="6"/>
      <c r="AB59" s="6"/>
      <c r="AC59" s="6"/>
      <c r="AD59" s="41">
        <v>0.010209657</v>
      </c>
      <c r="AE59" s="35"/>
      <c r="AF59" s="41" cm="1">
        <f t="array" ref="AF59">Y59/$AD59</f>
        <v>0</v>
      </c>
      <c r="AG59" s="41" cm="1">
        <f t="array" ref="AG59">Z59/$AD59</f>
        <v>0</v>
      </c>
      <c r="AH59" s="41" cm="1">
        <f t="array" ref="AH59">AA59/$AD59</f>
        <v>0</v>
      </c>
      <c r="AI59" s="41" cm="1">
        <f t="array" ref="AI59">AB59/$AD59</f>
        <v>0</v>
      </c>
    </row>
    <row r="60" ht="17" customHeight="1">
      <c r="A60" s="6"/>
      <c r="B60" t="s" s="32">
        <v>40</v>
      </c>
      <c r="C60" s="34">
        <v>2</v>
      </c>
      <c r="D60" t="s" s="32">
        <v>121</v>
      </c>
      <c r="E60" s="37">
        <v>-11.8421344322977</v>
      </c>
      <c r="F60" s="38">
        <v>67.9379109414734</v>
      </c>
      <c r="G60" s="39">
        <v>994.060596958599</v>
      </c>
      <c r="H60" s="40">
        <v>-43.4716875234932</v>
      </c>
      <c r="I60" s="6"/>
      <c r="J60" s="34">
        <v>1.0637305385594</v>
      </c>
      <c r="K60" s="6"/>
      <c r="L60" s="34" cm="1">
        <f t="array" ref="L60">E60*$J60</f>
        <v>-12.5968400373608</v>
      </c>
      <c r="M60" s="34" cm="1">
        <f t="array" ref="M60">F60*$J60</f>
        <v>72.2676305943741</v>
      </c>
      <c r="N60" s="34" cm="1">
        <f t="array" ref="N60">G60*$J60</f>
        <v>1057.412614163450</v>
      </c>
      <c r="O60" s="34" cm="1">
        <f t="array" ref="O60">H60*$J60</f>
        <v>-46.2421615814514</v>
      </c>
      <c r="P60" s="6"/>
      <c r="Q60" s="34">
        <v>243.7514</v>
      </c>
      <c r="R60" s="34" cm="1">
        <f t="array" ref="R60">Q60/1000</f>
        <v>0.2437514</v>
      </c>
      <c r="S60" s="6"/>
      <c r="T60" s="34" cm="1">
        <f t="array" ref="T60">$R60*L60</f>
        <v>-3.07049739468275</v>
      </c>
      <c r="U60" s="34" cm="1">
        <f t="array" ref="U60">$R60*M60</f>
        <v>17.6153361320615</v>
      </c>
      <c r="V60" s="34" cm="1">
        <f t="array" ref="V60">$R60*N60</f>
        <v>257.745805080001</v>
      </c>
      <c r="W60" s="34" cm="1">
        <f t="array" ref="W60">$R60*O60</f>
        <v>-11.271591624505</v>
      </c>
      <c r="X60" s="6"/>
      <c r="Y60" s="34" cm="1">
        <f t="array" ref="Y60">T60-Y$66-Y$3</f>
        <v>-27.1669489251721</v>
      </c>
      <c r="Z60" s="34" cm="1">
        <f t="array" ref="Z60">U60-Z$66-Z$3</f>
        <v>10.6247187166361</v>
      </c>
      <c r="AA60" s="34" cm="1">
        <f t="array" ref="AA60">V60-AA$66-AA$3</f>
        <v>255.519711796642</v>
      </c>
      <c r="AB60" s="34" cm="1">
        <f t="array" ref="AB60">W60-AB$66-AB$3</f>
        <v>-4.6744878199784</v>
      </c>
      <c r="AC60" s="6"/>
      <c r="AD60" s="41">
        <v>0.010209657</v>
      </c>
      <c r="AE60" s="35"/>
      <c r="AF60" s="41" cm="1">
        <f t="array" ref="AF60">Y60/$AD60</f>
        <v>-2660.907112273420</v>
      </c>
      <c r="AG60" s="41" cm="1">
        <f t="array" ref="AG60">Z60/$AD60</f>
        <v>1040.653835543750</v>
      </c>
      <c r="AH60" s="41" cm="1">
        <f t="array" ref="AH60">AA60/$AD60</f>
        <v>25027.2572131113</v>
      </c>
      <c r="AI60" s="41" cm="1">
        <f t="array" ref="AI60">AB60/$AD60</f>
        <v>-457.849643722448</v>
      </c>
    </row>
    <row r="61" ht="17" customHeight="1">
      <c r="A61" s="6"/>
      <c r="B61" t="s" s="32">
        <v>42</v>
      </c>
      <c r="C61" s="34">
        <v>2</v>
      </c>
      <c r="D61" t="s" s="32">
        <v>122</v>
      </c>
      <c r="E61" s="37">
        <v>-8.81154344672283</v>
      </c>
      <c r="F61" s="38">
        <v>168.194531562871</v>
      </c>
      <c r="G61" s="42">
        <v>1626.465010471810</v>
      </c>
      <c r="H61" s="34">
        <v>-35.8412451519202</v>
      </c>
      <c r="I61" s="6"/>
      <c r="J61" s="34">
        <v>1.02914054882296</v>
      </c>
      <c r="K61" s="6"/>
      <c r="L61" s="34" cm="1">
        <f t="array" ref="L61">E61*$J61</f>
        <v>-9.06831665873769</v>
      </c>
      <c r="M61" s="34" cm="1">
        <f t="array" ref="M61">F61*$J61</f>
        <v>173.095812521634</v>
      </c>
      <c r="N61" s="34" cm="1">
        <f t="array" ref="N61">G61*$J61</f>
        <v>1673.8610935183</v>
      </c>
      <c r="O61" s="34" cm="1">
        <f t="array" ref="O61">H61*$J61</f>
        <v>-36.8856787061454</v>
      </c>
      <c r="P61" s="6"/>
      <c r="Q61" s="34">
        <v>245.2186</v>
      </c>
      <c r="R61" s="34" cm="1">
        <f t="array" ref="R61">Q61/1000</f>
        <v>0.2452186</v>
      </c>
      <c r="S61" s="6"/>
      <c r="T61" s="34" cm="1">
        <f t="array" ref="T61">$R61*L61</f>
        <v>-2.22371991541233</v>
      </c>
      <c r="U61" s="34" cm="1">
        <f t="array" ref="U61">$R61*M61</f>
        <v>42.4463128124176</v>
      </c>
      <c r="V61" s="34" cm="1">
        <f t="array" ref="V61">$R61*N61</f>
        <v>410.461873947027</v>
      </c>
      <c r="W61" s="34" cm="1">
        <f t="array" ref="W61">$R61*O61</f>
        <v>-9.04505449237079</v>
      </c>
      <c r="X61" s="6"/>
      <c r="Y61" s="34" cm="1">
        <f t="array" ref="Y61">T61-Y$66-Y$3</f>
        <v>-26.3201714459016</v>
      </c>
      <c r="Z61" s="34" cm="1">
        <f t="array" ref="Z61">U61-Z$66-Z$3</f>
        <v>35.4556953969922</v>
      </c>
      <c r="AA61" s="34" cm="1">
        <f t="array" ref="AA61">V61-AA$66-AA$3</f>
        <v>408.235780663668</v>
      </c>
      <c r="AB61" s="34" cm="1">
        <f t="array" ref="AB61">W61-AB$66-AB$3</f>
        <v>-2.44795068784419</v>
      </c>
      <c r="AC61" s="6"/>
      <c r="AD61" s="41">
        <v>0.010209657</v>
      </c>
      <c r="AE61" s="35"/>
      <c r="AF61" s="41" cm="1">
        <f t="array" ref="AF61">Y61/$AD61</f>
        <v>-2577.968235945790</v>
      </c>
      <c r="AG61" s="41" cm="1">
        <f t="array" ref="AG61">Z61/$AD61</f>
        <v>3472.760681087740</v>
      </c>
      <c r="AH61" s="41" cm="1">
        <f t="array" ref="AH61">AA61/$AD61</f>
        <v>39985.2591192503</v>
      </c>
      <c r="AI61" s="41" cm="1">
        <f t="array" ref="AI61">AB61/$AD61</f>
        <v>-239.768161442073</v>
      </c>
    </row>
    <row r="62" ht="17" customHeight="1">
      <c r="A62" s="6"/>
      <c r="B62" t="s" s="32">
        <v>44</v>
      </c>
      <c r="C62" s="34">
        <v>2</v>
      </c>
      <c r="D62" t="s" s="32">
        <v>123</v>
      </c>
      <c r="E62" s="37">
        <v>211.078043709369</v>
      </c>
      <c r="F62" s="38">
        <v>68.9018265421289</v>
      </c>
      <c r="G62" s="39">
        <v>1198.706046366560</v>
      </c>
      <c r="H62" s="40">
        <v>-39.3208454702969</v>
      </c>
      <c r="I62" s="6"/>
      <c r="J62" s="34">
        <v>1.02744791880676</v>
      </c>
      <c r="K62" s="6"/>
      <c r="L62" s="34" cm="1">
        <f t="array" ref="L62">E62*$J62</f>
        <v>216.871696714993</v>
      </c>
      <c r="M62" s="34" cm="1">
        <f t="array" ref="M62">F62*$J62</f>
        <v>70.7930382826947</v>
      </c>
      <c r="N62" s="34" cm="1">
        <f t="array" ref="N62">G62*$J62</f>
        <v>1231.6080326004</v>
      </c>
      <c r="O62" s="34" cm="1">
        <f t="array" ref="O62">H62*$J62</f>
        <v>-40.4001208441788</v>
      </c>
      <c r="P62" s="6"/>
      <c r="Q62" s="34">
        <v>241.9914</v>
      </c>
      <c r="R62" s="34" cm="1">
        <f t="array" ref="R62">Q62/1000</f>
        <v>0.2419914</v>
      </c>
      <c r="S62" s="6"/>
      <c r="T62" s="34" cm="1">
        <f t="array" ref="T62">$R62*L62</f>
        <v>52.4810855084366</v>
      </c>
      <c r="U62" s="34" cm="1">
        <f t="array" ref="U62">$R62*M62</f>
        <v>17.1313064442829</v>
      </c>
      <c r="V62" s="34" cm="1">
        <f t="array" ref="V62">$R62*N62</f>
        <v>298.038552060216</v>
      </c>
      <c r="W62" s="34" cm="1">
        <f t="array" ref="W62">$R62*O62</f>
        <v>-9.776481803252009</v>
      </c>
      <c r="X62" s="6"/>
      <c r="Y62" s="34" cm="1">
        <f t="array" ref="Y62">T62-Y$66-Y$3</f>
        <v>28.3846339779473</v>
      </c>
      <c r="Z62" s="34" cm="1">
        <f t="array" ref="Z62">U62-Z$66-Z$3</f>
        <v>10.1406890288575</v>
      </c>
      <c r="AA62" s="34" cm="1">
        <f t="array" ref="AA62">V62-AA$66-AA$3</f>
        <v>295.812458776857</v>
      </c>
      <c r="AB62" s="34" cm="1">
        <f t="array" ref="AB62">W62-AB$66-AB$3</f>
        <v>-3.17937799872541</v>
      </c>
      <c r="AC62" s="6"/>
      <c r="AD62" s="41">
        <v>0.010209657</v>
      </c>
      <c r="AE62" s="35"/>
      <c r="AF62" s="41" cm="1">
        <f t="array" ref="AF62">Y62/$AD62</f>
        <v>2780.175081096980</v>
      </c>
      <c r="AG62" s="41" cm="1">
        <f t="array" ref="AG62">Z62/$AD62</f>
        <v>993.244829758483</v>
      </c>
      <c r="AH62" s="41" cm="1">
        <f t="array" ref="AH62">AA62/$AD62</f>
        <v>28973.7900868616</v>
      </c>
      <c r="AI62" s="41" cm="1">
        <f t="array" ref="AI62">AB62/$AD62</f>
        <v>-311.408894414906</v>
      </c>
    </row>
    <row r="63" ht="17" customHeight="1">
      <c r="A63" s="6"/>
      <c r="B63" t="s" s="32">
        <v>46</v>
      </c>
      <c r="C63" s="34">
        <v>2</v>
      </c>
      <c r="D63" t="s" s="32">
        <v>124</v>
      </c>
      <c r="E63" s="37">
        <v>1.36094994417957</v>
      </c>
      <c r="F63" s="38">
        <v>24.4320398640579</v>
      </c>
      <c r="G63" s="39">
        <v>27.112474950150</v>
      </c>
      <c r="H63" s="40">
        <v>192.745818048925</v>
      </c>
      <c r="I63" s="6"/>
      <c r="J63" s="34">
        <v>1.04005385392124</v>
      </c>
      <c r="K63" s="6"/>
      <c r="L63" s="34" cm="1">
        <f t="array" ref="L63">E63*$J63</f>
        <v>1.41546123443786</v>
      </c>
      <c r="M63" s="34" cm="1">
        <f t="array" ref="M63">F63*$J63</f>
        <v>25.4106372197708</v>
      </c>
      <c r="N63" s="34" cm="1">
        <f t="array" ref="N63">G63*$J63</f>
        <v>28.1984340612466</v>
      </c>
      <c r="O63" s="34" cm="1">
        <f t="array" ref="O63">H63*$J63</f>
        <v>200.466030888987</v>
      </c>
      <c r="P63" s="6"/>
      <c r="Q63" s="34">
        <v>242.7692</v>
      </c>
      <c r="R63" s="34" cm="1">
        <f t="array" ref="R63">Q63/1000</f>
        <v>0.2427692</v>
      </c>
      <c r="S63" s="6"/>
      <c r="T63" s="34" cm="1">
        <f t="array" ref="T63">$R63*L63</f>
        <v>0.343630391515492</v>
      </c>
      <c r="U63" s="34" cm="1">
        <f t="array" ref="U63">$R63*M63</f>
        <v>6.16892006933398</v>
      </c>
      <c r="V63" s="34" cm="1">
        <f t="array" ref="V63">$R63*N63</f>
        <v>6.84571127830159</v>
      </c>
      <c r="W63" s="34" cm="1">
        <f t="array" ref="W63">$R63*O63</f>
        <v>48.6669779460947</v>
      </c>
      <c r="X63" s="6"/>
      <c r="Y63" s="34" cm="1">
        <f t="array" ref="Y63">T63-Y$66-Y$3</f>
        <v>-23.7528211389738</v>
      </c>
      <c r="Z63" s="34" cm="1">
        <f t="array" ref="Z63">U63-Z$66-Z$3</f>
        <v>-0.82169734609142</v>
      </c>
      <c r="AA63" s="34" cm="1">
        <f t="array" ref="AA63">V63-AA$66-AA$3</f>
        <v>4.61961799494236</v>
      </c>
      <c r="AB63" s="34" cm="1">
        <f t="array" ref="AB63">W63-AB$66-AB$3</f>
        <v>55.2640817506213</v>
      </c>
      <c r="AC63" s="6"/>
      <c r="AD63" s="41">
        <v>0.010209657</v>
      </c>
      <c r="AE63" s="35"/>
      <c r="AF63" s="41" cm="1">
        <f t="array" ref="AF63">Y63/$AD63</f>
        <v>-2326.505301693660</v>
      </c>
      <c r="AG63" s="41" cm="1">
        <f t="array" ref="AG63">Z63/$AD63</f>
        <v>-80.48236547921439</v>
      </c>
      <c r="AH63" s="41" cm="1">
        <f t="array" ref="AH63">AA63/$AD63</f>
        <v>452.475337314697</v>
      </c>
      <c r="AI63" s="41" cm="1">
        <f t="array" ref="AI63">AB63/$AD63</f>
        <v>5412.9224665061</v>
      </c>
    </row>
    <row r="64" ht="17" customHeight="1">
      <c r="A64" s="6"/>
      <c r="B64" t="s" s="32">
        <v>48</v>
      </c>
      <c r="C64" s="34">
        <v>2</v>
      </c>
      <c r="D64" t="s" s="32">
        <v>125</v>
      </c>
      <c r="E64" s="37">
        <v>2.37634365561798</v>
      </c>
      <c r="F64" s="38">
        <v>25.6707966817882</v>
      </c>
      <c r="G64" s="42">
        <v>62.2142883000135</v>
      </c>
      <c r="H64" s="34">
        <v>157.442652585742</v>
      </c>
      <c r="I64" s="6"/>
      <c r="J64" s="34">
        <v>1.03622416749391</v>
      </c>
      <c r="K64" s="6"/>
      <c r="L64" s="34" cm="1">
        <f t="array" ref="L64">E64*$J64</f>
        <v>2.46242472622218</v>
      </c>
      <c r="M64" s="34" cm="1">
        <f t="array" ref="M64">F64*$J64</f>
        <v>26.6006999204914</v>
      </c>
      <c r="N64" s="34" cm="1">
        <f t="array" ref="N64">G64*$J64</f>
        <v>64.4679490999076</v>
      </c>
      <c r="O64" s="34" cm="1">
        <f t="array" ref="O64">H64*$J64</f>
        <v>163.145881603693</v>
      </c>
      <c r="P64" s="6"/>
      <c r="Q64" s="34">
        <v>244.5136</v>
      </c>
      <c r="R64" s="34" cm="1">
        <f t="array" ref="R64">Q64/1000</f>
        <v>0.2445136</v>
      </c>
      <c r="S64" s="6"/>
      <c r="T64" s="34" cm="1">
        <f t="array" ref="T64">$R64*L64</f>
        <v>0.6020963345376</v>
      </c>
      <c r="U64" s="34" cm="1">
        <f t="array" ref="U64">$R64*M64</f>
        <v>6.50423290007907</v>
      </c>
      <c r="V64" s="34" cm="1">
        <f t="array" ref="V64">$R64*N64</f>
        <v>15.7632903190352</v>
      </c>
      <c r="W64" s="34" cm="1">
        <f t="array" ref="W64">$R64*O64</f>
        <v>39.8913868360927</v>
      </c>
      <c r="X64" s="6"/>
      <c r="Y64" s="34" cm="1">
        <f t="array" ref="Y64">T64-Y$66-Y$3</f>
        <v>-23.4943551959517</v>
      </c>
      <c r="Z64" s="34" cm="1">
        <f t="array" ref="Z64">U64-Z$66-Z$3</f>
        <v>-0.48638451534633</v>
      </c>
      <c r="AA64" s="34" cm="1">
        <f t="array" ref="AA64">V64-AA$66-AA$3</f>
        <v>13.537197035676</v>
      </c>
      <c r="AB64" s="34" cm="1">
        <f t="array" ref="AB64">W64-AB$66-AB$3</f>
        <v>46.4884906406193</v>
      </c>
      <c r="AC64" s="6"/>
      <c r="AD64" s="41">
        <v>0.010209657</v>
      </c>
      <c r="AE64" s="35"/>
      <c r="AF64" s="41" cm="1">
        <f t="array" ref="AF64">Y64/$AD64</f>
        <v>-2301.1894714927</v>
      </c>
      <c r="AG64" s="41" cm="1">
        <f t="array" ref="AG64">Z64/$AD64</f>
        <v>-47.6396528645703</v>
      </c>
      <c r="AH64" s="41" cm="1">
        <f t="array" ref="AH64">AA64/$AD64</f>
        <v>1325.920844909480</v>
      </c>
      <c r="AI64" s="41" cm="1">
        <f t="array" ref="AI64">AB64/$AD64</f>
        <v>4553.384177413530</v>
      </c>
    </row>
    <row r="65" ht="17" customHeight="1">
      <c r="A65" s="6"/>
      <c r="B65" t="s" s="32">
        <v>50</v>
      </c>
      <c r="C65" s="34">
        <v>2</v>
      </c>
      <c r="D65" t="s" s="32">
        <v>126</v>
      </c>
      <c r="E65" s="37">
        <v>1.85136962480278</v>
      </c>
      <c r="F65" s="38">
        <v>37.223178196617</v>
      </c>
      <c r="G65" s="39">
        <v>18.9312800285532</v>
      </c>
      <c r="H65" s="40">
        <v>199.891043805328</v>
      </c>
      <c r="I65" s="6"/>
      <c r="J65" s="34">
        <v>1.03569828744702</v>
      </c>
      <c r="K65" s="6"/>
      <c r="L65" s="34" cm="1">
        <f t="array" ref="L65">E65*$J65</f>
        <v>1.91746034983967</v>
      </c>
      <c r="M65" s="34" cm="1">
        <f t="array" ref="M65">F65*$J65</f>
        <v>38.5519819115715</v>
      </c>
      <c r="N65" s="34" cm="1">
        <f t="array" ref="N65">G65*$J65</f>
        <v>19.6070943047525</v>
      </c>
      <c r="O65" s="34" cm="1">
        <f t="array" ref="O65">H65*$J65</f>
        <v>207.026811745175</v>
      </c>
      <c r="P65" s="6"/>
      <c r="Q65" s="34">
        <v>244.5412</v>
      </c>
      <c r="R65" s="34" cm="1">
        <f t="array" ref="R65">Q65/1000</f>
        <v>0.2445412</v>
      </c>
      <c r="S65" s="6"/>
      <c r="T65" s="34" cm="1">
        <f t="array" ref="T65">$R65*L65</f>
        <v>0.468898054902213</v>
      </c>
      <c r="U65" s="34" cm="1">
        <f t="array" ref="U65">$R65*M65</f>
        <v>9.427547919033991</v>
      </c>
      <c r="V65" s="34" cm="1">
        <f t="array" ref="V65">$R65*N65</f>
        <v>4.79474236979734</v>
      </c>
      <c r="W65" s="34" cm="1">
        <f t="array" ref="W65">$R65*O65</f>
        <v>50.6265849763392</v>
      </c>
      <c r="X65" s="6"/>
      <c r="Y65" s="34" cm="1">
        <f t="array" ref="Y65">T65-Y$66-Y$3</f>
        <v>-23.6275534755871</v>
      </c>
      <c r="Z65" s="34" cm="1">
        <f t="array" ref="Z65">U65-Z$66-Z$3</f>
        <v>2.43693050360859</v>
      </c>
      <c r="AA65" s="34" cm="1">
        <f t="array" ref="AA65">V65-AA$66-AA$3</f>
        <v>2.56864908643811</v>
      </c>
      <c r="AB65" s="34" cm="1">
        <f t="array" ref="AB65">W65-AB$66-AB$3</f>
        <v>57.2236887808658</v>
      </c>
      <c r="AC65" s="6"/>
      <c r="AD65" s="41">
        <v>0.010209657</v>
      </c>
      <c r="AE65" s="35"/>
      <c r="AF65" s="41" cm="1">
        <f t="array" ref="AF65">Y65/$AD65</f>
        <v>-2314.235774579610</v>
      </c>
      <c r="AG65" s="41" cm="1">
        <f t="array" ref="AG65">Z65/$AD65</f>
        <v>238.688773149636</v>
      </c>
      <c r="AH65" s="41" cm="1">
        <f t="array" ref="AH65">AA65/$AD65</f>
        <v>251.590145137893</v>
      </c>
      <c r="AI65" s="41" cm="1">
        <f t="array" ref="AI65">AB65/$AD65</f>
        <v>5604.859083989380</v>
      </c>
    </row>
    <row r="66" ht="17" customHeight="1">
      <c r="A66" s="6"/>
      <c r="B66" t="s" s="32">
        <v>52</v>
      </c>
      <c r="C66" s="34">
        <v>2</v>
      </c>
      <c r="D66" t="s" s="32">
        <v>127</v>
      </c>
      <c r="E66" s="37">
        <v>279.663328103822</v>
      </c>
      <c r="F66" s="38">
        <v>33.5119068467054</v>
      </c>
      <c r="G66" s="39">
        <v>9.249347492565599</v>
      </c>
      <c r="H66" s="40">
        <v>-23.5727471284105</v>
      </c>
      <c r="I66" s="6"/>
      <c r="J66" s="34">
        <v>1.03765503703043</v>
      </c>
      <c r="K66" s="6"/>
      <c r="L66" s="34" cm="1">
        <f t="array" ref="L66">E66*$J66</f>
        <v>290.194061079625</v>
      </c>
      <c r="M66" s="34" cm="1">
        <f t="array" ref="M66">F66*$J66</f>
        <v>34.7737989399784</v>
      </c>
      <c r="N66" s="34" cm="1">
        <f t="array" ref="N66">G66*$J66</f>
        <v>9.59763201490547</v>
      </c>
      <c r="O66" s="34" cm="1">
        <f t="array" ref="O66">H66*$J66</f>
        <v>-24.4603797944398</v>
      </c>
      <c r="P66" s="6"/>
      <c r="Q66" s="34">
        <v>247.78</v>
      </c>
      <c r="R66" s="34" cm="1">
        <f t="array" ref="R66">Q66/1000</f>
        <v>0.24778</v>
      </c>
      <c r="S66" s="6"/>
      <c r="T66" s="34" cm="1">
        <f t="array" ref="T66">$R66*L66</f>
        <v>71.9042844543095</v>
      </c>
      <c r="U66" s="34" cm="1">
        <f t="array" ref="U66">$R66*M66</f>
        <v>8.61625190134785</v>
      </c>
      <c r="V66" s="34" cm="1">
        <f t="array" ref="V66">$R66*N66</f>
        <v>2.37810126065328</v>
      </c>
      <c r="W66" s="34" cm="1">
        <f t="array" ref="W66">$R66*O66</f>
        <v>-6.06079290546629</v>
      </c>
      <c r="X66" s="6"/>
      <c r="Y66" s="34" cm="1">
        <f t="array" ref="Y66">AVERAGE(T66:T68)</f>
        <v>24.0964515304893</v>
      </c>
      <c r="Z66" s="34" cm="1">
        <f t="array" ref="Z66">AVERAGE(U66:U68)</f>
        <v>6.9906174154254</v>
      </c>
      <c r="AA66" s="34" cm="1">
        <f t="array" ref="AA66">AVERAGE(V66:V68)</f>
        <v>2.22609328335923</v>
      </c>
      <c r="AB66" s="34" cm="1">
        <f t="array" ref="AB66">AVERAGE(W66:W68)</f>
        <v>-6.5971038045266</v>
      </c>
      <c r="AC66" s="6"/>
      <c r="AD66" s="41">
        <v>0.010209657</v>
      </c>
      <c r="AE66" s="35"/>
      <c r="AF66" s="41" cm="1">
        <f t="array" ref="AF66">Y66/$AD66</f>
        <v>2360.162690136340</v>
      </c>
      <c r="AG66" s="41" cm="1">
        <f t="array" ref="AG66">Z66/$AD66</f>
        <v>684.706392724594</v>
      </c>
      <c r="AH66" s="41" cm="1">
        <f t="array" ref="AH66">AA66/$AD66</f>
        <v>218.038008853699</v>
      </c>
      <c r="AI66" s="41" cm="1">
        <f t="array" ref="AI66">AB66/$AD66</f>
        <v>-646.163118362017</v>
      </c>
    </row>
    <row r="67" ht="17" customHeight="1">
      <c r="A67" s="6"/>
      <c r="B67" t="s" s="32">
        <v>54</v>
      </c>
      <c r="C67" s="34">
        <v>2</v>
      </c>
      <c r="D67" t="s" s="32">
        <v>128</v>
      </c>
      <c r="E67" s="37">
        <v>1.112612440716</v>
      </c>
      <c r="F67" s="38">
        <v>20.7515469136314</v>
      </c>
      <c r="G67" s="42">
        <v>5.91647307392032</v>
      </c>
      <c r="H67" s="34">
        <v>-4.41701050839072</v>
      </c>
      <c r="I67" s="6"/>
      <c r="J67" s="34">
        <v>1.02821525961378</v>
      </c>
      <c r="K67" s="6"/>
      <c r="L67" s="34" cm="1">
        <f t="array" ref="L67">E67*$J67</f>
        <v>1.14400508958032</v>
      </c>
      <c r="M67" s="34" cm="1">
        <f t="array" ref="M67">F67*$J67</f>
        <v>21.337057197187</v>
      </c>
      <c r="N67" s="34" cm="1">
        <f t="array" ref="N67">G67*$J67</f>
        <v>6.08340789769892</v>
      </c>
      <c r="O67" s="34" cm="1">
        <f t="array" ref="O67">H67*$J67</f>
        <v>-4.54163760660176</v>
      </c>
      <c r="P67" s="6"/>
      <c r="Q67" s="34">
        <v>247.33</v>
      </c>
      <c r="R67" s="34" cm="1">
        <f t="array" ref="R67">Q67/1000</f>
        <v>0.24733</v>
      </c>
      <c r="S67" s="6"/>
      <c r="T67" s="34" cm="1">
        <f t="array" ref="T67">$R67*L67</f>
        <v>0.282946778805901</v>
      </c>
      <c r="U67" s="34" cm="1">
        <f t="array" ref="U67">$R67*M67</f>
        <v>5.27729435658026</v>
      </c>
      <c r="V67" s="34" cm="1">
        <f t="array" ref="V67">$R67*N67</f>
        <v>1.50460927533787</v>
      </c>
      <c r="W67" s="34" cm="1">
        <f t="array" ref="W67">$R67*O67</f>
        <v>-1.12328322924081</v>
      </c>
      <c r="X67" s="6"/>
      <c r="Y67" s="6"/>
      <c r="Z67" s="6"/>
      <c r="AA67" s="6"/>
      <c r="AB67" s="6"/>
      <c r="AC67" s="6"/>
      <c r="AD67" s="41">
        <v>0.010209657</v>
      </c>
      <c r="AE67" s="35"/>
      <c r="AF67" s="41" cm="1">
        <f t="array" ref="AF67">Y67/$AD67</f>
        <v>0</v>
      </c>
      <c r="AG67" s="41" cm="1">
        <f t="array" ref="AG67">Z67/$AD67</f>
        <v>0</v>
      </c>
      <c r="AH67" s="41" cm="1">
        <f t="array" ref="AH67">AA67/$AD67</f>
        <v>0</v>
      </c>
      <c r="AI67" s="41" cm="1">
        <f t="array" ref="AI67">AB67/$AD67</f>
        <v>0</v>
      </c>
    </row>
    <row r="68" ht="17" customHeight="1">
      <c r="A68" s="6"/>
      <c r="B68" t="s" s="32">
        <v>56</v>
      </c>
      <c r="C68" s="34">
        <v>2</v>
      </c>
      <c r="D68" t="s" s="32">
        <v>129</v>
      </c>
      <c r="E68" s="37">
        <v>0.402822085229767</v>
      </c>
      <c r="F68" s="38">
        <v>27.9201352571926</v>
      </c>
      <c r="G68" s="42">
        <v>11.0270272998425</v>
      </c>
      <c r="H68" s="34">
        <v>-49.7288072576702</v>
      </c>
      <c r="I68" s="6"/>
      <c r="J68" s="34">
        <v>1.03081954930552</v>
      </c>
      <c r="K68" s="6"/>
      <c r="L68" s="34" cm="1">
        <f t="array" ref="L68">E68*$J68</f>
        <v>0.415236880346858</v>
      </c>
      <c r="M68" s="34" cm="1">
        <f t="array" ref="M68">F68*$J68</f>
        <v>28.7806212423684</v>
      </c>
      <c r="N68" s="34" cm="1">
        <f t="array" ref="N68">G68*$J68</f>
        <v>11.3668753114033</v>
      </c>
      <c r="O68" s="34" cm="1">
        <f t="array" ref="O68">H68*$J68</f>
        <v>-51.2614266848527</v>
      </c>
      <c r="P68" s="6"/>
      <c r="Q68" s="34">
        <v>245.94</v>
      </c>
      <c r="R68" s="34" cm="1">
        <f t="array" ref="R68">Q68/1000</f>
        <v>0.24594</v>
      </c>
      <c r="S68" s="6"/>
      <c r="T68" s="34" cm="1">
        <f t="array" ref="T68">$R68*L68</f>
        <v>0.102123358352506</v>
      </c>
      <c r="U68" s="34" cm="1">
        <f t="array" ref="U68">$R68*M68</f>
        <v>7.07830598834808</v>
      </c>
      <c r="V68" s="34" cm="1">
        <f t="array" ref="V68">$R68*N68</f>
        <v>2.79556931408653</v>
      </c>
      <c r="W68" s="34" cm="1">
        <f t="array" ref="W68">$R68*O68</f>
        <v>-12.6072352788727</v>
      </c>
      <c r="X68" s="6"/>
      <c r="Y68" s="6"/>
      <c r="Z68" s="6"/>
      <c r="AA68" s="6"/>
      <c r="AB68" s="6"/>
      <c r="AC68" s="6"/>
      <c r="AD68" s="41">
        <v>0.010209657</v>
      </c>
      <c r="AE68" s="35"/>
      <c r="AF68" s="41" cm="1">
        <f t="array" ref="AF68">Y68/$AD68</f>
        <v>0</v>
      </c>
      <c r="AG68" s="41" cm="1">
        <f t="array" ref="AG68">Z68/$AD68</f>
        <v>0</v>
      </c>
      <c r="AH68" s="41" cm="1">
        <f t="array" ref="AH68">AA68/$AD68</f>
        <v>0</v>
      </c>
      <c r="AI68" s="41" cm="1">
        <f t="array" ref="AI68">AB68/$AD68</f>
        <v>0</v>
      </c>
    </row>
    <row r="69" ht="17" customHeight="1">
      <c r="A69" s="6"/>
      <c r="B69" t="s" s="32">
        <v>58</v>
      </c>
      <c r="C69" s="34">
        <v>2</v>
      </c>
      <c r="D69" t="s" s="32">
        <v>130</v>
      </c>
      <c r="E69" s="37">
        <v>168.963144379749</v>
      </c>
      <c r="F69" s="38">
        <v>465.714524421193</v>
      </c>
      <c r="G69" s="60">
        <v>19445.7240066157</v>
      </c>
      <c r="H69" s="40">
        <v>13.2857588229325</v>
      </c>
      <c r="I69" s="6"/>
      <c r="J69" s="34">
        <v>1.0414498438876</v>
      </c>
      <c r="K69" s="6"/>
      <c r="L69" s="34" cm="1">
        <f t="array" ref="L69">E69*$J69</f>
        <v>175.966640337048</v>
      </c>
      <c r="M69" s="34" cm="1">
        <f t="array" ref="M69">F69*$J69</f>
        <v>485.018318754639</v>
      </c>
      <c r="N69" s="34" cm="1">
        <f t="array" ref="N69">G69*$J69</f>
        <v>20251.7462309713</v>
      </c>
      <c r="O69" s="34" cm="1">
        <f t="array" ref="O69">H69*$J69</f>
        <v>13.8364514520714</v>
      </c>
      <c r="P69" s="6"/>
      <c r="Q69" s="34">
        <v>246.7138</v>
      </c>
      <c r="R69" s="34" cm="1">
        <f t="array" ref="R69">Q69/1000</f>
        <v>0.2467138</v>
      </c>
      <c r="S69" s="6"/>
      <c r="T69" s="34" cm="1">
        <f t="array" ref="T69">$R69*L69</f>
        <v>43.4133985107864</v>
      </c>
      <c r="U69" s="34" cm="1">
        <f t="array" ref="U69">$R69*M69</f>
        <v>119.660712489568</v>
      </c>
      <c r="V69" s="34" cm="1">
        <f t="array" ref="V69">$R69*N69</f>
        <v>4996.385269278610</v>
      </c>
      <c r="W69" s="34" cm="1">
        <f t="array" ref="W69">$R69*O69</f>
        <v>3.41364351625605</v>
      </c>
      <c r="X69" s="6"/>
      <c r="Y69" s="34" cm="1">
        <f t="array" ref="Y69">T69-Y$75-Y$3</f>
        <v>43.3508145286086</v>
      </c>
      <c r="Z69" s="34" cm="1">
        <f t="array" ref="Z69">U69-Z$75-Z$3</f>
        <v>118.410920145363</v>
      </c>
      <c r="AA69" s="34" cm="1">
        <f t="array" ref="AA69">V69-AA$75-AA$3</f>
        <v>4995.021108983890</v>
      </c>
      <c r="AB69" s="34" cm="1">
        <f t="array" ref="AB69">W69-AB$75-AB$3</f>
        <v>3.26198152236702</v>
      </c>
      <c r="AC69" s="6"/>
      <c r="AD69" s="41">
        <v>0.010209657</v>
      </c>
      <c r="AE69" s="35"/>
      <c r="AF69" s="41" cm="1">
        <f t="array" ref="AF69">Y69/$AD69</f>
        <v>4246.059836154010</v>
      </c>
      <c r="AG69" s="41" cm="1">
        <f t="array" ref="AG69">Z69/$AD69</f>
        <v>11597.933225902</v>
      </c>
      <c r="AH69" s="41" cm="1">
        <f t="array" ref="AH69">AA69/$AD69</f>
        <v>489244.752197247</v>
      </c>
      <c r="AI69" s="41" cm="1">
        <f t="array" ref="AI69">AB69/$AD69</f>
        <v>319.499619073101</v>
      </c>
    </row>
    <row r="70" ht="17" customHeight="1">
      <c r="A70" s="6"/>
      <c r="B70" t="s" s="32">
        <v>60</v>
      </c>
      <c r="C70" s="34">
        <v>2</v>
      </c>
      <c r="D70" t="s" s="32">
        <v>131</v>
      </c>
      <c r="E70" s="37">
        <v>460.052301466688</v>
      </c>
      <c r="F70" s="38">
        <v>378.196286175312</v>
      </c>
      <c r="G70" s="42">
        <v>23163.58023642</v>
      </c>
      <c r="H70" s="34">
        <v>-2.15461385396014</v>
      </c>
      <c r="I70" s="6"/>
      <c r="J70" s="34">
        <v>1.03499215838378</v>
      </c>
      <c r="K70" s="6"/>
      <c r="L70" s="34" cm="1">
        <f t="array" ref="L70">E70*$J70</f>
        <v>476.150524464433</v>
      </c>
      <c r="M70" s="34" cm="1">
        <f t="array" ref="M70">F70*$J70</f>
        <v>391.430190521316</v>
      </c>
      <c r="N70" s="34" cm="1">
        <f t="array" ref="N70">G70*$J70</f>
        <v>23974.1239047882</v>
      </c>
      <c r="O70" s="34" cm="1">
        <f t="array" ref="O70">H70*$J70</f>
        <v>-2.2300084431938</v>
      </c>
      <c r="P70" s="6"/>
      <c r="Q70" s="34">
        <v>247.3244</v>
      </c>
      <c r="R70" s="34" cm="1">
        <f t="array" ref="R70">Q70/1000</f>
        <v>0.2473244</v>
      </c>
      <c r="S70" s="6"/>
      <c r="T70" s="34" cm="1">
        <f t="array" ref="T70">$R70*L70</f>
        <v>117.763642772851</v>
      </c>
      <c r="U70" s="34" cm="1">
        <f t="array" ref="U70">$R70*M70</f>
        <v>96.8102370125702</v>
      </c>
      <c r="V70" s="34" cm="1">
        <f t="array" ref="V70">$R70*N70</f>
        <v>5929.3858102774</v>
      </c>
      <c r="W70" s="34" cm="1">
        <f t="array" ref="W70">$R70*O70</f>
        <v>-0.551535500207841</v>
      </c>
      <c r="X70" s="6"/>
      <c r="Y70" s="34" cm="1">
        <f t="array" ref="Y70">T70-Y$75-Y$3</f>
        <v>117.701058790673</v>
      </c>
      <c r="Z70" s="34" cm="1">
        <f t="array" ref="Z70">U70-Z$75-Z$3</f>
        <v>95.5604446683648</v>
      </c>
      <c r="AA70" s="34" cm="1">
        <f t="array" ref="AA70">V70-AA$75-AA$3</f>
        <v>5928.021649982680</v>
      </c>
      <c r="AB70" s="34" cm="1">
        <f t="array" ref="AB70">W70-AB$75-AB$3</f>
        <v>-0.703197494096871</v>
      </c>
      <c r="AC70" s="6"/>
      <c r="AD70" s="41">
        <v>0.010209657</v>
      </c>
      <c r="AE70" s="35"/>
      <c r="AF70" s="41" cm="1">
        <f t="array" ref="AF70">Y70/$AD70</f>
        <v>11528.4048024995</v>
      </c>
      <c r="AG70" s="41" cm="1">
        <f t="array" ref="AG70">Z70/$AD70</f>
        <v>9359.809508621571</v>
      </c>
      <c r="AH70" s="41" cm="1">
        <f t="array" ref="AH70">AA70/$AD70</f>
        <v>580628.874210238</v>
      </c>
      <c r="AI70" s="41" cm="1">
        <f t="array" ref="AI70">AB70/$AD70</f>
        <v>-68.8757216914213</v>
      </c>
    </row>
    <row r="71" ht="17" customHeight="1">
      <c r="A71" s="6"/>
      <c r="B71" t="s" s="32">
        <v>62</v>
      </c>
      <c r="C71" s="34">
        <v>2</v>
      </c>
      <c r="D71" t="s" s="32">
        <v>132</v>
      </c>
      <c r="E71" s="37">
        <v>269.398598619443</v>
      </c>
      <c r="F71" s="38">
        <v>312.769140671021</v>
      </c>
      <c r="G71" s="39">
        <v>22525.8457599303</v>
      </c>
      <c r="H71" s="40">
        <v>-7.56132114257663</v>
      </c>
      <c r="I71" s="6"/>
      <c r="J71" s="34">
        <v>1.03885726998016</v>
      </c>
      <c r="K71" s="6"/>
      <c r="L71" s="34" cm="1">
        <f t="array" ref="L71">E71*$J71</f>
        <v>279.866692698275</v>
      </c>
      <c r="M71" s="34" cm="1">
        <f t="array" ref="M71">F71*$J71</f>
        <v>324.922495611538</v>
      </c>
      <c r="N71" s="34" cm="1">
        <f t="array" ref="N71">G71*$J71</f>
        <v>23401.1386301554</v>
      </c>
      <c r="O71" s="34" cm="1">
        <f t="array" ref="O71">H71*$J71</f>
        <v>-7.85513343962042</v>
      </c>
      <c r="P71" s="6"/>
      <c r="Q71" s="34">
        <v>248.1498</v>
      </c>
      <c r="R71" s="34" cm="1">
        <f t="array" ref="R71">Q71/1000</f>
        <v>0.2481498</v>
      </c>
      <c r="S71" s="6"/>
      <c r="T71" s="34" cm="1">
        <f t="array" ref="T71">$R71*L71</f>
        <v>69.44886381973841</v>
      </c>
      <c r="U71" s="34" cm="1">
        <f t="array" ref="U71">$R71*M71</f>
        <v>80.629452301504</v>
      </c>
      <c r="V71" s="34" cm="1">
        <f t="array" ref="V71">$R71*N71</f>
        <v>5806.987870845340</v>
      </c>
      <c r="W71" s="34" cm="1">
        <f t="array" ref="W71">$R71*O71</f>
        <v>-1.94924979201512</v>
      </c>
      <c r="X71" s="6"/>
      <c r="Y71" s="34" cm="1">
        <f t="array" ref="Y71">T71-Y$75-Y$3</f>
        <v>69.38627983756059</v>
      </c>
      <c r="Z71" s="34" cm="1">
        <f t="array" ref="Z71">U71-Z$75-Z$3</f>
        <v>79.3796599572986</v>
      </c>
      <c r="AA71" s="34" cm="1">
        <f t="array" ref="AA71">V71-AA$75-AA$3</f>
        <v>5805.623710550620</v>
      </c>
      <c r="AB71" s="34" cm="1">
        <f t="array" ref="AB71">W71-AB$75-AB$3</f>
        <v>-2.10091178590415</v>
      </c>
      <c r="AC71" s="6"/>
      <c r="AD71" s="41">
        <v>0.010209657</v>
      </c>
      <c r="AE71" s="35"/>
      <c r="AF71" s="41" cm="1">
        <f t="array" ref="AF71">Y71/$AD71</f>
        <v>6796.142107179570</v>
      </c>
      <c r="AG71" s="41" cm="1">
        <f t="array" ref="AG71">Z71/$AD71</f>
        <v>7774.958547314430</v>
      </c>
      <c r="AH71" s="41" cm="1">
        <f t="array" ref="AH71">AA71/$AD71</f>
        <v>568640.426465906</v>
      </c>
      <c r="AI71" s="41" cm="1">
        <f t="array" ref="AI71">AB71/$AD71</f>
        <v>-205.776921389636</v>
      </c>
    </row>
    <row r="72" ht="17" customHeight="1">
      <c r="A72" s="6"/>
      <c r="B72" t="s" s="32">
        <v>64</v>
      </c>
      <c r="C72" s="34">
        <v>2</v>
      </c>
      <c r="D72" t="s" s="32">
        <v>133</v>
      </c>
      <c r="E72" s="37">
        <v>0.787787496091974</v>
      </c>
      <c r="F72" s="38">
        <v>2.77579281245611</v>
      </c>
      <c r="G72" s="39">
        <v>8.40731026516778</v>
      </c>
      <c r="H72" s="40">
        <v>1335.419308548160</v>
      </c>
      <c r="I72" s="6"/>
      <c r="J72" s="34">
        <v>1.03519940086126</v>
      </c>
      <c r="K72" s="6"/>
      <c r="L72" s="34" cm="1">
        <f t="array" ref="L72">E72*$J72</f>
        <v>0.815517143960404</v>
      </c>
      <c r="M72" s="34" cm="1">
        <f t="array" ref="M72">F72*$J72</f>
        <v>2.87349905636956</v>
      </c>
      <c r="N72" s="34" cm="1">
        <f t="array" ref="N72">G72*$J72</f>
        <v>8.703242549356411</v>
      </c>
      <c r="O72" s="34" cm="1">
        <f t="array" ref="O72">H72*$J72</f>
        <v>1382.425268107610</v>
      </c>
      <c r="P72" s="6"/>
      <c r="Q72" s="34">
        <v>247.1028</v>
      </c>
      <c r="R72" s="34" cm="1">
        <f t="array" ref="R72">Q72/1000</f>
        <v>0.2471028</v>
      </c>
      <c r="S72" s="6"/>
      <c r="T72" s="34" cm="1">
        <f t="array" ref="T72">$R72*L72</f>
        <v>0.201516569720619</v>
      </c>
      <c r="U72" s="34" cm="1">
        <f t="array" ref="U72">$R72*M72</f>
        <v>0.710049662626276</v>
      </c>
      <c r="V72" s="34" cm="1">
        <f t="array" ref="V72">$R72*N72</f>
        <v>2.15059560302511</v>
      </c>
      <c r="W72" s="34" cm="1">
        <f t="array" ref="W72">$R72*O72</f>
        <v>341.601154540141</v>
      </c>
      <c r="X72" s="6"/>
      <c r="Y72" s="34" cm="1">
        <f t="array" ref="Y72">T72-Y$75-Y$3</f>
        <v>0.138932587542774</v>
      </c>
      <c r="Z72" s="34" cm="1">
        <f t="array" ref="Z72">U72-Z$75-Z$3</f>
        <v>-0.539742681579084</v>
      </c>
      <c r="AA72" s="34" cm="1">
        <f t="array" ref="AA72">V72-AA$75-AA$3</f>
        <v>0.78643530830232</v>
      </c>
      <c r="AB72" s="34" cm="1">
        <f t="array" ref="AB72">W72-AB$75-AB$3</f>
        <v>341.449492546252</v>
      </c>
      <c r="AC72" s="6"/>
      <c r="AD72" s="41">
        <v>0.010209657</v>
      </c>
      <c r="AE72" s="35"/>
      <c r="AF72" s="41" cm="1">
        <f t="array" ref="AF72">Y72/$AD72</f>
        <v>13.6079583812438</v>
      </c>
      <c r="AG72" s="41" cm="1">
        <f t="array" ref="AG72">Z72/$AD72</f>
        <v>-52.8658976084196</v>
      </c>
      <c r="AH72" s="41" cm="1">
        <f t="array" ref="AH72">AA72/$AD72</f>
        <v>77.02857287980591</v>
      </c>
      <c r="AI72" s="41" cm="1">
        <f t="array" ref="AI72">AB72/$AD72</f>
        <v>33443.7770579611</v>
      </c>
    </row>
    <row r="73" ht="17" customHeight="1">
      <c r="A73" s="6"/>
      <c r="B73" t="s" s="32">
        <v>66</v>
      </c>
      <c r="C73" s="34">
        <v>2</v>
      </c>
      <c r="D73" t="s" s="32">
        <v>134</v>
      </c>
      <c r="E73" s="37">
        <v>1.06013388096433</v>
      </c>
      <c r="F73" s="38">
        <v>5.78502309248418</v>
      </c>
      <c r="G73" s="42">
        <v>14.0745429445145</v>
      </c>
      <c r="H73" s="34">
        <v>1403.057851192280</v>
      </c>
      <c r="I73" s="6"/>
      <c r="J73" s="34">
        <v>1.04639627776315</v>
      </c>
      <c r="K73" s="6"/>
      <c r="L73" s="34" cm="1">
        <f t="array" ref="L73">E73*$J73</f>
        <v>1.10932014697168</v>
      </c>
      <c r="M73" s="34" cm="1">
        <f t="array" ref="M73">F73*$J73</f>
        <v>6.05342663074931</v>
      </c>
      <c r="N73" s="34" cm="1">
        <f t="array" ref="N73">G73*$J73</f>
        <v>14.7275493483576</v>
      </c>
      <c r="O73" s="34" cm="1">
        <f t="array" ref="O73">H73*$J73</f>
        <v>1468.154512973970</v>
      </c>
      <c r="P73" s="6"/>
      <c r="Q73" s="34">
        <v>246.5996</v>
      </c>
      <c r="R73" s="34" cm="1">
        <f t="array" ref="R73">Q73/1000</f>
        <v>0.2465996</v>
      </c>
      <c r="S73" s="6"/>
      <c r="T73" s="34" cm="1">
        <f t="array" ref="T73">$R73*L73</f>
        <v>0.273557904515157</v>
      </c>
      <c r="U73" s="34" cm="1">
        <f t="array" ref="U73">$R73*M73</f>
        <v>1.49277258577213</v>
      </c>
      <c r="V73" s="34" cm="1">
        <f t="array" ref="V73">$R73*N73</f>
        <v>3.63180777828524</v>
      </c>
      <c r="W73" s="34" cm="1">
        <f t="array" ref="W73">$R73*O73</f>
        <v>362.046315637576</v>
      </c>
      <c r="X73" s="6"/>
      <c r="Y73" s="34" cm="1">
        <f t="array" ref="Y73">T73-Y$75-Y$3</f>
        <v>0.210973922337312</v>
      </c>
      <c r="Z73" s="34" cm="1">
        <f t="array" ref="Z73">U73-Z$75-Z$3</f>
        <v>0.24298024156677</v>
      </c>
      <c r="AA73" s="34" cm="1">
        <f t="array" ref="AA73">V73-AA$75-AA$3</f>
        <v>2.26764748356245</v>
      </c>
      <c r="AB73" s="34" cm="1">
        <f t="array" ref="AB73">W73-AB$75-AB$3</f>
        <v>361.894653643687</v>
      </c>
      <c r="AC73" s="6"/>
      <c r="AD73" s="41">
        <v>0.010209657</v>
      </c>
      <c r="AE73" s="35"/>
      <c r="AF73" s="41" cm="1">
        <f t="array" ref="AF73">Y73/$AD73</f>
        <v>20.6641537847268</v>
      </c>
      <c r="AG73" s="41" cm="1">
        <f t="array" ref="AG73">Z73/$AD73</f>
        <v>23.7990602002369</v>
      </c>
      <c r="AH73" s="41" cm="1">
        <f t="array" ref="AH73">AA73/$AD73</f>
        <v>222.108096634632</v>
      </c>
      <c r="AI73" s="41" cm="1">
        <f t="array" ref="AI73">AB73/$AD73</f>
        <v>35446.3086902613</v>
      </c>
    </row>
    <row r="74" ht="17" customHeight="1">
      <c r="A74" s="6"/>
      <c r="B74" t="s" s="32">
        <v>68</v>
      </c>
      <c r="C74" s="34">
        <v>2</v>
      </c>
      <c r="D74" t="s" s="32">
        <v>135</v>
      </c>
      <c r="E74" s="37">
        <v>1.3421717323139</v>
      </c>
      <c r="F74" s="38">
        <v>3.61969515416308</v>
      </c>
      <c r="G74" s="39">
        <v>7.38948421845097</v>
      </c>
      <c r="H74" s="40">
        <v>1454.972784671340</v>
      </c>
      <c r="I74" s="6"/>
      <c r="J74" s="34">
        <v>1.03615883139595</v>
      </c>
      <c r="K74" s="6"/>
      <c r="L74" s="34" cm="1">
        <f t="array" ref="L74">E74*$J74</f>
        <v>1.39070309368705</v>
      </c>
      <c r="M74" s="34" cm="1">
        <f t="array" ref="M74">F74*$J74</f>
        <v>3.7505791009472</v>
      </c>
      <c r="N74" s="34" cm="1">
        <f t="array" ref="N74">G74*$J74</f>
        <v>7.65667933240897</v>
      </c>
      <c r="O74" s="34" cm="1">
        <f t="array" ref="O74">H74*$J74</f>
        <v>1507.582900277970</v>
      </c>
      <c r="P74" s="6"/>
      <c r="Q74" s="34">
        <v>247.104</v>
      </c>
      <c r="R74" s="34" cm="1">
        <f t="array" ref="R74">Q74/1000</f>
        <v>0.247104</v>
      </c>
      <c r="S74" s="6"/>
      <c r="T74" s="34" cm="1">
        <f t="array" ref="T74">$R74*L74</f>
        <v>0.343648297262445</v>
      </c>
      <c r="U74" s="34" cm="1">
        <f t="array" ref="U74">$R74*M74</f>
        <v>0.926783098160457</v>
      </c>
      <c r="V74" s="34" cm="1">
        <f t="array" ref="V74">$R74*N74</f>
        <v>1.89199608975559</v>
      </c>
      <c r="W74" s="34" cm="1">
        <f t="array" ref="W74">$R74*O74</f>
        <v>372.529764990287</v>
      </c>
      <c r="X74" s="6"/>
      <c r="Y74" s="34" cm="1">
        <f t="array" ref="Y74">T74-Y$75-Y$3</f>
        <v>0.2810643150846</v>
      </c>
      <c r="Z74" s="34" cm="1">
        <f t="array" ref="Z74">U74-Z$75-Z$3</f>
        <v>-0.323009246044903</v>
      </c>
      <c r="AA74" s="34" cm="1">
        <f t="array" ref="AA74">V74-AA$75-AA$3</f>
        <v>0.5278357950328</v>
      </c>
      <c r="AB74" s="34" cm="1">
        <f t="array" ref="AB74">W74-AB$75-AB$3</f>
        <v>372.378102996398</v>
      </c>
      <c r="AC74" s="6"/>
      <c r="AD74" s="41">
        <v>0.010209657</v>
      </c>
      <c r="AE74" s="35"/>
      <c r="AF74" s="41" cm="1">
        <f t="array" ref="AF74">Y74/$AD74</f>
        <v>27.5292612753396</v>
      </c>
      <c r="AG74" s="41" cm="1">
        <f t="array" ref="AG74">Z74/$AD74</f>
        <v>-31.6376197598904</v>
      </c>
      <c r="AH74" s="41" cm="1">
        <f t="array" ref="AH74">AA74/$AD74</f>
        <v>51.6996599428169</v>
      </c>
      <c r="AI74" s="41" cm="1">
        <f t="array" ref="AI74">AB74/$AD74</f>
        <v>36473.1256883946</v>
      </c>
    </row>
    <row r="75" ht="17" customHeight="1">
      <c r="A75" s="6"/>
      <c r="B75" t="s" s="32">
        <v>70</v>
      </c>
      <c r="C75" s="34">
        <v>2</v>
      </c>
      <c r="D75" t="s" s="32">
        <v>136</v>
      </c>
      <c r="E75" s="37">
        <v>0.27465190660732</v>
      </c>
      <c r="F75" s="38">
        <v>3.48382917552927</v>
      </c>
      <c r="G75" s="42">
        <v>4.36038910557913</v>
      </c>
      <c r="H75" s="34">
        <v>0.539729694454623</v>
      </c>
      <c r="I75" s="6"/>
      <c r="J75" s="34">
        <v>1.0314807675198</v>
      </c>
      <c r="K75" s="6"/>
      <c r="L75" s="34" cm="1">
        <f t="array" ref="L75">E75*$J75</f>
        <v>0.283298159428095</v>
      </c>
      <c r="M75" s="34" cm="1">
        <f t="array" ref="M75">F75*$J75</f>
        <v>3.5935027918828</v>
      </c>
      <c r="N75" s="34" cm="1">
        <f t="array" ref="N75">G75*$J75</f>
        <v>4.49765750130774</v>
      </c>
      <c r="O75" s="34" cm="1">
        <f t="array" ref="O75">H75*$J75</f>
        <v>0.556720799489282</v>
      </c>
      <c r="P75" s="6"/>
      <c r="Q75" s="34">
        <v>246.95</v>
      </c>
      <c r="R75" s="34" cm="1">
        <f t="array" ref="R75">Q75/1000</f>
        <v>0.24695</v>
      </c>
      <c r="S75" s="6"/>
      <c r="T75" s="34" cm="1">
        <f t="array" ref="T75">$R75*L75</f>
        <v>0.0699604804707681</v>
      </c>
      <c r="U75" s="34" cm="1">
        <f t="array" ref="U75">$R75*M75</f>
        <v>0.887415514455457</v>
      </c>
      <c r="V75" s="34" cm="1">
        <f t="array" ref="V75">$R75*N75</f>
        <v>1.11069651994795</v>
      </c>
      <c r="W75" s="34" cm="1">
        <f t="array" ref="W75">$R75*O75</f>
        <v>0.137482201433878</v>
      </c>
      <c r="X75" s="6"/>
      <c r="Y75" s="34" cm="1">
        <f t="array" ref="Y75">AVERAGE(T75:T77)</f>
        <v>0.0625839821778454</v>
      </c>
      <c r="Z75" s="34" cm="1">
        <f t="array" ref="Z75">AVERAGE(U75:U77)</f>
        <v>1.24979234420536</v>
      </c>
      <c r="AA75" s="34" cm="1">
        <f t="array" ref="AA75">AVERAGE(V75:V77)</f>
        <v>1.36416029472279</v>
      </c>
      <c r="AB75" s="34" cm="1">
        <f t="array" ref="AB75">AVERAGE(W75:W77)</f>
        <v>0.15166199388903</v>
      </c>
      <c r="AC75" s="6"/>
      <c r="AD75" s="41">
        <v>0.010209657</v>
      </c>
      <c r="AE75" s="35"/>
      <c r="AF75" s="41" cm="1">
        <f t="array" ref="AF75">Y75/$AD75</f>
        <v>6.12988097228393</v>
      </c>
      <c r="AG75" s="41" cm="1">
        <f t="array" ref="AG75">Z75/$AD75</f>
        <v>122.412765111047</v>
      </c>
      <c r="AH75" s="41" cm="1">
        <f t="array" ref="AH75">AA75/$AD75</f>
        <v>133.614703679349</v>
      </c>
      <c r="AI75" s="41" cm="1">
        <f t="array" ref="AI75">AB75/$AD75</f>
        <v>14.854758968791</v>
      </c>
    </row>
    <row r="76" ht="17" customHeight="1">
      <c r="A76" s="6"/>
      <c r="B76" t="s" s="32">
        <v>72</v>
      </c>
      <c r="C76" s="34">
        <v>2</v>
      </c>
      <c r="D76" t="s" s="32">
        <v>137</v>
      </c>
      <c r="E76" s="37">
        <v>0.174885896702384</v>
      </c>
      <c r="F76" s="38">
        <v>7.59072614904056</v>
      </c>
      <c r="G76" s="39">
        <v>6.04682843055321</v>
      </c>
      <c r="H76" s="40">
        <v>0.605314921035658</v>
      </c>
      <c r="I76" s="6"/>
      <c r="J76" s="34">
        <v>1.02968975567238</v>
      </c>
      <c r="K76" s="6"/>
      <c r="L76" s="34" cm="1">
        <f t="array" ref="L76">E76*$J76</f>
        <v>0.180078216246023</v>
      </c>
      <c r="M76" s="34" cm="1">
        <f t="array" ref="M76">F76*$J76</f>
        <v>7.81609295378152</v>
      </c>
      <c r="N76" s="34" cm="1">
        <f t="array" ref="N76">G76*$J76</f>
        <v>6.22635728924914</v>
      </c>
      <c r="O76" s="34" cm="1">
        <f t="array" ref="O76">H76*$J76</f>
        <v>0.623286573146053</v>
      </c>
      <c r="P76" s="6"/>
      <c r="Q76" s="34">
        <v>246.67</v>
      </c>
      <c r="R76" s="34" cm="1">
        <f t="array" ref="R76">Q76/1000</f>
        <v>0.24667</v>
      </c>
      <c r="S76" s="6"/>
      <c r="T76" s="34" cm="1">
        <f t="array" ref="T76">$R76*L76</f>
        <v>0.0444198936014065</v>
      </c>
      <c r="U76" s="34" cm="1">
        <f t="array" ref="U76">$R76*M76</f>
        <v>1.92799564890929</v>
      </c>
      <c r="V76" s="34" cm="1">
        <f t="array" ref="V76">$R76*N76</f>
        <v>1.53585555253909</v>
      </c>
      <c r="W76" s="34" cm="1">
        <f t="array" ref="W76">$R76*O76</f>
        <v>0.153746098997937</v>
      </c>
      <c r="X76" s="6"/>
      <c r="Y76" s="6"/>
      <c r="Z76" s="6"/>
      <c r="AA76" s="6"/>
      <c r="AB76" s="6"/>
      <c r="AC76" s="6"/>
      <c r="AD76" s="41">
        <v>0.010209657</v>
      </c>
      <c r="AE76" s="35"/>
      <c r="AF76" s="41" cm="1">
        <f t="array" ref="AF76">Y76/$AD76</f>
        <v>0</v>
      </c>
      <c r="AG76" s="41" cm="1">
        <f t="array" ref="AG76">Z76/$AD76</f>
        <v>0</v>
      </c>
      <c r="AH76" s="41" cm="1">
        <f t="array" ref="AH76">AA76/$AD76</f>
        <v>0</v>
      </c>
      <c r="AI76" s="41" cm="1">
        <f t="array" ref="AI76">AB76/$AD76</f>
        <v>0</v>
      </c>
    </row>
    <row r="77" ht="17" customHeight="1">
      <c r="A77" s="6"/>
      <c r="B77" t="s" s="8">
        <v>74</v>
      </c>
      <c r="C77" s="44">
        <v>2</v>
      </c>
      <c r="D77" t="s" s="8">
        <v>138</v>
      </c>
      <c r="E77" s="37">
        <v>0.28670083365125</v>
      </c>
      <c r="F77" s="38">
        <v>3.6494896365644</v>
      </c>
      <c r="G77" s="42">
        <v>5.64999470234478</v>
      </c>
      <c r="H77" s="34">
        <v>0.639886295903958</v>
      </c>
      <c r="I77" s="6"/>
      <c r="J77" s="34">
        <v>1.02934938377759</v>
      </c>
      <c r="K77" s="6"/>
      <c r="L77" s="34" cm="1">
        <f t="array" ref="L77">E77*$J77</f>
        <v>0.295115326447436</v>
      </c>
      <c r="M77" s="34" cm="1">
        <f t="array" ref="M77">F77*$J77</f>
        <v>3.75659990850027</v>
      </c>
      <c r="N77" s="34" cm="1">
        <f t="array" ref="N77">G77*$J77</f>
        <v>5.81581856520525</v>
      </c>
      <c r="O77" s="34" cm="1">
        <f t="array" ref="O77">H77*$J77</f>
        <v>0.658666564376464</v>
      </c>
      <c r="P77" s="6"/>
      <c r="Q77" s="34">
        <v>248.62</v>
      </c>
      <c r="R77" s="34" cm="1">
        <f t="array" ref="R77">Q77/1000</f>
        <v>0.24862</v>
      </c>
      <c r="S77" s="6"/>
      <c r="T77" s="34" cm="1">
        <f t="array" ref="T77">$R77*L77</f>
        <v>0.0733715724613615</v>
      </c>
      <c r="U77" s="34" cm="1">
        <f t="array" ref="U77">$R77*M77</f>
        <v>0.933965869251337</v>
      </c>
      <c r="V77" s="34" cm="1">
        <f t="array" ref="V77">$R77*N77</f>
        <v>1.44592881168133</v>
      </c>
      <c r="W77" s="34" cm="1">
        <f t="array" ref="W77">$R77*O77</f>
        <v>0.163757681235276</v>
      </c>
      <c r="X77" s="6"/>
      <c r="Y77" s="6"/>
      <c r="Z77" s="6"/>
      <c r="AA77" s="6"/>
      <c r="AB77" s="6"/>
      <c r="AC77" s="6"/>
      <c r="AD77" s="41">
        <v>0.010209657</v>
      </c>
      <c r="AE77" s="35"/>
      <c r="AF77" s="41" cm="1">
        <f t="array" ref="AF77">Y77/$AD77</f>
        <v>0</v>
      </c>
      <c r="AG77" s="41" cm="1">
        <f t="array" ref="AG77">Z77/$AD77</f>
        <v>0</v>
      </c>
      <c r="AH77" s="41" cm="1">
        <f t="array" ref="AH77">AA77/$AD77</f>
        <v>0</v>
      </c>
      <c r="AI77" s="41" cm="1">
        <f t="array" ref="AI77">AB77/$AD77</f>
        <v>0</v>
      </c>
    </row>
    <row r="78" ht="17" customHeight="1">
      <c r="A78" s="6"/>
      <c r="B78" t="s" s="25">
        <v>76</v>
      </c>
      <c r="C78" s="45">
        <v>2</v>
      </c>
      <c r="D78" t="s" s="25">
        <v>139</v>
      </c>
      <c r="E78" s="37">
        <v>2.84282252429163</v>
      </c>
      <c r="F78" s="38">
        <v>73.31848508367609</v>
      </c>
      <c r="G78" s="39">
        <v>697.782083566288</v>
      </c>
      <c r="H78" s="40">
        <v>1.86536317625884</v>
      </c>
      <c r="I78" s="6"/>
      <c r="J78" s="34">
        <v>1.03581130325316</v>
      </c>
      <c r="K78" s="6"/>
      <c r="L78" s="34" cm="1">
        <f t="array" ref="L78">E78*$J78</f>
        <v>2.94462770380395</v>
      </c>
      <c r="M78" s="34" cm="1">
        <f t="array" ref="M78">F78*$J78</f>
        <v>75.9441155870699</v>
      </c>
      <c r="N78" s="34" cm="1">
        <f t="array" ref="N78">G78*$J78</f>
        <v>722.770569365502</v>
      </c>
      <c r="O78" s="34" cm="1">
        <f t="array" ref="O78">H78*$J78</f>
        <v>1.93216426264112</v>
      </c>
      <c r="P78" s="6"/>
      <c r="Q78" s="34">
        <v>242.4148</v>
      </c>
      <c r="R78" s="34" cm="1">
        <f t="array" ref="R78">Q78/1000</f>
        <v>0.2424148</v>
      </c>
      <c r="S78" s="6"/>
      <c r="T78" s="34" cm="1">
        <f t="array" ref="T78">$R78*L78</f>
        <v>0.713821335892094</v>
      </c>
      <c r="U78" s="34" cm="1">
        <f t="array" ref="U78">$R78*M78</f>
        <v>18.4099775912164</v>
      </c>
      <c r="V78" s="34" cm="1">
        <f t="array" ref="V78">$R78*N78</f>
        <v>175.210283018624</v>
      </c>
      <c r="W78" s="34" cm="1">
        <f t="array" ref="W78">$R78*O78</f>
        <v>0.468385213295295</v>
      </c>
      <c r="X78" s="6"/>
      <c r="Y78" s="34" cm="1">
        <f t="array" ref="Y78">T78-Y$84-Y$3</f>
        <v>0.6646197227994</v>
      </c>
      <c r="Z78" s="34" cm="1">
        <f t="array" ref="Z78">U78-Z$84-Z$3</f>
        <v>18.2061453377877</v>
      </c>
      <c r="AA78" s="34" cm="1">
        <f t="array" ref="AA78">V78-AA$84-AA$3</f>
        <v>173.228303847285</v>
      </c>
      <c r="AB78" s="34" cm="1">
        <f t="array" ref="AB78">W78-AB$84-AB$3</f>
        <v>0.499840405361269</v>
      </c>
      <c r="AC78" s="6"/>
      <c r="AD78" s="41">
        <v>0.010209657</v>
      </c>
      <c r="AE78" s="35"/>
      <c r="AF78" s="41" cm="1">
        <f t="array" ref="AF78">Y78/$AD78</f>
        <v>65.09716465493401</v>
      </c>
      <c r="AG78" s="41" cm="1">
        <f t="array" ref="AG78">Z78/$AD78</f>
        <v>1783.227912337080</v>
      </c>
      <c r="AH78" s="41" cm="1">
        <f t="array" ref="AH78">AA78/$AD78</f>
        <v>16967.1031893907</v>
      </c>
      <c r="AI78" s="41" cm="1">
        <f t="array" ref="AI78">AB78/$AD78</f>
        <v>48.9576099727218</v>
      </c>
    </row>
    <row r="79" ht="17" customHeight="1">
      <c r="A79" s="6"/>
      <c r="B79" t="s" s="32">
        <v>78</v>
      </c>
      <c r="C79" s="34">
        <v>2</v>
      </c>
      <c r="D79" t="s" s="32">
        <v>140</v>
      </c>
      <c r="E79" s="37">
        <v>2.43121845478722</v>
      </c>
      <c r="F79" s="38">
        <v>26.6837863814256</v>
      </c>
      <c r="G79" s="42">
        <v>1071.784211998070</v>
      </c>
      <c r="H79" s="34">
        <v>0.643358581234207</v>
      </c>
      <c r="I79" s="6"/>
      <c r="J79" s="34">
        <v>1.03047759584551</v>
      </c>
      <c r="K79" s="6"/>
      <c r="L79" s="34" cm="1">
        <f t="array" ref="L79">E79*$J79</f>
        <v>2.50531614826437</v>
      </c>
      <c r="M79" s="34" cm="1">
        <f t="array" ref="M79">F79*$J79</f>
        <v>27.4970440383866</v>
      </c>
      <c r="N79" s="34" cm="1">
        <f t="array" ref="N79">G79*$J79</f>
        <v>1104.449618044950</v>
      </c>
      <c r="O79" s="34" cm="1">
        <f t="array" ref="O79">H79*$J79</f>
        <v>0.662966604056804</v>
      </c>
      <c r="P79" s="6"/>
      <c r="Q79" s="34">
        <v>241.5322</v>
      </c>
      <c r="R79" s="34" cm="1">
        <f t="array" ref="R79">Q79/1000</f>
        <v>0.2415322</v>
      </c>
      <c r="S79" s="6"/>
      <c r="T79" s="34" cm="1">
        <f t="array" ref="T79">$R79*L79</f>
        <v>0.605114520985819</v>
      </c>
      <c r="U79" s="34" cm="1">
        <f t="array" ref="U79">$R79*M79</f>
        <v>6.6414215400884</v>
      </c>
      <c r="V79" s="34" cm="1">
        <f t="array" ref="V79">$R79*N79</f>
        <v>266.760146035556</v>
      </c>
      <c r="W79" s="34" cm="1">
        <f t="array" ref="W79">$R79*O79</f>
        <v>0.160127782404369</v>
      </c>
      <c r="X79" s="6"/>
      <c r="Y79" s="34" cm="1">
        <f t="array" ref="Y79">T79-Y$84-Y$3</f>
        <v>0.555912907893125</v>
      </c>
      <c r="Z79" s="34" cm="1">
        <f t="array" ref="Z79">U79-Z$84-Z$3</f>
        <v>6.4375892866597</v>
      </c>
      <c r="AA79" s="34" cm="1">
        <f t="array" ref="AA79">V79-AA$84-AA$3</f>
        <v>264.778166864217</v>
      </c>
      <c r="AB79" s="34" cm="1">
        <f t="array" ref="AB79">W79-AB$84-AB$3</f>
        <v>0.191582974470343</v>
      </c>
      <c r="AC79" s="6"/>
      <c r="AD79" s="41">
        <v>0.010209657</v>
      </c>
      <c r="AE79" s="35"/>
      <c r="AF79" s="41" cm="1">
        <f t="array" ref="AF79">Y79/$AD79</f>
        <v>54.4497144118676</v>
      </c>
      <c r="AG79" s="41" cm="1">
        <f t="array" ref="AG79">Z79/$AD79</f>
        <v>630.539232283680</v>
      </c>
      <c r="AH79" s="41" cm="1">
        <f t="array" ref="AH79">AA79/$AD79</f>
        <v>25934.0903288149</v>
      </c>
      <c r="AI79" s="41" cm="1">
        <f t="array" ref="AI79">AB79/$AD79</f>
        <v>18.7648786311179</v>
      </c>
    </row>
    <row r="80" ht="17" customHeight="1">
      <c r="A80" s="6"/>
      <c r="B80" t="s" s="32">
        <v>80</v>
      </c>
      <c r="C80" s="34">
        <v>2</v>
      </c>
      <c r="D80" t="s" s="32">
        <v>141</v>
      </c>
      <c r="E80" s="37">
        <v>2.74386693424335</v>
      </c>
      <c r="F80" s="38">
        <v>70.7561858821887</v>
      </c>
      <c r="G80" s="39">
        <v>1146.557294867780</v>
      </c>
      <c r="H80" s="40">
        <v>2.4426624358943</v>
      </c>
      <c r="I80" s="6"/>
      <c r="J80" s="34">
        <v>1.03069565217391</v>
      </c>
      <c r="K80" s="6"/>
      <c r="L80" s="34" cm="1">
        <f t="array" ref="L80">E80*$J80</f>
        <v>2.82809171926838</v>
      </c>
      <c r="M80" s="34" cm="1">
        <f t="array" ref="M80">F80*$J80</f>
        <v>72.9280931531809</v>
      </c>
      <c r="N80" s="34" cm="1">
        <f t="array" ref="N80">G80*$J80</f>
        <v>1181.7516187885</v>
      </c>
      <c r="O80" s="34" cm="1">
        <f t="array" ref="O80">H80*$J80</f>
        <v>2.51764155240479</v>
      </c>
      <c r="P80" s="6"/>
      <c r="Q80" s="34">
        <v>244.063</v>
      </c>
      <c r="R80" s="34" cm="1">
        <f t="array" ref="R80">Q80/1000</f>
        <v>0.244063</v>
      </c>
      <c r="S80" s="6"/>
      <c r="T80" s="34" cm="1">
        <f t="array" ref="T80">$R80*L80</f>
        <v>0.690232549279799</v>
      </c>
      <c r="U80" s="34" cm="1">
        <f t="array" ref="U80">$R80*M80</f>
        <v>17.7990491992448</v>
      </c>
      <c r="V80" s="34" cm="1">
        <f t="array" ref="V80">$R80*N80</f>
        <v>288.421845336378</v>
      </c>
      <c r="W80" s="34" cm="1">
        <f t="array" ref="W80">$R80*O80</f>
        <v>0.61446315020457</v>
      </c>
      <c r="X80" s="6"/>
      <c r="Y80" s="34" cm="1">
        <f t="array" ref="Y80">T80-Y$84-Y$3</f>
        <v>0.641030936187105</v>
      </c>
      <c r="Z80" s="34" cm="1">
        <f t="array" ref="Z80">U80-Z$84-Z$3</f>
        <v>17.5952169458161</v>
      </c>
      <c r="AA80" s="34" cm="1">
        <f t="array" ref="AA80">V80-AA$84-AA$3</f>
        <v>286.439866165039</v>
      </c>
      <c r="AB80" s="34" cm="1">
        <f t="array" ref="AB80">W80-AB$84-AB$3</f>
        <v>0.645918342270544</v>
      </c>
      <c r="AC80" s="6"/>
      <c r="AD80" s="41">
        <v>0.010209657</v>
      </c>
      <c r="AE80" s="35"/>
      <c r="AF80" s="41" cm="1">
        <f t="array" ref="AF80">Y80/$AD80</f>
        <v>62.7867259582868</v>
      </c>
      <c r="AG80" s="41" cm="1">
        <f t="array" ref="AG80">Z80/$AD80</f>
        <v>1723.389624726480</v>
      </c>
      <c r="AH80" s="41" cm="1">
        <f t="array" ref="AH80">AA80/$AD80</f>
        <v>28055.777600074</v>
      </c>
      <c r="AI80" s="41" cm="1">
        <f t="array" ref="AI80">AB80/$AD80</f>
        <v>63.2654301971696</v>
      </c>
    </row>
    <row r="81" ht="17" customHeight="1">
      <c r="A81" s="6"/>
      <c r="B81" t="s" s="32">
        <v>82</v>
      </c>
      <c r="C81" s="34">
        <v>2</v>
      </c>
      <c r="D81" t="s" s="32">
        <v>142</v>
      </c>
      <c r="E81" s="37">
        <v>0.598778343429316</v>
      </c>
      <c r="F81" s="61">
        <v>0.00444367741622345</v>
      </c>
      <c r="G81" s="42">
        <v>7.57701226953531</v>
      </c>
      <c r="H81" s="34">
        <v>406.368464211359</v>
      </c>
      <c r="I81" s="6"/>
      <c r="J81" s="34">
        <v>1.0431715236301</v>
      </c>
      <c r="K81" s="6"/>
      <c r="L81" s="34" cm="1">
        <f t="array" ref="L81">E81*$J81</f>
        <v>0.624628516831867</v>
      </c>
      <c r="M81" s="34" cm="1">
        <f t="array" ref="M81">F81*$J81</f>
        <v>0.00463551774080248</v>
      </c>
      <c r="N81" s="34" cm="1">
        <f t="array" ref="N81">G81*$J81</f>
        <v>7.90412343377511</v>
      </c>
      <c r="O81" s="34" cm="1">
        <f t="array" ref="O81">H81*$J81</f>
        <v>423.912009966587</v>
      </c>
      <c r="P81" s="6"/>
      <c r="Q81" s="34">
        <v>242.3406</v>
      </c>
      <c r="R81" s="34" cm="1">
        <f t="array" ref="R81">Q81/1000</f>
        <v>0.2423406</v>
      </c>
      <c r="S81" s="6"/>
      <c r="T81" s="34" cm="1">
        <f t="array" ref="T81">$R81*L81</f>
        <v>0.151372849546145</v>
      </c>
      <c r="U81" s="34" cm="1">
        <f t="array" ref="U81">$R81*M81</f>
        <v>0.00112337415061672</v>
      </c>
      <c r="V81" s="34" cm="1">
        <f t="array" ref="V81">$R81*N81</f>
        <v>1.91549001541512</v>
      </c>
      <c r="W81" s="34" cm="1">
        <f t="array" ref="W81">$R81*O81</f>
        <v>102.731090842509</v>
      </c>
      <c r="X81" s="6"/>
      <c r="Y81" s="34" cm="1">
        <f t="array" ref="Y81">T81-Y$84-Y$3</f>
        <v>0.102171236453451</v>
      </c>
      <c r="Z81" s="34" cm="1">
        <f t="array" ref="Z81">U81-Z$84-Z$3</f>
        <v>-0.202708879278079</v>
      </c>
      <c r="AA81" s="34" cm="1">
        <f t="array" ref="AA81">V81-AA$84-AA$3</f>
        <v>-0.06648915592387</v>
      </c>
      <c r="AB81" s="34" cm="1">
        <f t="array" ref="AB81">W81-AB$84-AB$3</f>
        <v>102.762546034575</v>
      </c>
      <c r="AC81" s="6"/>
      <c r="AD81" s="41">
        <v>0.010209657</v>
      </c>
      <c r="AE81" s="35"/>
      <c r="AF81" s="41" cm="1">
        <f t="array" ref="AF81">Y81/$AD81</f>
        <v>10.0073133165444</v>
      </c>
      <c r="AG81" s="41" cm="1">
        <f t="array" ref="AG81">Z81/$AD81</f>
        <v>-19.8546218818202</v>
      </c>
      <c r="AH81" s="41" cm="1">
        <f t="array" ref="AH81">AA81/$AD81</f>
        <v>-6.51237900782269</v>
      </c>
      <c r="AI81" s="41" cm="1">
        <f t="array" ref="AI81">AB81/$AD81</f>
        <v>10065.2300106238</v>
      </c>
    </row>
    <row r="82" ht="17" customHeight="1">
      <c r="A82" s="6"/>
      <c r="B82" t="s" s="32">
        <v>84</v>
      </c>
      <c r="C82" s="34">
        <v>2</v>
      </c>
      <c r="D82" t="s" s="32">
        <v>143</v>
      </c>
      <c r="E82" s="37">
        <v>0.575330216642951</v>
      </c>
      <c r="F82" s="61">
        <v>0.00444367741622345</v>
      </c>
      <c r="G82" s="39">
        <v>8.52296063761748</v>
      </c>
      <c r="H82" s="40">
        <v>331.133768315761</v>
      </c>
      <c r="I82" s="6"/>
      <c r="J82" s="34">
        <v>1.04071597932134</v>
      </c>
      <c r="K82" s="6"/>
      <c r="L82" s="34" cm="1">
        <f t="array" ref="L82">E82*$J82</f>
        <v>0.598755349846727</v>
      </c>
      <c r="M82" s="34" cm="1">
        <f t="array" ref="M82">F82*$J82</f>
        <v>0.00462460609401311</v>
      </c>
      <c r="N82" s="34" cm="1">
        <f t="array" ref="N82">G82*$J82</f>
        <v>8.86998132669531</v>
      </c>
      <c r="O82" s="34" cm="1">
        <f t="array" ref="O82">H82*$J82</f>
        <v>344.616203979103</v>
      </c>
      <c r="P82" s="6"/>
      <c r="Q82" s="34">
        <v>243.6738</v>
      </c>
      <c r="R82" s="34" cm="1">
        <f t="array" ref="R82">Q82/1000</f>
        <v>0.2436738</v>
      </c>
      <c r="S82" s="6"/>
      <c r="T82" s="34" cm="1">
        <f t="array" ref="T82">$R82*L82</f>
        <v>0.145900991367481</v>
      </c>
      <c r="U82" s="34" cm="1">
        <f t="array" ref="U82">$R82*M82</f>
        <v>0.00112689534043133</v>
      </c>
      <c r="V82" s="34" cm="1">
        <f t="array" ref="V82">$R82*N82</f>
        <v>2.16138205580489</v>
      </c>
      <c r="W82" s="34" cm="1">
        <f t="array" ref="W82">$R82*O82</f>
        <v>83.9739399651631</v>
      </c>
      <c r="X82" s="6"/>
      <c r="Y82" s="34" cm="1">
        <f t="array" ref="Y82">T82-Y$84-Y$3</f>
        <v>0.096699378274787</v>
      </c>
      <c r="Z82" s="34" cm="1">
        <f t="array" ref="Z82">U82-Z$84-Z$3</f>
        <v>-0.202705358088265</v>
      </c>
      <c r="AA82" s="34" cm="1">
        <f t="array" ref="AA82">V82-AA$84-AA$3</f>
        <v>0.1794028844659</v>
      </c>
      <c r="AB82" s="34" cm="1">
        <f t="array" ref="AB82">W82-AB$84-AB$3</f>
        <v>84.0053951572291</v>
      </c>
      <c r="AC82" s="6"/>
      <c r="AD82" s="41">
        <v>0.010209657</v>
      </c>
      <c r="AE82" s="35"/>
      <c r="AF82" s="41" cm="1">
        <f t="array" ref="AF82">Y82/$AD82</f>
        <v>9.471364050211189</v>
      </c>
      <c r="AG82" s="41" cm="1">
        <f t="array" ref="AG82">Z82/$AD82</f>
        <v>-19.8542769936605</v>
      </c>
      <c r="AH82" s="41" cm="1">
        <f t="array" ref="AH82">AA82/$AD82</f>
        <v>17.5718816475323</v>
      </c>
      <c r="AI82" s="41" cm="1">
        <f t="array" ref="AI82">AB82/$AD82</f>
        <v>8228.033043346029</v>
      </c>
    </row>
    <row r="83" ht="17" customHeight="1">
      <c r="A83" s="6"/>
      <c r="B83" t="s" s="32">
        <v>86</v>
      </c>
      <c r="C83" s="34">
        <v>2</v>
      </c>
      <c r="D83" t="s" s="32">
        <v>144</v>
      </c>
      <c r="E83" s="37">
        <v>4.03206854231806</v>
      </c>
      <c r="F83" s="61">
        <v>0.00444367741622345</v>
      </c>
      <c r="G83" s="42">
        <v>9.24381654304014</v>
      </c>
      <c r="H83" s="34">
        <v>513.3075699662101</v>
      </c>
      <c r="I83" s="6"/>
      <c r="J83" s="34">
        <v>1.03373045544423</v>
      </c>
      <c r="K83" s="6"/>
      <c r="L83" s="34" cm="1">
        <f t="array" ref="L83">E83*$J83</f>
        <v>4.1680720506328</v>
      </c>
      <c r="M83" s="34" cm="1">
        <f t="array" ref="M83">F83*$J83</f>
        <v>0.00459356467931991</v>
      </c>
      <c r="N83" s="34" cm="1">
        <f t="array" ref="N83">G83*$J83</f>
        <v>9.555614685079791</v>
      </c>
      <c r="O83" s="34" cm="1">
        <f t="array" ref="O83">H83*$J83</f>
        <v>530.621668084141</v>
      </c>
      <c r="P83" s="6"/>
      <c r="Q83" s="34">
        <v>244.6278</v>
      </c>
      <c r="R83" s="34" cm="1">
        <f t="array" ref="R83">Q83/1000</f>
        <v>0.2446278</v>
      </c>
      <c r="S83" s="6"/>
      <c r="T83" s="34" cm="1">
        <f t="array" ref="T83">$R83*L83</f>
        <v>1.01962629598779</v>
      </c>
      <c r="U83" s="34" cm="1">
        <f t="array" ref="U83">$R83*M83</f>
        <v>0.00112371362165974</v>
      </c>
      <c r="V83" s="34" cm="1">
        <f t="array" ref="V83">$R83*N83</f>
        <v>2.33756899805876</v>
      </c>
      <c r="W83" s="34" cm="1">
        <f t="array" ref="W83">$R83*O83</f>
        <v>129.804811295754</v>
      </c>
      <c r="X83" s="6"/>
      <c r="Y83" s="34" cm="1">
        <f t="array" ref="Y83">T83-Y$84-Y$3</f>
        <v>0.970424682895096</v>
      </c>
      <c r="Z83" s="34" cm="1">
        <f t="array" ref="Z83">U83-Z$84-Z$3</f>
        <v>-0.202708539807036</v>
      </c>
      <c r="AA83" s="34" cm="1">
        <f t="array" ref="AA83">V83-AA$84-AA$3</f>
        <v>0.35558982671977</v>
      </c>
      <c r="AB83" s="34" cm="1">
        <f t="array" ref="AB83">W83-AB$84-AB$3</f>
        <v>129.836266487820</v>
      </c>
      <c r="AC83" s="6"/>
      <c r="AD83" s="41">
        <v>0.010209657</v>
      </c>
      <c r="AE83" s="35"/>
      <c r="AF83" s="41" cm="1">
        <f t="array" ref="AF83">Y83/$AD83</f>
        <v>95.04968510647279</v>
      </c>
      <c r="AG83" s="41" cm="1">
        <f t="array" ref="AG83">Z83/$AD83</f>
        <v>-19.8545886318253</v>
      </c>
      <c r="AH83" s="41" cm="1">
        <f t="array" ref="AH83">AA83/$AD83</f>
        <v>34.8287730645378</v>
      </c>
      <c r="AI83" s="41" cm="1">
        <f t="array" ref="AI83">AB83/$AD83</f>
        <v>12717.005721918</v>
      </c>
    </row>
    <row r="84" ht="17" customHeight="1">
      <c r="A84" s="6"/>
      <c r="B84" t="s" s="32">
        <v>88</v>
      </c>
      <c r="C84" s="34">
        <v>2</v>
      </c>
      <c r="D84" t="s" s="32">
        <v>145</v>
      </c>
      <c r="E84" s="37">
        <v>0.337371478411514</v>
      </c>
      <c r="F84" s="38">
        <v>0.574392481310753</v>
      </c>
      <c r="G84" s="39">
        <v>6.76281227635157</v>
      </c>
      <c r="H84" s="40">
        <v>-0.225800800264226</v>
      </c>
      <c r="I84" s="6"/>
      <c r="J84" s="34">
        <v>1.02910611634055</v>
      </c>
      <c r="K84" s="6"/>
      <c r="L84" s="34" cm="1">
        <f t="array" ref="L84">E84*$J84</f>
        <v>0.347191051912143</v>
      </c>
      <c r="M84" s="34" cm="1">
        <f t="array" ref="M84">F84*$J84</f>
        <v>0.591110815696921</v>
      </c>
      <c r="N84" s="34" cm="1">
        <f t="array" ref="N84">G84*$J84</f>
        <v>6.95965147725636</v>
      </c>
      <c r="O84" s="34" cm="1">
        <f t="array" ref="O84">H84*$J84</f>
        <v>-0.232372984626506</v>
      </c>
      <c r="P84" s="6"/>
      <c r="Q84" s="34">
        <v>244.72</v>
      </c>
      <c r="R84" s="34" cm="1">
        <f t="array" ref="R84">Q84/1000</f>
        <v>0.24472</v>
      </c>
      <c r="S84" s="6"/>
      <c r="T84" s="34" cm="1">
        <f t="array" ref="T84">$R84*L84</f>
        <v>0.08496459422393959</v>
      </c>
      <c r="U84" s="34" cm="1">
        <f t="array" ref="U84">$R84*M84</f>
        <v>0.144656638817351</v>
      </c>
      <c r="V84" s="34" cm="1">
        <f t="array" ref="V84">$R84*N84</f>
        <v>1.70316590951418</v>
      </c>
      <c r="W84" s="34" cm="1">
        <f t="array" ref="W84">$R84*O84</f>
        <v>-0.0568663167977985</v>
      </c>
      <c r="X84" s="6"/>
      <c r="Y84" s="34" cm="1">
        <f t="array" ref="Y84">AVERAGE(T84:T86)</f>
        <v>0.049201613092694</v>
      </c>
      <c r="Z84" s="34" cm="1">
        <f t="array" ref="Z84">AVERAGE(U84:U86)</f>
        <v>0.203832253428696</v>
      </c>
      <c r="AA84" s="34" cm="1">
        <f t="array" ref="AA84">AVERAGE(V84:V86)</f>
        <v>1.98197917133899</v>
      </c>
      <c r="AB84" s="34" cm="1">
        <f t="array" ref="AB84">AVERAGE(W84:W86)</f>
        <v>-0.0314551920659735</v>
      </c>
      <c r="AC84" s="6"/>
      <c r="AD84" s="41">
        <v>0.010209657</v>
      </c>
      <c r="AE84" s="35"/>
      <c r="AF84" s="41" cm="1">
        <f t="array" ref="AF84">Y84/$AD84</f>
        <v>4.81912498066233</v>
      </c>
      <c r="AG84" s="41" cm="1">
        <f t="array" ref="AG84">Z84/$AD84</f>
        <v>19.9646524294299</v>
      </c>
      <c r="AH84" s="41" cm="1">
        <f t="array" ref="AH84">AA84/$AD84</f>
        <v>194.127890029899</v>
      </c>
      <c r="AI84" s="41" cm="1">
        <f t="array" ref="AI84">AB84/$AD84</f>
        <v>-3.08092544793361</v>
      </c>
    </row>
    <row r="85" ht="17" customHeight="1">
      <c r="A85" s="6"/>
      <c r="B85" t="s" s="32">
        <v>90</v>
      </c>
      <c r="C85" s="34">
        <v>2</v>
      </c>
      <c r="D85" t="s" s="32">
        <v>146</v>
      </c>
      <c r="E85" s="37">
        <v>0.113748871806865</v>
      </c>
      <c r="F85" s="38">
        <v>1.449183469675</v>
      </c>
      <c r="G85" s="42">
        <v>7.97262486395357</v>
      </c>
      <c r="H85" s="34">
        <v>-0.131754569665724</v>
      </c>
      <c r="I85" s="6"/>
      <c r="J85" s="34">
        <v>1.02916672461994</v>
      </c>
      <c r="K85" s="6"/>
      <c r="L85" s="34" cm="1">
        <f t="array" ref="L85">E85*$J85</f>
        <v>0.117066553826685</v>
      </c>
      <c r="M85" s="34" cm="1">
        <f t="array" ref="M85">F85*$J85</f>
        <v>1.49145140485878</v>
      </c>
      <c r="N85" s="34" cm="1">
        <f t="array" ref="N85">G85*$J85</f>
        <v>8.205160217858589</v>
      </c>
      <c r="O85" s="34" cm="1">
        <f t="array" ref="O85">H85*$J85</f>
        <v>-0.135597418916583</v>
      </c>
      <c r="P85" s="6"/>
      <c r="Q85" s="34">
        <v>243.52</v>
      </c>
      <c r="R85" s="34" cm="1">
        <f t="array" ref="R85">Q85/1000</f>
        <v>0.24352</v>
      </c>
      <c r="S85" s="6"/>
      <c r="T85" s="34" cm="1">
        <f t="array" ref="T85">$R85*L85</f>
        <v>0.0285080471878743</v>
      </c>
      <c r="U85" s="34" cm="1">
        <f t="array" ref="U85">$R85*M85</f>
        <v>0.36319824611121</v>
      </c>
      <c r="V85" s="34" cm="1">
        <f t="array" ref="V85">$R85*N85</f>
        <v>1.99812061625292</v>
      </c>
      <c r="W85" s="34" cm="1">
        <f t="array" ref="W85">$R85*O85</f>
        <v>-0.0330206834545663</v>
      </c>
      <c r="X85" s="6"/>
      <c r="Y85" s="6"/>
      <c r="Z85" s="6"/>
      <c r="AA85" s="6"/>
      <c r="AB85" s="6"/>
      <c r="AC85" s="6"/>
      <c r="AD85" s="41">
        <v>0.010209657</v>
      </c>
      <c r="AE85" s="35"/>
      <c r="AF85" s="41" cm="1">
        <f t="array" ref="AF85">Y85/$AD85</f>
        <v>0</v>
      </c>
      <c r="AG85" s="41" cm="1">
        <f t="array" ref="AG85">Z85/$AD85</f>
        <v>0</v>
      </c>
      <c r="AH85" s="41" cm="1">
        <f t="array" ref="AH85">AA85/$AD85</f>
        <v>0</v>
      </c>
      <c r="AI85" s="41" cm="1">
        <f t="array" ref="AI85">AB85/$AD85</f>
        <v>0</v>
      </c>
    </row>
    <row r="86" ht="17" customHeight="1">
      <c r="A86" s="6"/>
      <c r="B86" t="s" s="8">
        <v>92</v>
      </c>
      <c r="C86" s="44">
        <v>2</v>
      </c>
      <c r="D86" t="s" s="8">
        <v>147</v>
      </c>
      <c r="E86" s="37">
        <v>0.135710392958606</v>
      </c>
      <c r="F86" s="38">
        <v>0.412082447396022</v>
      </c>
      <c r="G86" s="39">
        <v>8.924783246125649</v>
      </c>
      <c r="H86" s="40">
        <v>-0.0178069195499123</v>
      </c>
      <c r="I86" s="6"/>
      <c r="J86" s="34">
        <v>1.03000908935977</v>
      </c>
      <c r="K86" s="6"/>
      <c r="L86" s="34" cm="1">
        <f t="array" ref="L86">E86*$J86</f>
        <v>0.13978293826795</v>
      </c>
      <c r="M86" s="34" cm="1">
        <f t="array" ref="M86">F86*$J86</f>
        <v>0.424448666383522</v>
      </c>
      <c r="N86" s="34" cm="1">
        <f t="array" ref="N86">G86*$J86</f>
        <v>9.19260786407521</v>
      </c>
      <c r="O86" s="34" cm="1">
        <f t="array" ref="O86">H86*$J86</f>
        <v>-0.0183412889899079</v>
      </c>
      <c r="P86" s="6"/>
      <c r="Q86" s="34">
        <v>244.18</v>
      </c>
      <c r="R86" s="34" cm="1">
        <f t="array" ref="R86">Q86/1000</f>
        <v>0.24418</v>
      </c>
      <c r="S86" s="6"/>
      <c r="T86" s="34" cm="1">
        <f t="array" ref="T86">$R86*L86</f>
        <v>0.034132197866268</v>
      </c>
      <c r="U86" s="34" cm="1">
        <f t="array" ref="U86">$R86*M86</f>
        <v>0.103641875357528</v>
      </c>
      <c r="V86" s="34" cm="1">
        <f t="array" ref="V86">$R86*N86</f>
        <v>2.24465098824988</v>
      </c>
      <c r="W86" s="34" cm="1">
        <f t="array" ref="W86">$R86*O86</f>
        <v>-0.00447857594555571</v>
      </c>
      <c r="X86" s="6"/>
      <c r="Y86" s="6"/>
      <c r="Z86" s="6"/>
      <c r="AA86" s="6"/>
      <c r="AB86" s="6"/>
      <c r="AC86" s="6"/>
      <c r="AD86" s="41">
        <v>0.010209657</v>
      </c>
      <c r="AE86" s="35"/>
      <c r="AF86" s="41" cm="1">
        <f t="array" ref="AF86">Y86/$AD86</f>
        <v>0</v>
      </c>
      <c r="AG86" s="41" cm="1">
        <f t="array" ref="AG86">Z86/$AD86</f>
        <v>0</v>
      </c>
      <c r="AH86" s="41" cm="1">
        <f t="array" ref="AH86">AA86/$AD86</f>
        <v>0</v>
      </c>
      <c r="AI86" s="41" cm="1">
        <f t="array" ref="AI86">AB86/$AD86</f>
        <v>0</v>
      </c>
    </row>
    <row r="87" ht="17" customHeight="1">
      <c r="A87" s="6"/>
      <c r="B87" t="s" s="25">
        <v>94</v>
      </c>
      <c r="C87" s="45">
        <v>2</v>
      </c>
      <c r="D87" t="s" s="25">
        <v>148</v>
      </c>
      <c r="E87" s="37">
        <v>33.315675070983</v>
      </c>
      <c r="F87" s="38">
        <v>459.085029545531</v>
      </c>
      <c r="G87" s="39">
        <v>18354.8169301207</v>
      </c>
      <c r="H87" s="40">
        <v>-150.514188523835</v>
      </c>
      <c r="I87" s="6"/>
      <c r="J87" s="34">
        <v>1.02667958656331</v>
      </c>
      <c r="K87" s="6"/>
      <c r="L87" s="34" cm="1">
        <f t="array" ref="L87">E87*$J87</f>
        <v>34.2045235079544</v>
      </c>
      <c r="M87" s="34" cm="1">
        <f t="array" ref="M87">F87*$J87</f>
        <v>471.333228331211</v>
      </c>
      <c r="N87" s="34" cm="1">
        <f t="array" ref="N87">G87*$J87</f>
        <v>18844.5158572616</v>
      </c>
      <c r="O87" s="34" cm="1">
        <f t="array" ref="O87">H87*$J87</f>
        <v>-154.529844845563</v>
      </c>
      <c r="P87" s="6"/>
      <c r="Q87" s="34">
        <v>244.197</v>
      </c>
      <c r="R87" s="34" cm="1">
        <f t="array" ref="R87">Q87/1000</f>
        <v>0.244197</v>
      </c>
      <c r="S87" s="6"/>
      <c r="T87" s="34" cm="1">
        <f t="array" ref="T87">$R87*L87</f>
        <v>8.352642027071941</v>
      </c>
      <c r="U87" s="34" cm="1">
        <f t="array" ref="U87">$R87*M87</f>
        <v>115.098160358797</v>
      </c>
      <c r="V87" s="34" cm="1">
        <f t="array" ref="V87">$R87*N87</f>
        <v>4601.774238795710</v>
      </c>
      <c r="W87" s="34" cm="1">
        <f t="array" ref="W87">$R87*O87</f>
        <v>-37.7357245217519</v>
      </c>
      <c r="X87" s="6"/>
      <c r="Y87" s="34" cm="1">
        <f t="array" ref="Y87">T87-Y$93-Y$3</f>
        <v>8.247637554267101</v>
      </c>
      <c r="Z87" s="34" cm="1">
        <f t="array" ref="Z87">U87-Z$93-Z$3</f>
        <v>114.988442351693</v>
      </c>
      <c r="AA87" s="34" cm="1">
        <f t="array" ref="AA87">V87-AA$93-AA$3</f>
        <v>4599.823446704380</v>
      </c>
      <c r="AB87" s="34" cm="1">
        <f t="array" ref="AB87">W87-AB$93-AB$3</f>
        <v>-37.953145002995</v>
      </c>
      <c r="AC87" s="6"/>
      <c r="AD87" s="41">
        <v>0.010209657</v>
      </c>
      <c r="AE87" s="35"/>
      <c r="AF87" s="41" cm="1">
        <f t="array" ref="AF87">Y87/$AD87</f>
        <v>807.8270949031</v>
      </c>
      <c r="AG87" s="41" cm="1">
        <f t="array" ref="AG87">Z87/$AD87</f>
        <v>11262.7135614539</v>
      </c>
      <c r="AH87" s="41" cm="1">
        <f t="array" ref="AH87">AA87/$AD87</f>
        <v>450536.530924044</v>
      </c>
      <c r="AI87" s="41" cm="1">
        <f t="array" ref="AI87">AB87/$AD87</f>
        <v>-3717.377087496180</v>
      </c>
    </row>
    <row r="88" ht="17" customHeight="1">
      <c r="A88" s="6"/>
      <c r="B88" t="s" s="32">
        <v>96</v>
      </c>
      <c r="C88" s="34">
        <v>2</v>
      </c>
      <c r="D88" t="s" s="32">
        <v>149</v>
      </c>
      <c r="E88" s="37">
        <v>59.5540380889674</v>
      </c>
      <c r="F88" s="38">
        <v>409.799259691791</v>
      </c>
      <c r="G88" s="42">
        <v>21514.7586475194</v>
      </c>
      <c r="H88" s="34">
        <v>-187.722743577278</v>
      </c>
      <c r="I88" s="6"/>
      <c r="J88" s="34">
        <v>1.02623602359481</v>
      </c>
      <c r="K88" s="6"/>
      <c r="L88" s="34" cm="1">
        <f t="array" ref="L88">E88*$J88</f>
        <v>61.1164992374358</v>
      </c>
      <c r="M88" s="34" cm="1">
        <f t="array" ref="M88">F88*$J88</f>
        <v>420.5507627382</v>
      </c>
      <c r="N88" s="34" cm="1">
        <f t="array" ref="N88">G88*$J88</f>
        <v>22079.2203630324</v>
      </c>
      <c r="O88" s="34" cm="1">
        <f t="array" ref="O88">H88*$J88</f>
        <v>-192.647841907054</v>
      </c>
      <c r="P88" s="6"/>
      <c r="Q88" s="34">
        <v>245.8386</v>
      </c>
      <c r="R88" s="34" cm="1">
        <f t="array" ref="R88">Q88/1000</f>
        <v>0.2458386</v>
      </c>
      <c r="S88" s="6"/>
      <c r="T88" s="34" cm="1">
        <f t="array" ref="T88">$R88*L88</f>
        <v>15.0247946094323</v>
      </c>
      <c r="U88" s="34" cm="1">
        <f t="array" ref="U88">$R88*M88</f>
        <v>103.387610740491</v>
      </c>
      <c r="V88" s="34" cm="1">
        <f t="array" ref="V88">$R88*N88</f>
        <v>5427.924623139380</v>
      </c>
      <c r="W88" s="34" cm="1">
        <f t="array" ref="W88">$R88*O88</f>
        <v>-47.3602757474515</v>
      </c>
      <c r="X88" s="6"/>
      <c r="Y88" s="34" cm="1">
        <f t="array" ref="Y88">T88-Y$93-Y$3</f>
        <v>14.9197901366275</v>
      </c>
      <c r="Z88" s="34" cm="1">
        <f t="array" ref="Z88">U88-Z$93-Z$3</f>
        <v>103.277892733387</v>
      </c>
      <c r="AA88" s="34" cm="1">
        <f t="array" ref="AA88">V88-AA$93-AA$3</f>
        <v>5425.973831048050</v>
      </c>
      <c r="AB88" s="34" cm="1">
        <f t="array" ref="AB88">W88-AB$93-AB$3</f>
        <v>-47.5776962286946</v>
      </c>
      <c r="AC88" s="6"/>
      <c r="AD88" s="41">
        <v>0.010209657</v>
      </c>
      <c r="AE88" s="35"/>
      <c r="AF88" s="41" cm="1">
        <f t="array" ref="AF88">Y88/$AD88</f>
        <v>1461.340977138360</v>
      </c>
      <c r="AG88" s="41" cm="1">
        <f t="array" ref="AG88">Z88/$AD88</f>
        <v>10115.7064075108</v>
      </c>
      <c r="AH88" s="41" cm="1">
        <f t="array" ref="AH88">AA88/$AD88</f>
        <v>531455.055840568</v>
      </c>
      <c r="AI88" s="41" cm="1">
        <f t="array" ref="AI88">AB88/$AD88</f>
        <v>-4660.068034478980</v>
      </c>
    </row>
    <row r="89" ht="17" customHeight="1">
      <c r="A89" s="6"/>
      <c r="B89" t="s" s="32">
        <v>98</v>
      </c>
      <c r="C89" s="34">
        <v>2</v>
      </c>
      <c r="D89" t="s" s="32">
        <v>150</v>
      </c>
      <c r="E89" s="37">
        <v>111.862869409455</v>
      </c>
      <c r="F89" s="38">
        <v>791.5568670618489</v>
      </c>
      <c r="G89" s="39">
        <v>17830.7382500471</v>
      </c>
      <c r="H89" s="40">
        <v>-181.662228222904</v>
      </c>
      <c r="I89" s="6"/>
      <c r="J89" s="34">
        <v>1.02781632065345</v>
      </c>
      <c r="K89" s="6"/>
      <c r="L89" s="34" cm="1">
        <f t="array" ref="L89">E89*$J89</f>
        <v>114.974482854163</v>
      </c>
      <c r="M89" s="34" cm="1">
        <f t="array" ref="M89">F89*$J89</f>
        <v>813.575066691482</v>
      </c>
      <c r="N89" s="34" cm="1">
        <f t="array" ref="N89">G89*$J89</f>
        <v>18326.7237826981</v>
      </c>
      <c r="O89" s="34" cm="1">
        <f t="array" ref="O89">H89*$J89</f>
        <v>-186.715403013773</v>
      </c>
      <c r="P89" s="6"/>
      <c r="Q89" s="34">
        <v>235.81</v>
      </c>
      <c r="R89" s="34" cm="1">
        <f t="array" ref="R89">Q89/1000</f>
        <v>0.23581</v>
      </c>
      <c r="S89" s="6"/>
      <c r="T89" s="34" cm="1">
        <f t="array" ref="T89">$R89*L89</f>
        <v>27.1121328018402</v>
      </c>
      <c r="U89" s="34" cm="1">
        <f t="array" ref="U89">$R89*M89</f>
        <v>191.849136476518</v>
      </c>
      <c r="V89" s="34" cm="1">
        <f t="array" ref="V89">$R89*N89</f>
        <v>4321.624735198040</v>
      </c>
      <c r="W89" s="34" cm="1">
        <f t="array" ref="W89">$R89*O89</f>
        <v>-44.0293591846778</v>
      </c>
      <c r="X89" s="6"/>
      <c r="Y89" s="34" cm="1">
        <f t="array" ref="Y89">T89-Y$93-Y$3</f>
        <v>27.0071283290354</v>
      </c>
      <c r="Z89" s="34" cm="1">
        <f t="array" ref="Z89">U89-Z$93-Z$3</f>
        <v>191.739418469414</v>
      </c>
      <c r="AA89" s="34" cm="1">
        <f t="array" ref="AA89">V89-AA$93-AA$3</f>
        <v>4319.673943106710</v>
      </c>
      <c r="AB89" s="34" cm="1">
        <f t="array" ref="AB89">W89-AB$93-AB$3</f>
        <v>-44.2467796659209</v>
      </c>
      <c r="AC89" s="6"/>
      <c r="AD89" s="41">
        <v>0.010209657</v>
      </c>
      <c r="AE89" s="35"/>
      <c r="AF89" s="41" cm="1">
        <f t="array" ref="AF89">Y89/$AD89</f>
        <v>2645.253246904910</v>
      </c>
      <c r="AG89" s="41" cm="1">
        <f t="array" ref="AG89">Z89/$AD89</f>
        <v>18780.2017706779</v>
      </c>
      <c r="AH89" s="41" cm="1">
        <f t="array" ref="AH89">AA89/$AD89</f>
        <v>423096.872216835</v>
      </c>
      <c r="AI89" s="41" cm="1">
        <f t="array" ref="AI89">AB89/$AD89</f>
        <v>-4333.816470614140</v>
      </c>
    </row>
    <row r="90" ht="17" customHeight="1">
      <c r="A90" s="6"/>
      <c r="B90" t="s" s="32">
        <v>100</v>
      </c>
      <c r="C90" s="34">
        <v>2</v>
      </c>
      <c r="D90" t="s" s="32">
        <v>151</v>
      </c>
      <c r="E90" s="37">
        <v>2.58086454717298</v>
      </c>
      <c r="F90" s="38">
        <v>0.7767476063395951</v>
      </c>
      <c r="G90" s="42">
        <v>5.15871045315875</v>
      </c>
      <c r="H90" s="34">
        <v>488.627748484123</v>
      </c>
      <c r="I90" s="6"/>
      <c r="J90" s="34">
        <v>1.0336402873214</v>
      </c>
      <c r="K90" s="6"/>
      <c r="L90" s="34" cm="1">
        <f t="array" ref="L90">E90*$J90</f>
        <v>2.66768557207749</v>
      </c>
      <c r="M90" s="34" cm="1">
        <f t="array" ref="M90">F90*$J90</f>
        <v>0.802877618993069</v>
      </c>
      <c r="N90" s="34" cm="1">
        <f t="array" ref="N90">G90*$J90</f>
        <v>5.33225095501092</v>
      </c>
      <c r="O90" s="34" cm="1">
        <f t="array" ref="O90">H90*$J90</f>
        <v>505.065326336338</v>
      </c>
      <c r="P90" s="6"/>
      <c r="Q90" s="34">
        <v>244.9954</v>
      </c>
      <c r="R90" s="34" cm="1">
        <f t="array" ref="R90">Q90/1000</f>
        <v>0.2449954</v>
      </c>
      <c r="S90" s="6"/>
      <c r="T90" s="34" cm="1">
        <f t="array" ref="T90">$R90*L90</f>
        <v>0.653570693805353</v>
      </c>
      <c r="U90" s="34" cm="1">
        <f t="array" ref="U90">$R90*M90</f>
        <v>0.196701323416255</v>
      </c>
      <c r="V90" s="34" cm="1">
        <f t="array" ref="V90">$R90*N90</f>
        <v>1.30637695562328</v>
      </c>
      <c r="W90" s="34" cm="1">
        <f t="array" ref="W90">$R90*O90</f>
        <v>123.738681651902</v>
      </c>
      <c r="X90" s="6"/>
      <c r="Y90" s="34" cm="1">
        <f t="array" ref="Y90">T90-Y$93-Y$3</f>
        <v>0.548566221000517</v>
      </c>
      <c r="Z90" s="34" cm="1">
        <f t="array" ref="Z90">U90-Z$93-Z$3</f>
        <v>0.086983316312709</v>
      </c>
      <c r="AA90" s="34" cm="1">
        <f t="array" ref="AA90">V90-AA$93-AA$3</f>
        <v>-0.64441513570259</v>
      </c>
      <c r="AB90" s="34" cm="1">
        <f t="array" ref="AB90">W90-AB$93-AB$3</f>
        <v>123.521261170659</v>
      </c>
      <c r="AC90" s="6"/>
      <c r="AD90" s="41">
        <v>0.010209657</v>
      </c>
      <c r="AE90" s="35"/>
      <c r="AF90" s="41" cm="1">
        <f t="array" ref="AF90">Y90/$AD90</f>
        <v>53.7301322660024</v>
      </c>
      <c r="AG90" s="41" cm="1">
        <f t="array" ref="AG90">Z90/$AD90</f>
        <v>8.519709948405611</v>
      </c>
      <c r="AH90" s="41" cm="1">
        <f t="array" ref="AH90">AA90/$AD90</f>
        <v>-63.1181963999956</v>
      </c>
      <c r="AI90" s="41" cm="1">
        <f t="array" ref="AI90">AB90/$AD90</f>
        <v>12098.4731583695</v>
      </c>
    </row>
    <row r="91" ht="17" customHeight="1">
      <c r="A91" s="6"/>
      <c r="B91" t="s" s="32">
        <v>102</v>
      </c>
      <c r="C91" s="34">
        <v>2</v>
      </c>
      <c r="D91" t="s" s="32">
        <v>152</v>
      </c>
      <c r="E91" s="37">
        <v>2.75218140448293</v>
      </c>
      <c r="F91" s="61">
        <v>0.00444367741622345</v>
      </c>
      <c r="G91" s="39">
        <v>3.76316290989714</v>
      </c>
      <c r="H91" s="40">
        <v>254.222622883568</v>
      </c>
      <c r="I91" s="6"/>
      <c r="J91" s="34">
        <v>1.03080582467947</v>
      </c>
      <c r="K91" s="6"/>
      <c r="L91" s="34" cm="1">
        <f t="array" ref="L91">E91*$J91</f>
        <v>2.83696462231553</v>
      </c>
      <c r="M91" s="34" cm="1">
        <f t="array" ref="M91">F91*$J91</f>
        <v>0.00458056856363975</v>
      </c>
      <c r="N91" s="34" cm="1">
        <f t="array" ref="N91">G91*$J91</f>
        <v>3.87909024673972</v>
      </c>
      <c r="O91" s="34" cm="1">
        <f t="array" ref="O91">H91*$J91</f>
        <v>262.054160433674</v>
      </c>
      <c r="P91" s="6"/>
      <c r="Q91" s="34">
        <v>244.8374</v>
      </c>
      <c r="R91" s="34" cm="1">
        <f t="array" ref="R91">Q91/1000</f>
        <v>0.2448374</v>
      </c>
      <c r="S91" s="6"/>
      <c r="T91" s="34" cm="1">
        <f t="array" ref="T91">$R91*L91</f>
        <v>0.694595042019716</v>
      </c>
      <c r="U91" s="34" cm="1">
        <f t="array" ref="U91">$R91*M91</f>
        <v>0.00112149449764329</v>
      </c>
      <c r="V91" s="34" cm="1">
        <f t="array" ref="V91">$R91*N91</f>
        <v>0.949746370377112</v>
      </c>
      <c r="W91" s="34" cm="1">
        <f t="array" ref="W91">$R91*O91</f>
        <v>64.16065929976359</v>
      </c>
      <c r="X91" s="6"/>
      <c r="Y91" s="34" cm="1">
        <f t="array" ref="Y91">T91-Y$93-Y$3</f>
        <v>0.58959056921488</v>
      </c>
      <c r="Z91" s="34" cm="1">
        <f t="array" ref="Z91">U91-Z$93-Z$3</f>
        <v>-0.108596512605903</v>
      </c>
      <c r="AA91" s="34" cm="1">
        <f t="array" ref="AA91">V91-AA$93-AA$3</f>
        <v>-1.00104572094876</v>
      </c>
      <c r="AB91" s="34" cm="1">
        <f t="array" ref="AB91">W91-AB$93-AB$3</f>
        <v>63.9432388185205</v>
      </c>
      <c r="AC91" s="6"/>
      <c r="AD91" s="41">
        <v>0.010209657</v>
      </c>
      <c r="AE91" s="35"/>
      <c r="AF91" s="41" cm="1">
        <f t="array" ref="AF91">Y91/$AD91</f>
        <v>57.7483229078979</v>
      </c>
      <c r="AG91" s="41" cm="1">
        <f t="array" ref="AG91">Z91/$AD91</f>
        <v>-10.6366465206327</v>
      </c>
      <c r="AH91" s="41" cm="1">
        <f t="array" ref="AH91">AA91/$AD91</f>
        <v>-98.0489081022761</v>
      </c>
      <c r="AI91" s="41" cm="1">
        <f t="array" ref="AI91">AB91/$AD91</f>
        <v>6263.015380293430</v>
      </c>
    </row>
    <row r="92" ht="17" customHeight="1">
      <c r="A92" s="6"/>
      <c r="B92" t="s" s="32">
        <v>104</v>
      </c>
      <c r="C92" s="34">
        <v>2</v>
      </c>
      <c r="D92" t="s" s="32">
        <v>153</v>
      </c>
      <c r="E92" s="37">
        <v>3.18649737588065</v>
      </c>
      <c r="F92" s="61">
        <v>0.00444367741622345</v>
      </c>
      <c r="G92" s="42">
        <v>6.92267615662201</v>
      </c>
      <c r="H92" s="34">
        <v>1235.979964349410</v>
      </c>
      <c r="I92" s="6"/>
      <c r="J92" s="34">
        <v>1.02861137125562</v>
      </c>
      <c r="K92" s="6"/>
      <c r="L92" s="34" cm="1">
        <f t="array" ref="L92">E92*$J92</f>
        <v>3.27766743530703</v>
      </c>
      <c r="M92" s="34" cm="1">
        <f t="array" ref="M92">F92*$J92</f>
        <v>0.00457081712051923</v>
      </c>
      <c r="N92" s="34" cm="1">
        <f t="array" ref="N92">G92*$J92</f>
        <v>7.12074341422155</v>
      </c>
      <c r="O92" s="34" cm="1">
        <f t="array" ref="O92">H92*$J92</f>
        <v>1271.343045973920</v>
      </c>
      <c r="P92" s="6"/>
      <c r="Q92" s="34">
        <v>245.7604</v>
      </c>
      <c r="R92" s="34" cm="1">
        <f t="array" ref="R92">Q92/1000</f>
        <v>0.2457604</v>
      </c>
      <c r="S92" s="6"/>
      <c r="T92" s="34" cm="1">
        <f t="array" ref="T92">$R92*L92</f>
        <v>0.80552085996803</v>
      </c>
      <c r="U92" s="34" cm="1">
        <f t="array" ref="U92">$R92*M92</f>
        <v>0.00112332584386565</v>
      </c>
      <c r="V92" s="34" cm="1">
        <f t="array" ref="V92">$R92*N92</f>
        <v>1.74999674977645</v>
      </c>
      <c r="W92" s="34" cm="1">
        <f t="array" ref="W92">$R92*O92</f>
        <v>312.445775515769</v>
      </c>
      <c r="X92" s="6"/>
      <c r="Y92" s="34" cm="1">
        <f t="array" ref="Y92">T92-Y$93-Y$3</f>
        <v>0.700516387163194</v>
      </c>
      <c r="Z92" s="34" cm="1">
        <f t="array" ref="Z92">U92-Z$93-Z$3</f>
        <v>-0.10859468125968</v>
      </c>
      <c r="AA92" s="34" cm="1">
        <f t="array" ref="AA92">V92-AA$93-AA$3</f>
        <v>-0.20079534154942</v>
      </c>
      <c r="AB92" s="34" cm="1">
        <f t="array" ref="AB92">W92-AB$93-AB$3</f>
        <v>312.228355034526</v>
      </c>
      <c r="AC92" s="6"/>
      <c r="AD92" s="41">
        <v>0.010209657</v>
      </c>
      <c r="AE92" s="35"/>
      <c r="AF92" s="41" cm="1">
        <f t="array" ref="AF92">Y92/$AD92</f>
        <v>68.6131166956142</v>
      </c>
      <c r="AG92" s="41" cm="1">
        <f t="array" ref="AG92">Z92/$AD92</f>
        <v>-10.6364671467102</v>
      </c>
      <c r="AH92" s="41" cm="1">
        <f t="array" ref="AH92">AA92/$AD92</f>
        <v>-19.6671975904205</v>
      </c>
      <c r="AI92" s="41" cm="1">
        <f t="array" ref="AI92">AB92/$AD92</f>
        <v>30581.6693973682</v>
      </c>
    </row>
    <row r="93" ht="17" customHeight="1">
      <c r="A93" s="6"/>
      <c r="B93" t="s" s="32">
        <v>106</v>
      </c>
      <c r="C93" s="34">
        <v>2</v>
      </c>
      <c r="D93" t="s" s="32">
        <v>154</v>
      </c>
      <c r="E93" s="37">
        <v>0.404435203366663</v>
      </c>
      <c r="F93" s="61">
        <v>0.00444367741622345</v>
      </c>
      <c r="G93" s="39">
        <v>9.360397996545469</v>
      </c>
      <c r="H93" s="40">
        <v>0.606502032662143</v>
      </c>
      <c r="I93" s="6"/>
      <c r="J93" s="34">
        <v>1.0309071913634</v>
      </c>
      <c r="K93" s="6"/>
      <c r="L93" s="34" cm="1">
        <f t="array" ref="L93">E93*$J93</f>
        <v>0.416935159591212</v>
      </c>
      <c r="M93" s="34" cm="1">
        <f t="array" ref="M93">F93*$J93</f>
        <v>0.00458101900448389</v>
      </c>
      <c r="N93" s="34" cm="1">
        <f t="array" ref="N93">G93*$J93</f>
        <v>9.649701608662291</v>
      </c>
      <c r="O93" s="34" cm="1">
        <f t="array" ref="O93">H93*$J93</f>
        <v>0.625247307047923</v>
      </c>
      <c r="P93" s="6"/>
      <c r="Q93" s="34">
        <v>245.25</v>
      </c>
      <c r="R93" s="34" cm="1">
        <f t="array" ref="R93">Q93/1000</f>
        <v>0.24525</v>
      </c>
      <c r="S93" s="6"/>
      <c r="T93" s="34" cm="1">
        <f t="array" ref="T93">$R93*L93</f>
        <v>0.102253347889745</v>
      </c>
      <c r="U93" s="34" cm="1">
        <f t="array" ref="U93">$R93*M93</f>
        <v>0.00112349491084967</v>
      </c>
      <c r="V93" s="34" cm="1">
        <f t="array" ref="V93">$R93*N93</f>
        <v>2.36658931952443</v>
      </c>
      <c r="W93" s="34" cm="1">
        <f t="array" ref="W93">$R93*O93</f>
        <v>0.153341902053503</v>
      </c>
      <c r="X93" s="6"/>
      <c r="Y93" s="34" cm="1">
        <f t="array" ref="Y93">AVERAGE(T93,T95)</f>
        <v>0.105004472804836</v>
      </c>
      <c r="Z93" s="34" cm="1">
        <f t="array" ref="Z93">AVERAGE(U93:U95)</f>
        <v>0.109718007103546</v>
      </c>
      <c r="AA93" s="34" cm="1">
        <f t="array" ref="AA93">AVERAGE(V93:V95)</f>
        <v>1.95079209132587</v>
      </c>
      <c r="AB93" s="34" cm="1">
        <f t="array" ref="AB93">AVERAGE(W93:W95)</f>
        <v>0.217420481243124</v>
      </c>
      <c r="AC93" s="6"/>
      <c r="AD93" s="41">
        <v>0.010209657</v>
      </c>
      <c r="AE93" s="35"/>
      <c r="AF93" s="41" cm="1">
        <f t="array" ref="AF93">Y93/$AD93</f>
        <v>10.2848188538397</v>
      </c>
      <c r="AG93" s="41" cm="1">
        <f t="array" ref="AG93">Z93/$AD93</f>
        <v>10.7464929628435</v>
      </c>
      <c r="AH93" s="41" cm="1">
        <f t="array" ref="AH93">AA93/$AD93</f>
        <v>191.073225214703</v>
      </c>
      <c r="AI93" s="41" cm="1">
        <f t="array" ref="AI93">AB93/$AD93</f>
        <v>21.295571559664</v>
      </c>
    </row>
    <row r="94" ht="17" customHeight="1">
      <c r="A94" s="6"/>
      <c r="B94" t="s" s="32">
        <v>108</v>
      </c>
      <c r="C94" s="34">
        <v>2</v>
      </c>
      <c r="D94" t="s" s="32">
        <v>155</v>
      </c>
      <c r="E94" s="37">
        <v>0.325950080570853</v>
      </c>
      <c r="F94" s="38">
        <v>1.24987511483156</v>
      </c>
      <c r="G94" s="42">
        <v>8.02476035439326</v>
      </c>
      <c r="H94" s="34">
        <v>0.987308268776805</v>
      </c>
      <c r="I94" s="6"/>
      <c r="J94" s="34">
        <v>1.02989770723104</v>
      </c>
      <c r="K94" s="6"/>
      <c r="L94" s="34" cm="1">
        <f t="array" ref="L94">E94*$J94</f>
        <v>0.335695240651694</v>
      </c>
      <c r="M94" s="34" cm="1">
        <f t="array" ref="M94">F94*$J94</f>
        <v>1.28724351509016</v>
      </c>
      <c r="N94" s="34" cm="1">
        <f t="array" ref="N94">G94*$J94</f>
        <v>8.264682290068169</v>
      </c>
      <c r="O94" s="34" cm="1">
        <f t="array" ref="O94">H94*$J94</f>
        <v>1.01682652234348</v>
      </c>
      <c r="P94" s="6"/>
      <c r="Q94" s="34">
        <v>253.97</v>
      </c>
      <c r="R94" s="34" cm="1">
        <f t="array" ref="R94">Q94/1000</f>
        <v>0.25397</v>
      </c>
      <c r="S94" s="6"/>
      <c r="T94" s="34" cm="1">
        <f t="array" ref="T94">$R94*L94</f>
        <v>0.0852565202683107</v>
      </c>
      <c r="U94" s="34" cm="1">
        <f t="array" ref="U94">$R94*M94</f>
        <v>0.326921235527448</v>
      </c>
      <c r="V94" s="34" cm="1">
        <f t="array" ref="V94">$R94*N94</f>
        <v>2.09898136120861</v>
      </c>
      <c r="W94" s="34" cm="1">
        <f t="array" ref="W94">$R94*O94</f>
        <v>0.258243431879574</v>
      </c>
      <c r="X94" s="6"/>
      <c r="Y94" s="6"/>
      <c r="Z94" s="6"/>
      <c r="AA94" s="6"/>
      <c r="AB94" s="6"/>
      <c r="AC94" s="6"/>
      <c r="AD94" s="41">
        <v>0.010209657</v>
      </c>
      <c r="AE94" s="35"/>
      <c r="AF94" s="41" cm="1">
        <f t="array" ref="AF94">Y94/$AD94</f>
        <v>0</v>
      </c>
      <c r="AG94" s="41" cm="1">
        <f t="array" ref="AG94">Z94/$AD94</f>
        <v>0</v>
      </c>
      <c r="AH94" s="41" cm="1">
        <f t="array" ref="AH94">AA94/$AD94</f>
        <v>0</v>
      </c>
      <c r="AI94" s="41" cm="1">
        <f t="array" ref="AI94">AB94/$AD94</f>
        <v>0</v>
      </c>
    </row>
    <row r="95" ht="17" customHeight="1">
      <c r="A95" s="5"/>
      <c r="B95" t="s" s="8">
        <v>110</v>
      </c>
      <c r="C95" s="44">
        <v>2</v>
      </c>
      <c r="D95" t="s" s="8">
        <v>156</v>
      </c>
      <c r="E95" s="48">
        <v>0.431655148347265</v>
      </c>
      <c r="F95" s="61">
        <v>0.00444367741622345</v>
      </c>
      <c r="G95" s="39">
        <v>5.5553659090335</v>
      </c>
      <c r="H95" s="49">
        <v>0.9641177263735879</v>
      </c>
      <c r="I95" s="5"/>
      <c r="J95" s="50">
        <v>1.03081937633689</v>
      </c>
      <c r="K95" s="5"/>
      <c r="L95" s="50" cm="1">
        <f t="array" ref="L95">E95*$J95</f>
        <v>0.444958490811935</v>
      </c>
      <c r="M95" s="50" cm="1">
        <f t="array" ref="M95">F95*$J95</f>
        <v>0.00458062878283378</v>
      </c>
      <c r="N95" s="50" cm="1">
        <f t="array" ref="N95">G95*$J95</f>
        <v>5.72657882167313</v>
      </c>
      <c r="O95" s="50" cm="1">
        <f t="array" ref="O95">H95*$J95</f>
        <v>0.993831233415762</v>
      </c>
      <c r="P95" s="5"/>
      <c r="Q95" s="44">
        <v>242.17</v>
      </c>
      <c r="R95" s="50" cm="1">
        <f t="array" ref="R95">Q95/1000</f>
        <v>0.24217</v>
      </c>
      <c r="S95" s="5"/>
      <c r="T95" s="50" cm="1">
        <f t="array" ref="T95">$R95*L95</f>
        <v>0.107755597719926</v>
      </c>
      <c r="U95" s="50" cm="1">
        <f t="array" ref="U95">$R95*M95</f>
        <v>0.00110929087233886</v>
      </c>
      <c r="V95" s="50" cm="1">
        <f t="array" ref="V95">$R95*N95</f>
        <v>1.38680559324458</v>
      </c>
      <c r="W95" s="50" cm="1">
        <f t="array" ref="W95">$R95*O95</f>
        <v>0.240676109796295</v>
      </c>
      <c r="X95" s="5"/>
      <c r="Y95" s="5"/>
      <c r="Z95" s="5"/>
      <c r="AA95" s="5"/>
      <c r="AB95" s="5"/>
      <c r="AC95" s="5"/>
      <c r="AD95" s="73">
        <v>0.010209657</v>
      </c>
      <c r="AE95" s="11"/>
      <c r="AF95" s="73" cm="1">
        <f t="array" ref="AF95">Y95/$AD95</f>
        <v>0</v>
      </c>
      <c r="AG95" s="73" cm="1">
        <f t="array" ref="AG95">Z95/$AD95</f>
        <v>0</v>
      </c>
      <c r="AH95" s="73" cm="1">
        <f t="array" ref="AH95">AA95/$AD95</f>
        <v>0</v>
      </c>
      <c r="AI95" s="73" cm="1">
        <f t="array" ref="AI95">AB95/$AD95</f>
        <v>0</v>
      </c>
    </row>
    <row r="96" ht="17" customHeight="1">
      <c r="A96" s="45">
        <v>4</v>
      </c>
      <c r="B96" t="s" s="25">
        <v>22</v>
      </c>
      <c r="C96" s="45">
        <v>4</v>
      </c>
      <c r="D96" t="s" s="62">
        <v>157</v>
      </c>
      <c r="E96" s="54">
        <v>261.673960190001</v>
      </c>
      <c r="F96" s="38">
        <v>2330.464113575690</v>
      </c>
      <c r="G96" s="39">
        <v>16528.8510267898</v>
      </c>
      <c r="H96" s="55">
        <v>87.268021172304</v>
      </c>
      <c r="I96" s="26"/>
      <c r="J96" s="56">
        <v>1.05847321478034</v>
      </c>
      <c r="K96" s="26"/>
      <c r="L96" s="56" cm="1">
        <f t="array" ref="L96">E96*$J96</f>
        <v>276.974877866613</v>
      </c>
      <c r="M96" s="56" cm="1">
        <f t="array" ref="M96">F96*$J96</f>
        <v>2466.733842226680</v>
      </c>
      <c r="N96" s="56" cm="1">
        <f t="array" ref="N96">G96*$J96</f>
        <v>17495.3460829515</v>
      </c>
      <c r="O96" s="56" cm="1">
        <f t="array" ref="O96">H96*$J96</f>
        <v>92.3708629177674</v>
      </c>
      <c r="P96" s="26"/>
      <c r="Q96" s="45">
        <v>231.021</v>
      </c>
      <c r="R96" s="56" cm="1">
        <f t="array" ref="R96">Q96/1000</f>
        <v>0.231021</v>
      </c>
      <c r="S96" s="26"/>
      <c r="T96" s="56" cm="1">
        <f t="array" ref="T96">$R96*L96</f>
        <v>63.9870132596228</v>
      </c>
      <c r="U96" s="56" cm="1">
        <f t="array" ref="U96">$R96*M96</f>
        <v>569.867318965050</v>
      </c>
      <c r="V96" s="56" cm="1">
        <f t="array" ref="V96">$R96*N96</f>
        <v>4041.792347429540</v>
      </c>
      <c r="W96" s="56" cm="1">
        <f t="array" ref="W96">$R96*O96</f>
        <v>21.3396091221255</v>
      </c>
      <c r="X96" s="26"/>
      <c r="Y96" s="45" cm="1">
        <f t="array" ref="Y96">T96-Y$102-Y$3</f>
        <v>54.6953309195113</v>
      </c>
      <c r="Z96" s="45" cm="1">
        <f t="array" ref="Z96">U96-Z$102-Z$3</f>
        <v>554.1057763346309</v>
      </c>
      <c r="AA96" s="45" cm="1">
        <f t="array" ref="AA96">V96-AA$102-AA$3</f>
        <v>4037.077839464110</v>
      </c>
      <c r="AB96" s="45" cm="1">
        <f t="array" ref="AB96">W96-AB$102-AB$3</f>
        <v>26.7780357555756</v>
      </c>
      <c r="AC96" s="26"/>
      <c r="AD96" s="74">
        <v>0.010209657</v>
      </c>
      <c r="AE96" s="58"/>
      <c r="AF96" s="59" cm="1">
        <f t="array" ref="AF96">Y96/$AD96</f>
        <v>5357.215322660820</v>
      </c>
      <c r="AG96" s="75" cm="1">
        <f t="array" ref="AG96">Z96/$AD96</f>
        <v>54272.712230649</v>
      </c>
      <c r="AH96" s="75" cm="1">
        <f t="array" ref="AH96">AA96/$AD96</f>
        <v>395417.577638907</v>
      </c>
      <c r="AI96" s="59" cm="1">
        <f t="array" ref="AI96">AB96/$AD96</f>
        <v>2622.814434958550</v>
      </c>
    </row>
    <row r="97" ht="17" customHeight="1">
      <c r="A97" s="6"/>
      <c r="B97" t="s" s="32">
        <v>24</v>
      </c>
      <c r="C97" s="34">
        <v>4</v>
      </c>
      <c r="D97" t="s" s="63">
        <v>158</v>
      </c>
      <c r="E97" s="37">
        <v>440.765563260591</v>
      </c>
      <c r="F97" s="38">
        <v>166.225729418681</v>
      </c>
      <c r="G97" s="42">
        <v>16429.7424715228</v>
      </c>
      <c r="H97" s="34">
        <v>-37.9140675383087</v>
      </c>
      <c r="I97" s="6"/>
      <c r="J97" s="34">
        <v>1.04051682576415</v>
      </c>
      <c r="K97" s="6"/>
      <c r="L97" s="34" cm="1">
        <f t="array" ref="L97">E97*$J97</f>
        <v>458.623984790058</v>
      </c>
      <c r="M97" s="34" cm="1">
        <f t="array" ref="M97">F97*$J97</f>
        <v>172.960668335056</v>
      </c>
      <c r="N97" s="34" cm="1">
        <f t="array" ref="N97">G97*$J97</f>
        <v>17095.4234845913</v>
      </c>
      <c r="O97" s="34" cm="1">
        <f t="array" ref="O97">H97*$J97</f>
        <v>-39.4502252067686</v>
      </c>
      <c r="P97" s="6"/>
      <c r="Q97" s="34">
        <v>226.5376</v>
      </c>
      <c r="R97" s="34" cm="1">
        <f t="array" ref="R97">Q97/1000</f>
        <v>0.2265376</v>
      </c>
      <c r="S97" s="6"/>
      <c r="T97" s="34" cm="1">
        <f t="array" ref="T97">$R97*L97</f>
        <v>103.895576816776</v>
      </c>
      <c r="U97" s="34" cm="1">
        <f t="array" ref="U97">$R97*M97</f>
        <v>39.1820946990196</v>
      </c>
      <c r="V97" s="34" cm="1">
        <f t="array" ref="V97">$R97*N97</f>
        <v>3872.756207182950</v>
      </c>
      <c r="W97" s="34" cm="1">
        <f t="array" ref="W97">$R97*O97</f>
        <v>-8.936959337800859</v>
      </c>
      <c r="X97" s="6"/>
      <c r="Y97" s="34" cm="1">
        <f t="array" ref="Y97">T97-Y$102-Y$3</f>
        <v>94.60389447666449</v>
      </c>
      <c r="Z97" s="34" cm="1">
        <f t="array" ref="Z97">U97-Z$102-Z$3</f>
        <v>23.4205520686002</v>
      </c>
      <c r="AA97" s="34" cm="1">
        <f t="array" ref="AA97">V97-AA$102-AA$3</f>
        <v>3868.041699217520</v>
      </c>
      <c r="AB97" s="34" cm="1">
        <f t="array" ref="AB97">W97-AB$102-AB$3</f>
        <v>-3.4985327043508</v>
      </c>
      <c r="AC97" s="6"/>
      <c r="AD97" s="41">
        <v>0.010209657</v>
      </c>
      <c r="AE97" s="35"/>
      <c r="AF97" s="41" cm="1">
        <f t="array" ref="AF97">Y97/$AD97</f>
        <v>9266.118781136771</v>
      </c>
      <c r="AG97" s="41" cm="1">
        <f t="array" ref="AG97">Z97/$AD97</f>
        <v>2293.960714703760</v>
      </c>
      <c r="AH97" s="41" cm="1">
        <f t="array" ref="AH97">AA97/$AD97</f>
        <v>378861.082132095</v>
      </c>
      <c r="AI97" s="41" cm="1">
        <f t="array" ref="AI97">AB97/$AD97</f>
        <v>-342.668975495533</v>
      </c>
    </row>
    <row r="98" ht="17" customHeight="1">
      <c r="A98" s="6"/>
      <c r="B98" t="s" s="32">
        <v>26</v>
      </c>
      <c r="C98" s="34">
        <v>4</v>
      </c>
      <c r="D98" t="s" s="63">
        <v>159</v>
      </c>
      <c r="E98" s="37">
        <v>3.38973484337798</v>
      </c>
      <c r="F98" s="38">
        <v>155.638900742977</v>
      </c>
      <c r="G98" s="39">
        <v>17768.8637763003</v>
      </c>
      <c r="H98" s="40">
        <v>-8.34959955170393</v>
      </c>
      <c r="I98" s="6"/>
      <c r="J98" s="34">
        <v>1.03974036296198</v>
      </c>
      <c r="K98" s="6"/>
      <c r="L98" s="34" cm="1">
        <f t="array" ref="L98">E98*$J98</f>
        <v>3.52444413639869</v>
      </c>
      <c r="M98" s="34" cm="1">
        <f t="array" ref="M98">F98*$J98</f>
        <v>161.824047149506</v>
      </c>
      <c r="N98" s="34" cm="1">
        <f t="array" ref="N98">G98*$J98</f>
        <v>18475.0048721925</v>
      </c>
      <c r="O98" s="34" cm="1">
        <f t="array" ref="O98">H98*$J98</f>
        <v>-8.681415668475831</v>
      </c>
      <c r="P98" s="6"/>
      <c r="Q98" s="34">
        <v>127.1058</v>
      </c>
      <c r="R98" s="34" cm="1">
        <f t="array" ref="R98">Q98/1000</f>
        <v>0.1271058</v>
      </c>
      <c r="S98" s="6"/>
      <c r="T98" s="34" cm="1">
        <f t="array" ref="T98">$R98*L98</f>
        <v>0.447977291512265</v>
      </c>
      <c r="U98" s="34" cm="1">
        <f t="array" ref="U98">$R98*M98</f>
        <v>20.5687749721757</v>
      </c>
      <c r="V98" s="34" cm="1">
        <f t="array" ref="V98">$R98*N98</f>
        <v>2348.280274283930</v>
      </c>
      <c r="W98" s="34" cm="1">
        <f t="array" ref="W98">$R98*O98</f>
        <v>-1.10345828367416</v>
      </c>
      <c r="X98" s="6"/>
      <c r="Y98" s="34" cm="1">
        <f t="array" ref="Y98">T98-Y$102-Y$3</f>
        <v>-8.84370504859924</v>
      </c>
      <c r="Z98" s="34" cm="1">
        <f t="array" ref="Z98">U98-Z$102-Z$3</f>
        <v>4.8072323417563</v>
      </c>
      <c r="AA98" s="34" cm="1">
        <f t="array" ref="AA98">V98-AA$102-AA$3</f>
        <v>2343.5657663185</v>
      </c>
      <c r="AB98" s="34" cm="1">
        <f t="array" ref="AB98">W98-AB$102-AB$3</f>
        <v>4.3349683497759</v>
      </c>
      <c r="AC98" s="6"/>
      <c r="AD98" s="41">
        <v>0.010209657</v>
      </c>
      <c r="AE98" s="35"/>
      <c r="AF98" s="41" cm="1">
        <f t="array" ref="AF98">Y98/$AD98</f>
        <v>-866.209809849561</v>
      </c>
      <c r="AG98" s="41" cm="1">
        <f t="array" ref="AG98">Z98/$AD98</f>
        <v>470.851502822896</v>
      </c>
      <c r="AH98" s="41" cm="1">
        <f t="array" ref="AH98">AA98/$AD98</f>
        <v>229544.025457319</v>
      </c>
      <c r="AI98" s="41" cm="1">
        <f t="array" ref="AI98">AB98/$AD98</f>
        <v>424.594905565966</v>
      </c>
    </row>
    <row r="99" ht="17" customHeight="1">
      <c r="A99" s="6"/>
      <c r="B99" t="s" s="32">
        <v>28</v>
      </c>
      <c r="C99" s="34">
        <v>4</v>
      </c>
      <c r="D99" t="s" s="63">
        <v>160</v>
      </c>
      <c r="E99" s="37">
        <v>13.459446708656</v>
      </c>
      <c r="F99" s="38">
        <v>13.3169339010655</v>
      </c>
      <c r="G99" s="39">
        <v>18.1945373024958</v>
      </c>
      <c r="H99" s="40">
        <v>1562.562266429040</v>
      </c>
      <c r="I99" s="6"/>
      <c r="J99" s="34">
        <v>1.04103705439069</v>
      </c>
      <c r="K99" s="6"/>
      <c r="L99" s="34" cm="1">
        <f t="array" ref="L99">E99*$J99</f>
        <v>14.0117827553077</v>
      </c>
      <c r="M99" s="34" cm="1">
        <f t="array" ref="M99">F99*$J99</f>
        <v>13.8634216418807</v>
      </c>
      <c r="N99" s="34" cm="1">
        <f t="array" ref="N99">G99*$J99</f>
        <v>18.9411875193918</v>
      </c>
      <c r="O99" s="34" cm="1">
        <f t="array" ref="O99">H99*$J99</f>
        <v>1626.685219145330</v>
      </c>
      <c r="P99" s="6"/>
      <c r="Q99" s="34">
        <v>227.027</v>
      </c>
      <c r="R99" s="34" cm="1">
        <f t="array" ref="R99">Q99/1000</f>
        <v>0.227027</v>
      </c>
      <c r="S99" s="6"/>
      <c r="T99" s="34" cm="1">
        <f t="array" ref="T99">$R99*L99</f>
        <v>3.18105300358924</v>
      </c>
      <c r="U99" s="34" cm="1">
        <f t="array" ref="U99">$R99*M99</f>
        <v>3.14737102509125</v>
      </c>
      <c r="V99" s="34" cm="1">
        <f t="array" ref="V99">$R99*N99</f>
        <v>4.30016097896496</v>
      </c>
      <c r="W99" s="34" cm="1">
        <f t="array" ref="W99">$R99*O99</f>
        <v>369.301465246907</v>
      </c>
      <c r="X99" s="6"/>
      <c r="Y99" s="34" cm="1">
        <f t="array" ref="Y99">T99-Y$102-Y$3</f>
        <v>-6.11062933652226</v>
      </c>
      <c r="Z99" s="34" cm="1">
        <f t="array" ref="Z99">U99-Z$102-Z$3</f>
        <v>-12.6141716053282</v>
      </c>
      <c r="AA99" s="34" cm="1">
        <f t="array" ref="AA99">V99-AA$102-AA$3</f>
        <v>-0.41434698646229</v>
      </c>
      <c r="AB99" s="34" cm="1">
        <f t="array" ref="AB99">W99-AB$102-AB$3</f>
        <v>374.739891880357</v>
      </c>
      <c r="AC99" s="6"/>
      <c r="AD99" s="41">
        <v>0.010209657</v>
      </c>
      <c r="AE99" s="35"/>
      <c r="AF99" s="41" cm="1">
        <f t="array" ref="AF99">Y99/$AD99</f>
        <v>-598.514654950921</v>
      </c>
      <c r="AG99" s="41" cm="1">
        <f t="array" ref="AG99">Z99/$AD99</f>
        <v>-1235.513749906410</v>
      </c>
      <c r="AH99" s="41" cm="1">
        <f t="array" ref="AH99">AA99/$AD99</f>
        <v>-40.5838302366367</v>
      </c>
      <c r="AI99" s="41" cm="1">
        <f t="array" ref="AI99">AB99/$AD99</f>
        <v>36704.4546041416</v>
      </c>
    </row>
    <row r="100" ht="17" customHeight="1">
      <c r="A100" s="6"/>
      <c r="B100" t="s" s="32">
        <v>30</v>
      </c>
      <c r="C100" s="34">
        <v>4</v>
      </c>
      <c r="D100" t="s" s="63">
        <v>161</v>
      </c>
      <c r="E100" s="37">
        <v>49.6693301468738</v>
      </c>
      <c r="F100" s="38">
        <v>28.7905899964658</v>
      </c>
      <c r="G100" s="39">
        <v>16.518097917719</v>
      </c>
      <c r="H100" s="40">
        <v>1537.877764348520</v>
      </c>
      <c r="I100" s="6"/>
      <c r="J100" s="34">
        <v>1.03082343229458</v>
      </c>
      <c r="K100" s="6"/>
      <c r="L100" s="34" cm="1">
        <f t="array" ref="L100">E100*$J100</f>
        <v>51.2003093817731</v>
      </c>
      <c r="M100" s="34" cm="1">
        <f t="array" ref="M100">F100*$J100</f>
        <v>29.6780147979429</v>
      </c>
      <c r="N100" s="34" cm="1">
        <f t="array" ref="N100">G100*$J100</f>
        <v>17.0272423905211</v>
      </c>
      <c r="O100" s="34" cm="1">
        <f t="array" ref="O100">H100*$J100</f>
        <v>1585.280435495260</v>
      </c>
      <c r="P100" s="6"/>
      <c r="Q100" s="34">
        <v>224.358</v>
      </c>
      <c r="R100" s="34" cm="1">
        <f t="array" ref="R100">Q100/1000</f>
        <v>0.224358</v>
      </c>
      <c r="S100" s="6"/>
      <c r="T100" s="34" cm="1">
        <f t="array" ref="T100">$R100*L100</f>
        <v>11.4871990122758</v>
      </c>
      <c r="U100" s="34" cm="1">
        <f t="array" ref="U100">$R100*M100</f>
        <v>6.65850004403687</v>
      </c>
      <c r="V100" s="34" cm="1">
        <f t="array" ref="V100">$R100*N100</f>
        <v>3.82019804825253</v>
      </c>
      <c r="W100" s="34" cm="1">
        <f t="array" ref="W100">$R100*O100</f>
        <v>355.670347946846</v>
      </c>
      <c r="X100" s="6"/>
      <c r="Y100" s="34" cm="1">
        <f t="array" ref="Y100">T100-Y$102-Y$3</f>
        <v>2.1955166721643</v>
      </c>
      <c r="Z100" s="34" cm="1">
        <f t="array" ref="Z100">U100-Z$102-Z$3</f>
        <v>-9.10304258638253</v>
      </c>
      <c r="AA100" s="34" cm="1">
        <f t="array" ref="AA100">V100-AA$102-AA$3</f>
        <v>-0.89430991717472</v>
      </c>
      <c r="AB100" s="34" cm="1">
        <f t="array" ref="AB100">W100-AB$102-AB$3</f>
        <v>361.108774580296</v>
      </c>
      <c r="AC100" s="6"/>
      <c r="AD100" s="41">
        <v>0.010209657</v>
      </c>
      <c r="AE100" s="35"/>
      <c r="AF100" s="41" cm="1">
        <f t="array" ref="AF100">Y100/$AD100</f>
        <v>215.043137312478</v>
      </c>
      <c r="AG100" s="41" cm="1">
        <f t="array" ref="AG100">Z100/$AD100</f>
        <v>-891.611009692346</v>
      </c>
      <c r="AH100" s="41" cm="1">
        <f t="array" ref="AH100">AA100/$AD100</f>
        <v>-87.59451146837939</v>
      </c>
      <c r="AI100" s="41" cm="1">
        <f t="array" ref="AI100">AB100/$AD100</f>
        <v>35369.3345996145</v>
      </c>
    </row>
    <row r="101" ht="17" customHeight="1">
      <c r="A101" s="6"/>
      <c r="B101" t="s" s="32">
        <v>32</v>
      </c>
      <c r="C101" s="34">
        <v>4</v>
      </c>
      <c r="D101" t="s" s="63">
        <v>162</v>
      </c>
      <c r="E101" s="37">
        <v>57.0909124413421</v>
      </c>
      <c r="F101" s="38">
        <v>10.8614655732941</v>
      </c>
      <c r="G101" s="42">
        <v>15.2463513875684</v>
      </c>
      <c r="H101" s="34">
        <v>1478.116534159260</v>
      </c>
      <c r="I101" s="6"/>
      <c r="J101" s="34">
        <v>1.03098546324946</v>
      </c>
      <c r="K101" s="6"/>
      <c r="L101" s="34" cm="1">
        <f t="array" ref="L101">E101*$J101</f>
        <v>58.8599008106714</v>
      </c>
      <c r="M101" s="34" cm="1">
        <f t="array" ref="M101">F101*$J101</f>
        <v>11.1980131156507</v>
      </c>
      <c r="N101" s="34" cm="1">
        <f t="array" ref="N101">G101*$J101</f>
        <v>15.7187666481763</v>
      </c>
      <c r="O101" s="34" cm="1">
        <f t="array" ref="O101">H101*$J101</f>
        <v>1523.916659706870</v>
      </c>
      <c r="P101" s="6"/>
      <c r="Q101" s="34">
        <v>228.095</v>
      </c>
      <c r="R101" s="34" cm="1">
        <f t="array" ref="R101">Q101/1000</f>
        <v>0.228095</v>
      </c>
      <c r="S101" s="6"/>
      <c r="T101" s="34" cm="1">
        <f t="array" ref="T101">$R101*L101</f>
        <v>13.4256490754101</v>
      </c>
      <c r="U101" s="34" cm="1">
        <f t="array" ref="U101">$R101*M101</f>
        <v>2.55421080161435</v>
      </c>
      <c r="V101" s="34" cm="1">
        <f t="array" ref="V101">$R101*N101</f>
        <v>3.58537207861577</v>
      </c>
      <c r="W101" s="34" cm="1">
        <f t="array" ref="W101">$R101*O101</f>
        <v>347.597770495839</v>
      </c>
      <c r="X101" s="6"/>
      <c r="Y101" s="34" cm="1">
        <f t="array" ref="Y101">T101-Y$102-Y$3</f>
        <v>4.1339667352986</v>
      </c>
      <c r="Z101" s="34" cm="1">
        <f t="array" ref="Z101">U101-Z$102-Z$3</f>
        <v>-13.2073318288051</v>
      </c>
      <c r="AA101" s="34" cm="1">
        <f t="array" ref="AA101">V101-AA$102-AA$3</f>
        <v>-1.12913588681148</v>
      </c>
      <c r="AB101" s="34" cm="1">
        <f t="array" ref="AB101">W101-AB$102-AB$3</f>
        <v>353.036197129289</v>
      </c>
      <c r="AC101" s="6"/>
      <c r="AD101" s="41">
        <v>0.010209657</v>
      </c>
      <c r="AE101" s="35"/>
      <c r="AF101" s="41" cm="1">
        <f t="array" ref="AF101">Y101/$AD101</f>
        <v>404.907504267636</v>
      </c>
      <c r="AG101" s="41" cm="1">
        <f t="array" ref="AG101">Z101/$AD101</f>
        <v>-1293.611707896270</v>
      </c>
      <c r="AH101" s="41" cm="1">
        <f t="array" ref="AH101">AA101/$AD101</f>
        <v>-110.594889408281</v>
      </c>
      <c r="AI101" s="41" cm="1">
        <f t="array" ref="AI101">AB101/$AD101</f>
        <v>34578.6540262116</v>
      </c>
    </row>
    <row r="102" ht="17" customHeight="1">
      <c r="A102" s="6"/>
      <c r="B102" t="s" s="32">
        <v>34</v>
      </c>
      <c r="C102" s="34">
        <v>4</v>
      </c>
      <c r="D102" t="s" s="63">
        <v>163</v>
      </c>
      <c r="E102" s="37">
        <v>7.24882421592602</v>
      </c>
      <c r="F102" s="38">
        <v>85.3437510062334</v>
      </c>
      <c r="G102" s="39">
        <v>16.1455358320693</v>
      </c>
      <c r="H102" s="40">
        <v>-22.6115683938234</v>
      </c>
      <c r="I102" s="6"/>
      <c r="J102" s="34">
        <v>1.03273226804775</v>
      </c>
      <c r="K102" s="6"/>
      <c r="L102" s="34" cm="1">
        <f t="array" ref="L102">E102*$J102</f>
        <v>7.48609467319273</v>
      </c>
      <c r="M102" s="34" cm="1">
        <f t="array" ref="M102">F102*$J102</f>
        <v>88.1372455403699</v>
      </c>
      <c r="N102" s="34" cm="1">
        <f t="array" ref="N102">G102*$J102</f>
        <v>16.6740158386991</v>
      </c>
      <c r="O102" s="34" cm="1">
        <f t="array" ref="O102">H102*$J102</f>
        <v>-23.3516963114701</v>
      </c>
      <c r="P102" s="6"/>
      <c r="Q102" s="34">
        <v>225.45</v>
      </c>
      <c r="R102" s="34" cm="1">
        <f t="array" ref="R102">Q102/1000</f>
        <v>0.22545</v>
      </c>
      <c r="S102" s="6"/>
      <c r="T102" s="34" cm="1">
        <f t="array" ref="T102">$R102*L102</f>
        <v>1.6877400440713</v>
      </c>
      <c r="U102" s="34" cm="1">
        <f t="array" ref="U102">$R102*M102</f>
        <v>19.8705420070764</v>
      </c>
      <c r="V102" s="34" cm="1">
        <f t="array" ref="V102">$R102*N102</f>
        <v>3.75915687083471</v>
      </c>
      <c r="W102" s="34" cm="1">
        <f t="array" ref="W102">$R102*O102</f>
        <v>-5.26463993342093</v>
      </c>
      <c r="X102" s="6"/>
      <c r="Y102" s="34" cm="1">
        <f t="array" ref="Y102">AVERAGE(T102:T104)</f>
        <v>9.2916823401115</v>
      </c>
      <c r="Z102" s="34" cm="1">
        <f t="array" ref="Z102">AVERAGE(U102:U104)</f>
        <v>15.7615426304194</v>
      </c>
      <c r="AA102" s="34" cm="1">
        <f t="array" ref="AA102">AVERAGE(V102:V104)</f>
        <v>4.71450796542725</v>
      </c>
      <c r="AB102" s="34" cm="1">
        <f t="array" ref="AB102">AVERAGE(W102:W104)</f>
        <v>-5.43842663345006</v>
      </c>
      <c r="AC102" s="6"/>
      <c r="AD102" s="41">
        <v>0.010209657</v>
      </c>
      <c r="AE102" s="35"/>
      <c r="AF102" s="41" cm="1">
        <f t="array" ref="AF102">Y102/$AD102</f>
        <v>910.087610201939</v>
      </c>
      <c r="AG102" s="41" cm="1">
        <f t="array" ref="AG102">Z102/$AD102</f>
        <v>1543.787673809160</v>
      </c>
      <c r="AH102" s="41" cm="1">
        <f t="array" ref="AH102">AA102/$AD102</f>
        <v>461.769476234828</v>
      </c>
      <c r="AI102" s="41" cm="1">
        <f t="array" ref="AI102">AB102/$AD102</f>
        <v>-532.674764044479</v>
      </c>
    </row>
    <row r="103" ht="17" customHeight="1">
      <c r="A103" s="6"/>
      <c r="B103" t="s" s="32">
        <v>36</v>
      </c>
      <c r="C103" s="34">
        <v>4</v>
      </c>
      <c r="D103" t="s" s="63">
        <v>164</v>
      </c>
      <c r="E103" s="37">
        <v>30.1546620680649</v>
      </c>
      <c r="F103" s="38">
        <v>58.8374182954962</v>
      </c>
      <c r="G103" s="42">
        <v>31.2858721702201</v>
      </c>
      <c r="H103" s="34">
        <v>-24.3162963974846</v>
      </c>
      <c r="I103" s="6"/>
      <c r="J103" s="34">
        <v>1.03688831780705</v>
      </c>
      <c r="K103" s="6"/>
      <c r="L103" s="34" cm="1">
        <f t="array" ref="L103">E103*$J103</f>
        <v>31.2670168257959</v>
      </c>
      <c r="M103" s="34" cm="1">
        <f t="array" ref="M103">F103*$J103</f>
        <v>61.0078316805268</v>
      </c>
      <c r="N103" s="34" cm="1">
        <f t="array" ref="N103">G103*$J103</f>
        <v>32.4399553657059</v>
      </c>
      <c r="O103" s="34" cm="1">
        <f t="array" ref="O103">H103*$J103</f>
        <v>-25.2132836668854</v>
      </c>
      <c r="P103" s="6"/>
      <c r="Q103" s="34">
        <v>224.02</v>
      </c>
      <c r="R103" s="34" cm="1">
        <f t="array" ref="R103">Q103/1000</f>
        <v>0.22402</v>
      </c>
      <c r="S103" s="6"/>
      <c r="T103" s="34" cm="1">
        <f t="array" ref="T103">$R103*L103</f>
        <v>7.0044371093148</v>
      </c>
      <c r="U103" s="34" cm="1">
        <f t="array" ref="U103">$R103*M103</f>
        <v>13.6669744530716</v>
      </c>
      <c r="V103" s="34" cm="1">
        <f t="array" ref="V103">$R103*N103</f>
        <v>7.26719880102544</v>
      </c>
      <c r="W103" s="34" cm="1">
        <f t="array" ref="W103">$R103*O103</f>
        <v>-5.64827980705567</v>
      </c>
      <c r="X103" s="6"/>
      <c r="Y103" s="6"/>
      <c r="Z103" s="6"/>
      <c r="AA103" s="6"/>
      <c r="AB103" s="6"/>
      <c r="AC103" s="6"/>
      <c r="AD103" s="41">
        <v>0.010209657</v>
      </c>
      <c r="AE103" s="35"/>
      <c r="AF103" s="41" cm="1">
        <f t="array" ref="AF103">Y103/$AD103</f>
        <v>0</v>
      </c>
      <c r="AG103" s="41" cm="1">
        <f t="array" ref="AG103">Z103/$AD103</f>
        <v>0</v>
      </c>
      <c r="AH103" s="41" cm="1">
        <f t="array" ref="AH103">AA103/$AD103</f>
        <v>0</v>
      </c>
      <c r="AI103" s="41" cm="1">
        <f t="array" ref="AI103">AB103/$AD103</f>
        <v>0</v>
      </c>
    </row>
    <row r="104" ht="17" customHeight="1">
      <c r="A104" s="6"/>
      <c r="B104" t="s" s="32">
        <v>38</v>
      </c>
      <c r="C104" s="34">
        <v>4</v>
      </c>
      <c r="D104" t="s" s="63">
        <v>165</v>
      </c>
      <c r="E104" s="37">
        <v>81.9877100160342</v>
      </c>
      <c r="F104" s="38">
        <v>58.755243265968</v>
      </c>
      <c r="G104" s="39">
        <v>13.3227971741295</v>
      </c>
      <c r="H104" s="40">
        <v>-23.0897223023465</v>
      </c>
      <c r="I104" s="6"/>
      <c r="J104" s="34">
        <v>1.0355056636359</v>
      </c>
      <c r="K104" s="6"/>
      <c r="L104" s="34" cm="1">
        <f t="array" ref="L104">E104*$J104</f>
        <v>84.89873807014121</v>
      </c>
      <c r="M104" s="34" cm="1">
        <f t="array" ref="M104">F104*$J104</f>
        <v>60.8413871702149</v>
      </c>
      <c r="N104" s="34" cm="1">
        <f t="array" ref="N104">G104*$J104</f>
        <v>13.7958319292835</v>
      </c>
      <c r="O104" s="34" cm="1">
        <f t="array" ref="O104">H104*$J104</f>
        <v>-23.909538215860</v>
      </c>
      <c r="P104" s="6"/>
      <c r="Q104" s="34">
        <v>225.95</v>
      </c>
      <c r="R104" s="34" cm="1">
        <f t="array" ref="R104">Q104/1000</f>
        <v>0.22595</v>
      </c>
      <c r="S104" s="6"/>
      <c r="T104" s="34" cm="1">
        <f t="array" ref="T104">$R104*L104</f>
        <v>19.1828698669484</v>
      </c>
      <c r="U104" s="34" cm="1">
        <f t="array" ref="U104">$R104*M104</f>
        <v>13.7471114311101</v>
      </c>
      <c r="V104" s="34" cm="1">
        <f t="array" ref="V104">$R104*N104</f>
        <v>3.11716822442161</v>
      </c>
      <c r="W104" s="34" cm="1">
        <f t="array" ref="W104">$R104*O104</f>
        <v>-5.40236015987357</v>
      </c>
      <c r="X104" s="6"/>
      <c r="Y104" s="6"/>
      <c r="Z104" s="6"/>
      <c r="AA104" s="6"/>
      <c r="AB104" s="6"/>
      <c r="AC104" s="6"/>
      <c r="AD104" s="41">
        <v>0.010209657</v>
      </c>
      <c r="AE104" s="35"/>
      <c r="AF104" s="41" cm="1">
        <f t="array" ref="AF104">Y104/$AD104</f>
        <v>0</v>
      </c>
      <c r="AG104" s="41" cm="1">
        <f t="array" ref="AG104">Z104/$AD104</f>
        <v>0</v>
      </c>
      <c r="AH104" s="41" cm="1">
        <f t="array" ref="AH104">AA104/$AD104</f>
        <v>0</v>
      </c>
      <c r="AI104" s="41" cm="1">
        <f t="array" ref="AI104">AB104/$AD104</f>
        <v>0</v>
      </c>
    </row>
    <row r="105" ht="17" customHeight="1">
      <c r="A105" s="6"/>
      <c r="B105" t="s" s="32">
        <v>40</v>
      </c>
      <c r="C105" s="34">
        <v>4</v>
      </c>
      <c r="D105" t="s" s="63">
        <v>166</v>
      </c>
      <c r="E105" s="37">
        <v>22.7183412575174</v>
      </c>
      <c r="F105" s="38">
        <v>137.800019910547</v>
      </c>
      <c r="G105" s="42">
        <v>1999.009968438190</v>
      </c>
      <c r="H105" s="34">
        <v>-53.5175152619801</v>
      </c>
      <c r="I105" s="6"/>
      <c r="J105" s="34">
        <v>1.03393479261158</v>
      </c>
      <c r="K105" s="6"/>
      <c r="L105" s="34" cm="1">
        <f t="array" ref="L105">E105*$J105</f>
        <v>23.4892834565704</v>
      </c>
      <c r="M105" s="34" cm="1">
        <f t="array" ref="M105">F105*$J105</f>
        <v>142.476235008083</v>
      </c>
      <c r="N105" s="34" cm="1">
        <f t="array" ref="N105">G105*$J105</f>
        <v>2066.845957145620</v>
      </c>
      <c r="O105" s="34" cm="1">
        <f t="array" ref="O105">H105*$J105</f>
        <v>-55.3336210434825</v>
      </c>
      <c r="P105" s="6"/>
      <c r="Q105" s="34">
        <v>225.0914</v>
      </c>
      <c r="R105" s="34" cm="1">
        <f t="array" ref="R105">Q105/1000</f>
        <v>0.2250914</v>
      </c>
      <c r="S105" s="6"/>
      <c r="T105" s="34" cm="1">
        <f t="array" ref="T105">$R105*L105</f>
        <v>5.28723569823627</v>
      </c>
      <c r="U105" s="34" cm="1">
        <f t="array" ref="U105">$R105*M105</f>
        <v>32.0701752046984</v>
      </c>
      <c r="V105" s="34" cm="1">
        <f t="array" ref="V105">$R105*N105</f>
        <v>465.229250078248</v>
      </c>
      <c r="W105" s="34" cm="1">
        <f t="array" ref="W105">$R105*O105</f>
        <v>-12.4551222277469</v>
      </c>
      <c r="X105" s="6"/>
      <c r="Y105" s="34" cm="1">
        <f t="array" ref="Y105">T105-Y$111-Y$3</f>
        <v>0.49747913782239</v>
      </c>
      <c r="Z105" s="34" cm="1">
        <f t="array" ref="Z105">U105-Z$111-Z$3</f>
        <v>28.9854980540745</v>
      </c>
      <c r="AA105" s="34" cm="1">
        <f t="array" ref="AA105">V105-AA$111-AA$3</f>
        <v>463.098244584502</v>
      </c>
      <c r="AB105" s="34" cm="1">
        <f t="array" ref="AB105">W105-AB$111-AB$3</f>
        <v>-4.78736371505648</v>
      </c>
      <c r="AC105" s="6"/>
      <c r="AD105" s="41">
        <v>0.010209657</v>
      </c>
      <c r="AE105" s="35"/>
      <c r="AF105" s="41" cm="1">
        <f t="array" ref="AF105">Y105/$AD105</f>
        <v>48.726332120892</v>
      </c>
      <c r="AG105" s="41" cm="1">
        <f t="array" ref="AG105">Z105/$AD105</f>
        <v>2839.027604362660</v>
      </c>
      <c r="AH105" s="41" cm="1">
        <f t="array" ref="AH105">AA105/$AD105</f>
        <v>45358.8445316529</v>
      </c>
      <c r="AI105" s="41" cm="1">
        <f t="array" ref="AI105">AB105/$AD105</f>
        <v>-468.905440707409</v>
      </c>
    </row>
    <row r="106" ht="17" customHeight="1">
      <c r="A106" s="6"/>
      <c r="B106" t="s" s="32">
        <v>42</v>
      </c>
      <c r="C106" s="34">
        <v>4</v>
      </c>
      <c r="D106" t="s" s="63">
        <v>167</v>
      </c>
      <c r="E106" s="37">
        <v>187.901762481702</v>
      </c>
      <c r="F106" s="38">
        <v>142.542716770946</v>
      </c>
      <c r="G106" s="39">
        <v>2109.603421511930</v>
      </c>
      <c r="H106" s="40">
        <v>-52.6269976763553</v>
      </c>
      <c r="I106" s="6"/>
      <c r="J106" s="34">
        <v>1.02858263138681</v>
      </c>
      <c r="K106" s="6"/>
      <c r="L106" s="34" cm="1">
        <f t="array" ref="L106">E106*$J106</f>
        <v>193.272489295648</v>
      </c>
      <c r="M106" s="34" cm="1">
        <f t="array" ref="M106">F106*$J106</f>
        <v>146.616962701284</v>
      </c>
      <c r="N106" s="34" cm="1">
        <f t="array" ref="N106">G106*$J106</f>
        <v>2169.901438481360</v>
      </c>
      <c r="O106" s="34" cm="1">
        <f t="array" ref="O106">H106*$J106</f>
        <v>-54.1312157519331</v>
      </c>
      <c r="P106" s="6"/>
      <c r="Q106" s="34">
        <v>226.0886</v>
      </c>
      <c r="R106" s="34" cm="1">
        <f t="array" ref="R106">Q106/1000</f>
        <v>0.2260886</v>
      </c>
      <c r="S106" s="6"/>
      <c r="T106" s="34" cm="1">
        <f t="array" ref="T106">$R106*L106</f>
        <v>43.696706523368</v>
      </c>
      <c r="U106" s="34" cm="1">
        <f t="array" ref="U106">$R106*M106</f>
        <v>33.1484238333855</v>
      </c>
      <c r="V106" s="34" cm="1">
        <f t="array" ref="V106">$R106*N106</f>
        <v>490.589978364237</v>
      </c>
      <c r="W106" s="34" cm="1">
        <f t="array" ref="W106">$R106*O106</f>
        <v>-12.2384507856525</v>
      </c>
      <c r="X106" s="6"/>
      <c r="Y106" s="34" cm="1">
        <f t="array" ref="Y106">T106-Y$111-Y$3</f>
        <v>38.9069499629541</v>
      </c>
      <c r="Z106" s="34" cm="1">
        <f t="array" ref="Z106">U106-Z$111-Z$3</f>
        <v>30.0637466827616</v>
      </c>
      <c r="AA106" s="34" cm="1">
        <f t="array" ref="AA106">V106-AA$111-AA$3</f>
        <v>488.458972870491</v>
      </c>
      <c r="AB106" s="34" cm="1">
        <f t="array" ref="AB106">W106-AB$111-AB$3</f>
        <v>-4.57069227296208</v>
      </c>
      <c r="AC106" s="6"/>
      <c r="AD106" s="41">
        <v>0.010209657</v>
      </c>
      <c r="AE106" s="35"/>
      <c r="AF106" s="41" cm="1">
        <f t="array" ref="AF106">Y106/$AD106</f>
        <v>3810.798929185780</v>
      </c>
      <c r="AG106" s="41" cm="1">
        <f t="array" ref="AG106">Z106/$AD106</f>
        <v>2944.638265787150</v>
      </c>
      <c r="AH106" s="41" cm="1">
        <f t="array" ref="AH106">AA106/$AD106</f>
        <v>47842.8386840509</v>
      </c>
      <c r="AI106" s="41" cm="1">
        <f t="array" ref="AI106">AB106/$AD106</f>
        <v>-447.683234898301</v>
      </c>
    </row>
    <row r="107" ht="17" customHeight="1">
      <c r="A107" s="6"/>
      <c r="B107" t="s" s="32">
        <v>44</v>
      </c>
      <c r="C107" s="34">
        <v>4</v>
      </c>
      <c r="D107" t="s" s="63">
        <v>168</v>
      </c>
      <c r="E107" s="37">
        <v>8.87088295727254</v>
      </c>
      <c r="F107" s="38">
        <v>201.248478100649</v>
      </c>
      <c r="G107" s="42">
        <v>2368.239283794780</v>
      </c>
      <c r="H107" s="34">
        <v>-43.4906437045505</v>
      </c>
      <c r="I107" s="6"/>
      <c r="J107" s="34">
        <v>1.03078819563054</v>
      </c>
      <c r="K107" s="6"/>
      <c r="L107" s="34" cm="1">
        <f t="array" ref="L107">E107*$J107</f>
        <v>9.144001437176669</v>
      </c>
      <c r="M107" s="34" cm="1">
        <f t="array" ref="M107">F107*$J107</f>
        <v>207.444555614760</v>
      </c>
      <c r="N107" s="34" cm="1">
        <f t="array" ref="N107">G107*$J107</f>
        <v>2441.153098164180</v>
      </c>
      <c r="O107" s="34" cm="1">
        <f t="array" ref="O107">H107*$J107</f>
        <v>-44.8296421510243</v>
      </c>
      <c r="P107" s="6"/>
      <c r="Q107" s="34">
        <v>217.1414</v>
      </c>
      <c r="R107" s="34" cm="1">
        <f t="array" ref="R107">Q107/1000</f>
        <v>0.2171414</v>
      </c>
      <c r="S107" s="6"/>
      <c r="T107" s="34" cm="1">
        <f t="array" ref="T107">$R107*L107</f>
        <v>1.98554127367055</v>
      </c>
      <c r="U107" s="34" cm="1">
        <f t="array" ref="U107">$R107*M107</f>
        <v>45.0448012285668</v>
      </c>
      <c r="V107" s="34" cm="1">
        <f t="array" ref="V107">$R107*N107</f>
        <v>530.075401349707</v>
      </c>
      <c r="W107" s="34" cm="1">
        <f t="array" ref="W107">$R107*O107</f>
        <v>-9.73437125817243</v>
      </c>
      <c r="X107" s="6"/>
      <c r="Y107" s="34" cm="1">
        <f t="array" ref="Y107">T107-Y$111-Y$3</f>
        <v>-2.80421528674333</v>
      </c>
      <c r="Z107" s="34" cm="1">
        <f t="array" ref="Z107">U107-Z$111-Z$3</f>
        <v>41.9601240779429</v>
      </c>
      <c r="AA107" s="34" cm="1">
        <f t="array" ref="AA107">V107-AA$111-AA$3</f>
        <v>527.944395855961</v>
      </c>
      <c r="AB107" s="34" cm="1">
        <f t="array" ref="AB107">W107-AB$111-AB$3</f>
        <v>-2.06661274548201</v>
      </c>
      <c r="AC107" s="6"/>
      <c r="AD107" s="41">
        <v>0.010209657</v>
      </c>
      <c r="AE107" s="35"/>
      <c r="AF107" s="41" cm="1">
        <f t="array" ref="AF107">Y107/$AD107</f>
        <v>-274.663026068685</v>
      </c>
      <c r="AG107" s="41" cm="1">
        <f t="array" ref="AG107">Z107/$AD107</f>
        <v>4109.846596995660</v>
      </c>
      <c r="AH107" s="41" cm="1">
        <f t="array" ref="AH107">AA107/$AD107</f>
        <v>51710.2970115412</v>
      </c>
      <c r="AI107" s="41" cm="1">
        <f t="array" ref="AI107">AB107/$AD107</f>
        <v>-202.417450995857</v>
      </c>
    </row>
    <row r="108" ht="17" customHeight="1">
      <c r="A108" s="6"/>
      <c r="B108" t="s" s="32">
        <v>46</v>
      </c>
      <c r="C108" s="34">
        <v>4</v>
      </c>
      <c r="D108" t="s" s="63">
        <v>169</v>
      </c>
      <c r="E108" s="37">
        <v>5.68983243810799</v>
      </c>
      <c r="F108" s="38">
        <v>13.6182531729544</v>
      </c>
      <c r="G108" s="39">
        <v>13.3389322430942</v>
      </c>
      <c r="H108" s="40">
        <v>403.479265330526</v>
      </c>
      <c r="I108" s="6"/>
      <c r="J108" s="34">
        <v>1.04311926605505</v>
      </c>
      <c r="K108" s="6"/>
      <c r="L108" s="34" cm="1">
        <f t="array" ref="L108">E108*$J108</f>
        <v>5.93517383681542</v>
      </c>
      <c r="M108" s="34" cm="1">
        <f t="array" ref="M108">F108*$J108</f>
        <v>14.205462254724</v>
      </c>
      <c r="N108" s="34" cm="1">
        <f t="array" ref="N108">G108*$J108</f>
        <v>13.9140972113745</v>
      </c>
      <c r="O108" s="34" cm="1">
        <f t="array" ref="O108">H108*$J108</f>
        <v>420.876995120009</v>
      </c>
      <c r="P108" s="6"/>
      <c r="Q108" s="34">
        <v>223.7192</v>
      </c>
      <c r="R108" s="34" cm="1">
        <f t="array" ref="R108">Q108/1000</f>
        <v>0.2237192</v>
      </c>
      <c r="S108" s="6"/>
      <c r="T108" s="34" cm="1">
        <f t="array" ref="T108">$R108*L108</f>
        <v>1.32781234263328</v>
      </c>
      <c r="U108" s="34" cm="1">
        <f t="array" ref="U108">$R108*M108</f>
        <v>3.17803465125705</v>
      </c>
      <c r="V108" s="34" cm="1">
        <f t="array" ref="V108">$R108*N108</f>
        <v>3.11285069685093</v>
      </c>
      <c r="W108" s="34" cm="1">
        <f t="array" ref="W108">$R108*O108</f>
        <v>94.1582646466523</v>
      </c>
      <c r="X108" s="6"/>
      <c r="Y108" s="34" cm="1">
        <f t="array" ref="Y108">T108-Y$111-Y$3</f>
        <v>-3.4619442177806</v>
      </c>
      <c r="Z108" s="34" cm="1">
        <f t="array" ref="Z108">U108-Z$111-Z$3</f>
        <v>0.09335750063312</v>
      </c>
      <c r="AA108" s="34" cm="1">
        <f t="array" ref="AA108">V108-AA$111-AA$3</f>
        <v>0.98184520310518</v>
      </c>
      <c r="AB108" s="34" cm="1">
        <f t="array" ref="AB108">W108-AB$111-AB$3</f>
        <v>101.826023159343</v>
      </c>
      <c r="AC108" s="6"/>
      <c r="AD108" s="41">
        <v>0.010209657</v>
      </c>
      <c r="AE108" s="35"/>
      <c r="AF108" s="41" cm="1">
        <f t="array" ref="AF108">Y108/$AD108</f>
        <v>-339.085261902589</v>
      </c>
      <c r="AG108" s="41" cm="1">
        <f t="array" ref="AG108">Z108/$AD108</f>
        <v>9.144038887214331</v>
      </c>
      <c r="AH108" s="41" cm="1">
        <f t="array" ref="AH108">AA108/$AD108</f>
        <v>96.1682848997944</v>
      </c>
      <c r="AI108" s="41" cm="1">
        <f t="array" ref="AI108">AB108/$AD108</f>
        <v>9973.500888359231</v>
      </c>
    </row>
    <row r="109" ht="17" customHeight="1">
      <c r="A109" s="6"/>
      <c r="B109" t="s" s="32">
        <v>48</v>
      </c>
      <c r="C109" s="34">
        <v>4</v>
      </c>
      <c r="D109" t="s" s="63">
        <v>170</v>
      </c>
      <c r="E109" s="37">
        <v>48.1472821163152</v>
      </c>
      <c r="F109" s="38">
        <v>11.9301162577508</v>
      </c>
      <c r="G109" s="42">
        <v>1196.854874317540</v>
      </c>
      <c r="H109" s="34">
        <v>184.881664323004</v>
      </c>
      <c r="I109" s="6"/>
      <c r="J109" s="34">
        <v>1.03587034729656</v>
      </c>
      <c r="K109" s="6"/>
      <c r="L109" s="34" cm="1">
        <f t="array" ref="L109">E109*$J109</f>
        <v>49.8743418472129</v>
      </c>
      <c r="M109" s="34" cm="1">
        <f t="array" ref="M109">F109*$J109</f>
        <v>12.3580536712047</v>
      </c>
      <c r="N109" s="34" cm="1">
        <f t="array" ref="N109">G109*$J109</f>
        <v>1239.786474322890</v>
      </c>
      <c r="O109" s="34" cm="1">
        <f t="array" ref="O109">H109*$J109</f>
        <v>191.513433831036</v>
      </c>
      <c r="P109" s="6"/>
      <c r="Q109" s="34">
        <v>228.4436</v>
      </c>
      <c r="R109" s="34" cm="1">
        <f t="array" ref="R109">Q109/1000</f>
        <v>0.2284436</v>
      </c>
      <c r="S109" s="6"/>
      <c r="T109" s="34" cm="1">
        <f t="array" ref="T109">$R109*L109</f>
        <v>11.393474199208</v>
      </c>
      <c r="U109" s="34" cm="1">
        <f t="array" ref="U109">$R109*M109</f>
        <v>2.82311826964322</v>
      </c>
      <c r="V109" s="34" cm="1">
        <f t="array" ref="V109">$R109*N109</f>
        <v>283.221285425629</v>
      </c>
      <c r="W109" s="34" cm="1">
        <f t="array" ref="W109">$R109*O109</f>
        <v>43.7500182727237</v>
      </c>
      <c r="X109" s="6"/>
      <c r="Y109" s="34" cm="1">
        <f t="array" ref="Y109">T109-Y$111-Y$3</f>
        <v>6.60371763879412</v>
      </c>
      <c r="Z109" s="34" cm="1">
        <f t="array" ref="Z109">U109-Z$111-Z$3</f>
        <v>-0.26155888098071</v>
      </c>
      <c r="AA109" s="34" cm="1">
        <f t="array" ref="AA109">V109-AA$111-AA$3</f>
        <v>281.090279931883</v>
      </c>
      <c r="AB109" s="34" cm="1">
        <f t="array" ref="AB109">W109-AB$111-AB$3</f>
        <v>51.4177767854141</v>
      </c>
      <c r="AC109" s="6"/>
      <c r="AD109" s="41">
        <v>0.010209657</v>
      </c>
      <c r="AE109" s="35"/>
      <c r="AF109" s="41" cm="1">
        <f t="array" ref="AF109">Y109/$AD109</f>
        <v>646.810920170396</v>
      </c>
      <c r="AG109" s="41" cm="1">
        <f t="array" ref="AG109">Z109/$AD109</f>
        <v>-25.6187725974252</v>
      </c>
      <c r="AH109" s="41" cm="1">
        <f t="array" ref="AH109">AA109/$AD109</f>
        <v>27531.8044408233</v>
      </c>
      <c r="AI109" s="41" cm="1">
        <f t="array" ref="AI109">AB109/$AD109</f>
        <v>5036.1904210312</v>
      </c>
    </row>
    <row r="110" ht="17" customHeight="1">
      <c r="A110" s="6"/>
      <c r="B110" t="s" s="32">
        <v>50</v>
      </c>
      <c r="C110" s="34">
        <v>4</v>
      </c>
      <c r="D110" t="s" s="63">
        <v>171</v>
      </c>
      <c r="E110" s="37">
        <v>3.76296981917361</v>
      </c>
      <c r="F110" s="38">
        <v>23.5443029986867</v>
      </c>
      <c r="G110" s="39">
        <v>12.3027824038701</v>
      </c>
      <c r="H110" s="40">
        <v>320.755548442493</v>
      </c>
      <c r="I110" s="6"/>
      <c r="J110" s="34">
        <v>1.03515514043677</v>
      </c>
      <c r="K110" s="6"/>
      <c r="L110" s="34" cm="1">
        <f t="array" ref="L110">E110*$J110</f>
        <v>3.89525755162599</v>
      </c>
      <c r="M110" s="34" cm="1">
        <f t="array" ref="M110">F110*$J110</f>
        <v>24.3720062770914</v>
      </c>
      <c r="N110" s="34" cm="1">
        <f t="array" ref="N110">G110*$J110</f>
        <v>12.7352884470412</v>
      </c>
      <c r="O110" s="34" cm="1">
        <f t="array" ref="O110">H110*$J110</f>
        <v>332.031754793862</v>
      </c>
      <c r="P110" s="6"/>
      <c r="Q110" s="34">
        <v>222.3912</v>
      </c>
      <c r="R110" s="34" cm="1">
        <f t="array" ref="R110">Q110/1000</f>
        <v>0.2223912</v>
      </c>
      <c r="S110" s="6"/>
      <c r="T110" s="34" cm="1">
        <f t="array" ref="T110">$R110*L110</f>
        <v>0.866271001215166</v>
      </c>
      <c r="U110" s="34" cm="1">
        <f t="array" ref="U110">$R110*M110</f>
        <v>5.42011972236989</v>
      </c>
      <c r="V110" s="34" cm="1">
        <f t="array" ref="V110">$R110*N110</f>
        <v>2.83221608008363</v>
      </c>
      <c r="W110" s="34" cm="1">
        <f t="array" ref="W110">$R110*O110</f>
        <v>73.8409403867127</v>
      </c>
      <c r="X110" s="6"/>
      <c r="Y110" s="34" cm="1">
        <f t="array" ref="Y110">T110-Y$111-Y$3</f>
        <v>-3.92348555919871</v>
      </c>
      <c r="Z110" s="34" cm="1">
        <f t="array" ref="Z110">U110-Z$111-Z$3</f>
        <v>2.33544257174596</v>
      </c>
      <c r="AA110" s="34" cm="1">
        <f t="array" ref="AA110">V110-AA$111-AA$3</f>
        <v>0.70121058633788</v>
      </c>
      <c r="AB110" s="34" cm="1">
        <f t="array" ref="AB110">W110-AB$111-AB$3</f>
        <v>81.5086988994031</v>
      </c>
      <c r="AC110" s="6"/>
      <c r="AD110" s="41">
        <v>0.010209657</v>
      </c>
      <c r="AE110" s="35"/>
      <c r="AF110" s="41" cm="1">
        <f t="array" ref="AF110">Y110/$AD110</f>
        <v>-384.291613244080</v>
      </c>
      <c r="AG110" s="41" cm="1">
        <f t="array" ref="AG110">Z110/$AD110</f>
        <v>228.748387114862</v>
      </c>
      <c r="AH110" s="41" cm="1">
        <f t="array" ref="AH110">AA110/$AD110</f>
        <v>68.6811110635627</v>
      </c>
      <c r="AI110" s="41" cm="1">
        <f t="array" ref="AI110">AB110/$AD110</f>
        <v>7983.490424742290</v>
      </c>
    </row>
    <row r="111" ht="17" customHeight="1">
      <c r="A111" s="6"/>
      <c r="B111" t="s" s="32">
        <v>52</v>
      </c>
      <c r="C111" s="34">
        <v>4</v>
      </c>
      <c r="D111" t="s" s="63">
        <v>172</v>
      </c>
      <c r="E111" s="37">
        <v>60.3450641751723</v>
      </c>
      <c r="F111" s="38">
        <v>15.3353493398237</v>
      </c>
      <c r="G111" s="42">
        <v>9.188591114108011</v>
      </c>
      <c r="H111" s="34">
        <v>-48.5774764568219</v>
      </c>
      <c r="I111" s="6"/>
      <c r="J111" s="34">
        <v>1.03040999971066</v>
      </c>
      <c r="K111" s="6"/>
      <c r="L111" s="34" cm="1">
        <f t="array" ref="L111">E111*$J111</f>
        <v>62.180157559279</v>
      </c>
      <c r="M111" s="34" cm="1">
        <f t="array" ref="M111">F111*$J111</f>
        <v>15.8016973088106</v>
      </c>
      <c r="N111" s="34" cm="1">
        <f t="array" ref="N111">G111*$J111</f>
        <v>9.468016167229409</v>
      </c>
      <c r="O111" s="34" cm="1">
        <f t="array" ref="O111">H111*$J111</f>
        <v>-50.0547175018184</v>
      </c>
      <c r="P111" s="6"/>
      <c r="Q111" s="34">
        <v>228.72</v>
      </c>
      <c r="R111" s="34" cm="1">
        <f t="array" ref="R111">Q111/1000</f>
        <v>0.22872</v>
      </c>
      <c r="S111" s="6"/>
      <c r="T111" s="34" cm="1">
        <f t="array" ref="T111">$R111*L111</f>
        <v>14.2218456369583</v>
      </c>
      <c r="U111" s="34" cm="1">
        <f t="array" ref="U111">$R111*M111</f>
        <v>3.61416420847116</v>
      </c>
      <c r="V111" s="34" cm="1">
        <f t="array" ref="V111">$R111*N111</f>
        <v>2.16552465776871</v>
      </c>
      <c r="W111" s="34" cm="1">
        <f t="array" ref="W111">$R111*O111</f>
        <v>-11.4485149870159</v>
      </c>
      <c r="X111" s="6"/>
      <c r="Y111" s="34" cm="1">
        <f t="array" ref="Y111">AVERAGE(T111:T113)</f>
        <v>4.78975656041388</v>
      </c>
      <c r="Z111" s="34" cm="1">
        <f t="array" ref="Z111">AVERAGE(U111:U113)</f>
        <v>3.08467715062393</v>
      </c>
      <c r="AA111" s="34" cm="1">
        <f t="array" ref="AA111">AVERAGE(V111:V113)</f>
        <v>2.13100549374575</v>
      </c>
      <c r="AB111" s="34" cm="1">
        <f t="array" ref="AB111">AVERAGE(W111:W113)</f>
        <v>-7.66775851269042</v>
      </c>
      <c r="AC111" s="6"/>
      <c r="AD111" s="41">
        <v>0.010209657</v>
      </c>
      <c r="AE111" s="35"/>
      <c r="AF111" s="41" cm="1">
        <f t="array" ref="AF111">Y111/$AD111</f>
        <v>469.139811495516</v>
      </c>
      <c r="AG111" s="41" cm="1">
        <f t="array" ref="AG111">Z111/$AD111</f>
        <v>302.133279367165</v>
      </c>
      <c r="AH111" s="41" cm="1">
        <f t="array" ref="AH111">AA111/$AD111</f>
        <v>208.724494245571</v>
      </c>
      <c r="AI111" s="41" cm="1">
        <f t="array" ref="AI111">AB111/$AD111</f>
        <v>-751.029981975929</v>
      </c>
    </row>
    <row r="112" ht="17" customHeight="1">
      <c r="A112" s="6"/>
      <c r="B112" t="s" s="32">
        <v>54</v>
      </c>
      <c r="C112" s="34">
        <v>4</v>
      </c>
      <c r="D112" t="s" s="63">
        <v>173</v>
      </c>
      <c r="E112" s="37">
        <v>0.322400345101249</v>
      </c>
      <c r="F112" s="38">
        <v>18.3109540527096</v>
      </c>
      <c r="G112" s="39">
        <v>7.82048599748108</v>
      </c>
      <c r="H112" s="40">
        <v>0.247077602766914</v>
      </c>
      <c r="I112" s="6"/>
      <c r="J112" s="34">
        <v>1.02774833281898</v>
      </c>
      <c r="K112" s="6"/>
      <c r="L112" s="34" cm="1">
        <f t="array" ref="L112">E112*$J112</f>
        <v>0.331346417178072</v>
      </c>
      <c r="M112" s="34" cm="1">
        <f t="array" ref="M112">F112*$J112</f>
        <v>18.8190524999972</v>
      </c>
      <c r="N112" s="34" cm="1">
        <f t="array" ref="N112">G112*$J112</f>
        <v>8.03749144574536</v>
      </c>
      <c r="O112" s="34" cm="1">
        <f t="array" ref="O112">H112*$J112</f>
        <v>0.253933594320606</v>
      </c>
      <c r="P112" s="6"/>
      <c r="Q112" s="34">
        <v>228.1</v>
      </c>
      <c r="R112" s="34" cm="1">
        <f t="array" ref="R112">Q112/1000</f>
        <v>0.2281</v>
      </c>
      <c r="S112" s="6"/>
      <c r="T112" s="34" cm="1">
        <f t="array" ref="T112">$R112*L112</f>
        <v>0.0755801177583182</v>
      </c>
      <c r="U112" s="34" cm="1">
        <f t="array" ref="U112">$R112*M112</f>
        <v>4.29262587524936</v>
      </c>
      <c r="V112" s="34" cm="1">
        <f t="array" ref="V112">$R112*N112</f>
        <v>1.83335179877452</v>
      </c>
      <c r="W112" s="34" cm="1">
        <f t="array" ref="W112">$R112*O112</f>
        <v>0.0579222528645302</v>
      </c>
      <c r="X112" s="6"/>
      <c r="Y112" s="6"/>
      <c r="Z112" s="6"/>
      <c r="AA112" s="6"/>
      <c r="AB112" s="6"/>
      <c r="AC112" s="6"/>
      <c r="AD112" s="41">
        <v>0.010209657</v>
      </c>
      <c r="AE112" s="35"/>
      <c r="AF112" s="41" cm="1">
        <f t="array" ref="AF112">Y112/$AD112</f>
        <v>0</v>
      </c>
      <c r="AG112" s="41" cm="1">
        <f t="array" ref="AG112">Z112/$AD112</f>
        <v>0</v>
      </c>
      <c r="AH112" s="41" cm="1">
        <f t="array" ref="AH112">AA112/$AD112</f>
        <v>0</v>
      </c>
      <c r="AI112" s="41" cm="1">
        <f t="array" ref="AI112">AB112/$AD112</f>
        <v>0</v>
      </c>
    </row>
    <row r="113" ht="17" customHeight="1">
      <c r="A113" s="6"/>
      <c r="B113" t="s" s="32">
        <v>56</v>
      </c>
      <c r="C113" s="34">
        <v>4</v>
      </c>
      <c r="D113" t="s" s="63">
        <v>174</v>
      </c>
      <c r="E113" s="37">
        <v>0.307821527056955</v>
      </c>
      <c r="F113" s="38">
        <v>5.7723723537611</v>
      </c>
      <c r="G113" s="42">
        <v>10.2579003408577</v>
      </c>
      <c r="H113" s="34">
        <v>-49.7555454835299</v>
      </c>
      <c r="I113" s="6"/>
      <c r="J113" s="34">
        <v>1.02944047311458</v>
      </c>
      <c r="K113" s="6"/>
      <c r="L113" s="34" cm="1">
        <f t="array" ref="L113">E113*$J113</f>
        <v>0.316883938448364</v>
      </c>
      <c r="M113" s="34" cm="1">
        <f t="array" ref="M113">F113*$J113</f>
        <v>5.94231372684935</v>
      </c>
      <c r="N113" s="34" cm="1">
        <f t="array" ref="N113">G113*$J113</f>
        <v>10.5598977800548</v>
      </c>
      <c r="O113" s="34" cm="1">
        <f t="array" ref="O113">H113*$J113</f>
        <v>-51.220372282639</v>
      </c>
      <c r="P113" s="6"/>
      <c r="Q113" s="34">
        <v>226.72</v>
      </c>
      <c r="R113" s="34" cm="1">
        <f t="array" ref="R113">Q113/1000</f>
        <v>0.22672</v>
      </c>
      <c r="S113" s="6"/>
      <c r="T113" s="34" cm="1">
        <f t="array" ref="T113">$R113*L113</f>
        <v>0.0718439265250131</v>
      </c>
      <c r="U113" s="34" cm="1">
        <f t="array" ref="U113">$R113*M113</f>
        <v>1.34724136815128</v>
      </c>
      <c r="V113" s="34" cm="1">
        <f t="array" ref="V113">$R113*N113</f>
        <v>2.39414002469402</v>
      </c>
      <c r="W113" s="34" cm="1">
        <f t="array" ref="W113">$R113*O113</f>
        <v>-11.6126828039199</v>
      </c>
      <c r="X113" s="6"/>
      <c r="Y113" s="6"/>
      <c r="Z113" s="6"/>
      <c r="AA113" s="6"/>
      <c r="AB113" s="6"/>
      <c r="AC113" s="6"/>
      <c r="AD113" s="41">
        <v>0.010209657</v>
      </c>
      <c r="AE113" s="35"/>
      <c r="AF113" s="41" cm="1">
        <f t="array" ref="AF113">Y113/$AD113</f>
        <v>0</v>
      </c>
      <c r="AG113" s="41" cm="1">
        <f t="array" ref="AG113">Z113/$AD113</f>
        <v>0</v>
      </c>
      <c r="AH113" s="41" cm="1">
        <f t="array" ref="AH113">AA113/$AD113</f>
        <v>0</v>
      </c>
      <c r="AI113" s="41" cm="1">
        <f t="array" ref="AI113">AB113/$AD113</f>
        <v>0</v>
      </c>
    </row>
    <row r="114" ht="17" customHeight="1">
      <c r="A114" s="6"/>
      <c r="B114" t="s" s="32">
        <v>58</v>
      </c>
      <c r="C114" s="34">
        <v>4</v>
      </c>
      <c r="D114" t="s" s="63">
        <v>175</v>
      </c>
      <c r="E114" s="37">
        <v>8.564177720479099</v>
      </c>
      <c r="F114" s="38">
        <v>1047.703125224060</v>
      </c>
      <c r="G114" s="39">
        <v>35574.1679189242</v>
      </c>
      <c r="H114" s="40">
        <v>-429.615660439632</v>
      </c>
      <c r="I114" s="6"/>
      <c r="J114" s="34">
        <v>1.02951110360551</v>
      </c>
      <c r="K114" s="6"/>
      <c r="L114" s="34" cm="1">
        <f t="array" ref="L114">E114*$J114</f>
        <v>8.81691605648416</v>
      </c>
      <c r="M114" s="34" cm="1">
        <f t="array" ref="M114">F114*$J114</f>
        <v>1078.622000700360</v>
      </c>
      <c r="N114" s="34" cm="1">
        <f t="array" ref="N114">G114*$J114</f>
        <v>36624.0008740594</v>
      </c>
      <c r="O114" s="34" cm="1">
        <f t="array" ref="O114">H114*$J114</f>
        <v>-442.294092705416</v>
      </c>
      <c r="P114" s="6"/>
      <c r="Q114" s="34">
        <v>226.4238</v>
      </c>
      <c r="R114" s="34" cm="1">
        <f t="array" ref="R114">Q114/1000</f>
        <v>0.2264238</v>
      </c>
      <c r="S114" s="6"/>
      <c r="T114" s="34" cm="1">
        <f t="array" ref="T114">$R114*L114</f>
        <v>1.99635963779016</v>
      </c>
      <c r="U114" s="34" cm="1">
        <f t="array" ref="U114">$R114*M114</f>
        <v>244.225692162178</v>
      </c>
      <c r="V114" s="34" cm="1">
        <f t="array" ref="V114">$R114*N114</f>
        <v>8292.545449107851</v>
      </c>
      <c r="W114" s="34" cm="1">
        <f t="array" ref="W114">$R114*O114</f>
        <v>-100.145909187913</v>
      </c>
      <c r="X114" s="6"/>
      <c r="Y114" s="34" cm="1">
        <f t="array" ref="Y114">T114-Y$120-Y$3</f>
        <v>1.37804151522973</v>
      </c>
      <c r="Z114" s="34" cm="1">
        <f t="array" ref="Z114">U114-Z$120-Z$3</f>
        <v>243.168431453904</v>
      </c>
      <c r="AA114" s="34" cm="1">
        <f t="array" ref="AA114">V114-AA$120-AA$3</f>
        <v>8290.794522930080</v>
      </c>
      <c r="AB114" s="34" cm="1">
        <f t="array" ref="AB114">W114-AB$120-AB$3</f>
        <v>-99.2844844762221</v>
      </c>
      <c r="AC114" s="6"/>
      <c r="AD114" s="41">
        <v>0.010209657</v>
      </c>
      <c r="AE114" s="35"/>
      <c r="AF114" s="41" cm="1">
        <f t="array" ref="AF114">Y114/$AD114</f>
        <v>134.974320413480</v>
      </c>
      <c r="AG114" s="41" cm="1">
        <f t="array" ref="AG114">Z114/$AD114</f>
        <v>23817.4927378955</v>
      </c>
      <c r="AH114" s="41" cm="1">
        <f t="array" ref="AH114">AA114/$AD114</f>
        <v>812054.1682183919</v>
      </c>
      <c r="AI114" s="41" cm="1">
        <f t="array" ref="AI114">AB114/$AD114</f>
        <v>-9724.566111890150</v>
      </c>
    </row>
    <row r="115" ht="17" customHeight="1">
      <c r="A115" s="6"/>
      <c r="B115" t="s" s="32">
        <v>60</v>
      </c>
      <c r="C115" s="34">
        <v>4</v>
      </c>
      <c r="D115" t="s" s="63">
        <v>176</v>
      </c>
      <c r="E115" s="37">
        <v>251.147990997191</v>
      </c>
      <c r="F115" s="38">
        <v>899.947732685656</v>
      </c>
      <c r="G115" s="42">
        <v>35610.3073681392</v>
      </c>
      <c r="H115" s="34">
        <v>-399.207302906278</v>
      </c>
      <c r="I115" s="6"/>
      <c r="J115" s="34">
        <v>1.02739311687116</v>
      </c>
      <c r="K115" s="6"/>
      <c r="L115" s="34" cm="1">
        <f t="array" ref="L115">E115*$J115</f>
        <v>258.027717266534</v>
      </c>
      <c r="M115" s="34" cm="1">
        <f t="array" ref="M115">F115*$J115</f>
        <v>924.600106105050</v>
      </c>
      <c r="N115" s="34" cm="1">
        <f t="array" ref="N115">G115*$J115</f>
        <v>36585.7846796926</v>
      </c>
      <c r="O115" s="34" cm="1">
        <f t="array" ref="O115">H115*$J115</f>
        <v>-410.142835210610</v>
      </c>
      <c r="P115" s="6"/>
      <c r="Q115" s="34">
        <v>227.3944</v>
      </c>
      <c r="R115" s="34" cm="1">
        <f t="array" ref="R115">Q115/1000</f>
        <v>0.2273944</v>
      </c>
      <c r="S115" s="6"/>
      <c r="T115" s="34" cm="1">
        <f t="array" ref="T115">$R115*L115</f>
        <v>58.6740579511931</v>
      </c>
      <c r="U115" s="34" cm="1">
        <f t="array" ref="U115">$R115*M115</f>
        <v>210.248886367694</v>
      </c>
      <c r="V115" s="34" cm="1">
        <f t="array" ref="V115">$R115*N115</f>
        <v>8319.402555767891</v>
      </c>
      <c r="W115" s="34" cm="1">
        <f t="array" ref="W115">$R115*O115</f>
        <v>-93.26418392701549</v>
      </c>
      <c r="X115" s="6"/>
      <c r="Y115" s="34" cm="1">
        <f t="array" ref="Y115">T115-Y$120-Y$3</f>
        <v>58.0557398286327</v>
      </c>
      <c r="Z115" s="34" cm="1">
        <f t="array" ref="Z115">U115-Z$120-Z$3</f>
        <v>209.191625659420</v>
      </c>
      <c r="AA115" s="34" cm="1">
        <f t="array" ref="AA115">V115-AA$120-AA$3</f>
        <v>8317.651629590120</v>
      </c>
      <c r="AB115" s="34" cm="1">
        <f t="array" ref="AB115">W115-AB$120-AB$3</f>
        <v>-92.40275921532459</v>
      </c>
      <c r="AC115" s="6"/>
      <c r="AD115" s="41">
        <v>0.010209657</v>
      </c>
      <c r="AE115" s="35"/>
      <c r="AF115" s="41" cm="1">
        <f t="array" ref="AF115">Y115/$AD115</f>
        <v>5686.355558138020</v>
      </c>
      <c r="AG115" s="41" cm="1">
        <f t="array" ref="AG115">Z115/$AD115</f>
        <v>20489.5840927291</v>
      </c>
      <c r="AH115" s="41" cm="1">
        <f t="array" ref="AH115">AA115/$AD115</f>
        <v>814684.727370383</v>
      </c>
      <c r="AI115" s="41" cm="1">
        <f t="array" ref="AI115">AB115/$AD115</f>
        <v>-9050.525322772801</v>
      </c>
    </row>
    <row r="116" ht="17" customHeight="1">
      <c r="A116" s="6"/>
      <c r="B116" t="s" s="32">
        <v>62</v>
      </c>
      <c r="C116" s="34">
        <v>4</v>
      </c>
      <c r="D116" t="s" s="63">
        <v>177</v>
      </c>
      <c r="E116" s="37">
        <v>6667.4587057694</v>
      </c>
      <c r="F116" s="38">
        <v>1110.5089703162</v>
      </c>
      <c r="G116" s="39">
        <v>36564.9619751503</v>
      </c>
      <c r="H116" s="40">
        <v>-455.420133723249</v>
      </c>
      <c r="I116" s="6"/>
      <c r="J116" s="34">
        <v>1.02744787885074</v>
      </c>
      <c r="K116" s="6"/>
      <c r="L116" s="34" cm="1">
        <f t="array" ref="L116">E116*$J116</f>
        <v>6850.466304567670</v>
      </c>
      <c r="M116" s="34" cm="1">
        <f t="array" ref="M116">F116*$J116</f>
        <v>1140.9900859961</v>
      </c>
      <c r="N116" s="34" cm="1">
        <f t="array" ref="N116">G116*$J116</f>
        <v>37568.5926216261</v>
      </c>
      <c r="O116" s="34" cm="1">
        <f t="array" ref="O116">H116*$J116</f>
        <v>-467.920450379873</v>
      </c>
      <c r="P116" s="6"/>
      <c r="Q116" s="34">
        <v>228.3498</v>
      </c>
      <c r="R116" s="34" cm="1">
        <f t="array" ref="R116">Q116/1000</f>
        <v>0.2283498</v>
      </c>
      <c r="S116" s="6"/>
      <c r="T116" s="34" cm="1">
        <f t="array" ref="T116">$R116*L116</f>
        <v>1564.302610554770</v>
      </c>
      <c r="U116" s="34" cm="1">
        <f t="array" ref="U116">$R116*M116</f>
        <v>260.544857939192</v>
      </c>
      <c r="V116" s="34" cm="1">
        <f t="array" ref="V116">$R116*N116</f>
        <v>8578.7806114298</v>
      </c>
      <c r="W116" s="34" cm="1">
        <f t="array" ref="W116">$R116*O116</f>
        <v>-106.849541260154</v>
      </c>
      <c r="X116" s="6"/>
      <c r="Y116" s="34" cm="1">
        <f t="array" ref="Y116">T116-Y$120-Y$3</f>
        <v>1563.684292432210</v>
      </c>
      <c r="Z116" s="34" cm="1">
        <f t="array" ref="Z116">U116-Z$120-Z$3</f>
        <v>259.487597230918</v>
      </c>
      <c r="AA116" s="34" cm="1">
        <f t="array" ref="AA116">V116-AA$120-AA$3</f>
        <v>8577.029685252030</v>
      </c>
      <c r="AB116" s="34" cm="1">
        <f t="array" ref="AB116">W116-AB$120-AB$3</f>
        <v>-105.988116548463</v>
      </c>
      <c r="AC116" s="6"/>
      <c r="AD116" s="41">
        <v>0.010209657</v>
      </c>
      <c r="AE116" s="35"/>
      <c r="AF116" s="41" cm="1">
        <f t="array" ref="AF116">Y116/$AD116</f>
        <v>153157.377611433</v>
      </c>
      <c r="AG116" s="41" cm="1">
        <f t="array" ref="AG116">Z116/$AD116</f>
        <v>25415.8976379831</v>
      </c>
      <c r="AH116" s="41" cm="1">
        <f t="array" ref="AH116">AA116/$AD116</f>
        <v>840089.895796894</v>
      </c>
      <c r="AI116" s="41" cm="1">
        <f t="array" ref="AI116">AB116/$AD116</f>
        <v>-10381.1632994588</v>
      </c>
    </row>
    <row r="117" ht="17" customHeight="1">
      <c r="A117" s="6"/>
      <c r="B117" t="s" s="32">
        <v>64</v>
      </c>
      <c r="C117" s="34">
        <v>4</v>
      </c>
      <c r="D117" t="s" s="63">
        <v>178</v>
      </c>
      <c r="E117" s="37">
        <v>3.86221083827752</v>
      </c>
      <c r="F117" s="38">
        <v>2.73269785618599</v>
      </c>
      <c r="G117" s="42">
        <v>10.2210226520903</v>
      </c>
      <c r="H117" s="34">
        <v>1139.077165251470</v>
      </c>
      <c r="I117" s="6"/>
      <c r="J117" s="34">
        <v>1.03457749455409</v>
      </c>
      <c r="K117" s="6"/>
      <c r="L117" s="34" cm="1">
        <f t="array" ref="L117">E117*$J117</f>
        <v>3.99575641250481</v>
      </c>
      <c r="M117" s="34" cm="1">
        <f t="array" ref="M117">F117*$J117</f>
        <v>2.82718770142623</v>
      </c>
      <c r="N117" s="34" cm="1">
        <f t="array" ref="N117">G117*$J117</f>
        <v>10.5744400071802</v>
      </c>
      <c r="O117" s="34" cm="1">
        <f t="array" ref="O117">H117*$J117</f>
        <v>1178.463599729640</v>
      </c>
      <c r="P117" s="6"/>
      <c r="Q117" s="34">
        <v>227.2728</v>
      </c>
      <c r="R117" s="34" cm="1">
        <f t="array" ref="R117">Q117/1000</f>
        <v>0.2272728</v>
      </c>
      <c r="S117" s="6"/>
      <c r="T117" s="34" cm="1">
        <f t="array" ref="T117">$R117*L117</f>
        <v>0.908126747987923</v>
      </c>
      <c r="U117" s="34" cm="1">
        <f t="array" ref="U117">$R117*M117</f>
        <v>0.6425428650287029</v>
      </c>
      <c r="V117" s="34" cm="1">
        <f t="array" ref="V117">$R117*N117</f>
        <v>2.40328258886386</v>
      </c>
      <c r="W117" s="34" cm="1">
        <f t="array" ref="W117">$R117*O117</f>
        <v>267.832722008635</v>
      </c>
      <c r="X117" s="6"/>
      <c r="Y117" s="34" cm="1">
        <f t="array" ref="Y117">T117-Y$120-Y$3</f>
        <v>0.289808625427496</v>
      </c>
      <c r="Z117" s="34" cm="1">
        <f t="array" ref="Z117">U117-Z$120-Z$3</f>
        <v>-0.414717843245577</v>
      </c>
      <c r="AA117" s="34" cm="1">
        <f t="array" ref="AA117">V117-AA$120-AA$3</f>
        <v>0.65235641109482</v>
      </c>
      <c r="AB117" s="34" cm="1">
        <f t="array" ref="AB117">W117-AB$120-AB$3</f>
        <v>268.694146720326</v>
      </c>
      <c r="AC117" s="6"/>
      <c r="AD117" s="41">
        <v>0.010209657</v>
      </c>
      <c r="AE117" s="35"/>
      <c r="AF117" s="41" cm="1">
        <f t="array" ref="AF117">Y117/$AD117</f>
        <v>28.3857357232957</v>
      </c>
      <c r="AG117" s="41" cm="1">
        <f t="array" ref="AG117">Z117/$AD117</f>
        <v>-40.6201543544095</v>
      </c>
      <c r="AH117" s="41" cm="1">
        <f t="array" ref="AH117">AA117/$AD117</f>
        <v>63.8960163984765</v>
      </c>
      <c r="AI117" s="41" cm="1">
        <f t="array" ref="AI117">AB117/$AD117</f>
        <v>26317.6467848358</v>
      </c>
    </row>
    <row r="118" ht="17" customHeight="1">
      <c r="A118" s="6"/>
      <c r="B118" t="s" s="32">
        <v>66</v>
      </c>
      <c r="C118" s="34">
        <v>4</v>
      </c>
      <c r="D118" t="s" s="63">
        <v>179</v>
      </c>
      <c r="E118" s="37">
        <v>1.68132428947109</v>
      </c>
      <c r="F118" s="38">
        <v>7.37092697495362</v>
      </c>
      <c r="G118" s="39">
        <v>15.3635460958371</v>
      </c>
      <c r="H118" s="40">
        <v>1207.387858572380</v>
      </c>
      <c r="I118" s="6"/>
      <c r="J118" s="34">
        <v>1.02960585978375</v>
      </c>
      <c r="K118" s="6"/>
      <c r="L118" s="34" cm="1">
        <f t="array" ref="L118">E118*$J118</f>
        <v>1.73110134063618</v>
      </c>
      <c r="M118" s="34" cm="1">
        <f t="array" ref="M118">F118*$J118</f>
        <v>7.58914960545036</v>
      </c>
      <c r="N118" s="34" cm="1">
        <f t="array" ref="N118">G118*$J118</f>
        <v>15.8183970873316</v>
      </c>
      <c r="O118" s="34" cm="1">
        <f t="array" ref="O118">H118*$J118</f>
        <v>1243.133614217880</v>
      </c>
      <c r="P118" s="6"/>
      <c r="Q118" s="34">
        <v>226.5796</v>
      </c>
      <c r="R118" s="34" cm="1">
        <f t="array" ref="R118">Q118/1000</f>
        <v>0.2265796</v>
      </c>
      <c r="S118" s="6"/>
      <c r="T118" s="34" cm="1">
        <f t="array" ref="T118">$R118*L118</f>
        <v>0.392232249320809</v>
      </c>
      <c r="U118" s="34" cm="1">
        <f t="array" ref="U118">$R118*M118</f>
        <v>1.7195464819431</v>
      </c>
      <c r="V118" s="34" cm="1">
        <f t="array" ref="V118">$R118*N118</f>
        <v>3.58412608468876</v>
      </c>
      <c r="W118" s="34" cm="1">
        <f t="array" ref="W118">$R118*O118</f>
        <v>281.668717056042</v>
      </c>
      <c r="X118" s="6"/>
      <c r="Y118" s="34" cm="1">
        <f t="array" ref="Y118">T118-Y$120-Y$3</f>
        <v>-0.226085873239618</v>
      </c>
      <c r="Z118" s="34" cm="1">
        <f t="array" ref="Z118">U118-Z$120-Z$3</f>
        <v>0.66228577366882</v>
      </c>
      <c r="AA118" s="34" cm="1">
        <f t="array" ref="AA118">V118-AA$120-AA$3</f>
        <v>1.83319990691972</v>
      </c>
      <c r="AB118" s="34" cm="1">
        <f t="array" ref="AB118">W118-AB$120-AB$3</f>
        <v>282.530141767733</v>
      </c>
      <c r="AC118" s="6"/>
      <c r="AD118" s="41">
        <v>0.010209657</v>
      </c>
      <c r="AE118" s="35"/>
      <c r="AF118" s="41" cm="1">
        <f t="array" ref="AF118">Y118/$AD118</f>
        <v>-22.1443162331132</v>
      </c>
      <c r="AG118" s="41" cm="1">
        <f t="array" ref="AG118">Z118/$AD118</f>
        <v>64.86856254512961</v>
      </c>
      <c r="AH118" s="41" cm="1">
        <f t="array" ref="AH118">AA118/$AD118</f>
        <v>179.555484275301</v>
      </c>
      <c r="AI118" s="41" cm="1">
        <f t="array" ref="AI118">AB118/$AD118</f>
        <v>27672.833844245</v>
      </c>
    </row>
    <row r="119" ht="17" customHeight="1">
      <c r="A119" s="6"/>
      <c r="B119" t="s" s="32">
        <v>68</v>
      </c>
      <c r="C119" s="34">
        <v>4</v>
      </c>
      <c r="D119" t="s" s="63">
        <v>180</v>
      </c>
      <c r="E119" s="37">
        <v>21.9363501551538</v>
      </c>
      <c r="F119" s="38">
        <v>4.99688404642352</v>
      </c>
      <c r="G119" s="42">
        <v>10.0959760580152</v>
      </c>
      <c r="H119" s="34">
        <v>1303.948790752160</v>
      </c>
      <c r="I119" s="6"/>
      <c r="J119" s="34">
        <v>1.02995466549917</v>
      </c>
      <c r="K119" s="6"/>
      <c r="L119" s="34" cm="1">
        <f t="array" ref="L119">E119*$J119</f>
        <v>22.5934461863241</v>
      </c>
      <c r="M119" s="34" cm="1">
        <f t="array" ref="M119">F119*$J119</f>
        <v>5.14656403657228</v>
      </c>
      <c r="N119" s="34" cm="1">
        <f t="array" ref="N119">G119*$J119</f>
        <v>10.3983976437207</v>
      </c>
      <c r="O119" s="34" cm="1">
        <f t="array" ref="O119">H119*$J119</f>
        <v>1343.008140607190</v>
      </c>
      <c r="P119" s="6"/>
      <c r="Q119" s="34">
        <v>227.164</v>
      </c>
      <c r="R119" s="34" cm="1">
        <f t="array" ref="R119">Q119/1000</f>
        <v>0.227164</v>
      </c>
      <c r="S119" s="6"/>
      <c r="T119" s="34" cm="1">
        <f t="array" ref="T119">$R119*L119</f>
        <v>5.13241760947013</v>
      </c>
      <c r="U119" s="34" cm="1">
        <f t="array" ref="U119">$R119*M119</f>
        <v>1.16911407280391</v>
      </c>
      <c r="V119" s="34" cm="1">
        <f t="array" ref="V119">$R119*N119</f>
        <v>2.36214160233817</v>
      </c>
      <c r="W119" s="34" cm="1">
        <f t="array" ref="W119">$R119*O119</f>
        <v>305.083101252892</v>
      </c>
      <c r="X119" s="6"/>
      <c r="Y119" s="34" cm="1">
        <f t="array" ref="Y119">T119-Y$120-Y$3</f>
        <v>4.5140994869097</v>
      </c>
      <c r="Z119" s="34" cm="1">
        <f t="array" ref="Z119">U119-Z$120-Z$3</f>
        <v>0.11185336452963</v>
      </c>
      <c r="AA119" s="34" cm="1">
        <f t="array" ref="AA119">V119-AA$120-AA$3</f>
        <v>0.61121542456913</v>
      </c>
      <c r="AB119" s="34" cm="1">
        <f t="array" ref="AB119">W119-AB$120-AB$3</f>
        <v>305.944525964583</v>
      </c>
      <c r="AC119" s="6"/>
      <c r="AD119" s="41">
        <v>0.010209657</v>
      </c>
      <c r="AE119" s="35"/>
      <c r="AF119" s="41" cm="1">
        <f t="array" ref="AF119">Y119/$AD119</f>
        <v>442.140170517942</v>
      </c>
      <c r="AG119" s="41" cm="1">
        <f t="array" ref="AG119">Z119/$AD119</f>
        <v>10.9556437135577</v>
      </c>
      <c r="AH119" s="41" cm="1">
        <f t="array" ref="AH119">AA119/$AD119</f>
        <v>59.8664014441553</v>
      </c>
      <c r="AI119" s="41" cm="1">
        <f t="array" ref="AI119">AB119/$AD119</f>
        <v>29966.1904376007</v>
      </c>
    </row>
    <row r="120" ht="17" customHeight="1">
      <c r="A120" s="6"/>
      <c r="B120" t="s" s="32">
        <v>70</v>
      </c>
      <c r="C120" s="34">
        <v>4</v>
      </c>
      <c r="D120" t="s" s="63">
        <v>181</v>
      </c>
      <c r="E120" s="37">
        <v>3.04161475881327</v>
      </c>
      <c r="F120" s="38">
        <v>10.1152836558681</v>
      </c>
      <c r="G120" s="39">
        <v>10.7340702197552</v>
      </c>
      <c r="H120" s="40">
        <v>-2.7853819687244</v>
      </c>
      <c r="I120" s="6"/>
      <c r="J120" s="34">
        <v>1.02789479227002</v>
      </c>
      <c r="K120" s="6"/>
      <c r="L120" s="34" cm="1">
        <f t="array" ref="L120">E120*$J120</f>
        <v>3.12645997067579</v>
      </c>
      <c r="M120" s="34" cm="1">
        <f t="array" ref="M120">F120*$J120</f>
        <v>10.3974473922009</v>
      </c>
      <c r="N120" s="34" cm="1">
        <f t="array" ref="N120">G120*$J120</f>
        <v>11.0334948787471</v>
      </c>
      <c r="O120" s="34" cm="1">
        <f t="array" ref="O120">H120*$J120</f>
        <v>-2.86307962013463</v>
      </c>
      <c r="P120" s="6"/>
      <c r="Q120" s="34">
        <v>227.06</v>
      </c>
      <c r="R120" s="34" cm="1">
        <f t="array" ref="R120">Q120/1000</f>
        <v>0.22706</v>
      </c>
      <c r="S120" s="6"/>
      <c r="T120" s="34" cm="1">
        <f t="array" ref="T120">$R120*L120</f>
        <v>0.709894000941645</v>
      </c>
      <c r="U120" s="34" cm="1">
        <f t="array" ref="U120">$R120*M120</f>
        <v>2.36084440487314</v>
      </c>
      <c r="V120" s="34" cm="1">
        <f t="array" ref="V120">$R120*N120</f>
        <v>2.50526534716832</v>
      </c>
      <c r="W120" s="34" cm="1">
        <f t="array" ref="W120">$R120*O120</f>
        <v>-0.650090858547769</v>
      </c>
      <c r="X120" s="6"/>
      <c r="Y120" s="34" cm="1">
        <f t="array" ref="Y120">AVERAGE(T120:T122)</f>
        <v>0.618318122560427</v>
      </c>
      <c r="Z120" s="34" cm="1">
        <f t="array" ref="Z120">AVERAGE(U120:U122)</f>
        <v>1.05726070827428</v>
      </c>
      <c r="AA120" s="34" cm="1">
        <f t="array" ref="AA120">AVERAGE(V120:V122)</f>
        <v>1.75092617776904</v>
      </c>
      <c r="AB120" s="34" cm="1">
        <f t="array" ref="AB120">AVERAGE(W120:W122)</f>
        <v>-0.861424711690855</v>
      </c>
      <c r="AC120" s="6"/>
      <c r="AD120" s="41">
        <v>0.010209657</v>
      </c>
      <c r="AE120" s="35"/>
      <c r="AF120" s="41" cm="1">
        <f t="array" ref="AF120">Y120/$AD120</f>
        <v>60.5620857351454</v>
      </c>
      <c r="AG120" s="41" cm="1">
        <f t="array" ref="AG120">Z120/$AD120</f>
        <v>103.554968425901</v>
      </c>
      <c r="AH120" s="41" cm="1">
        <f t="array" ref="AH120">AA120/$AD120</f>
        <v>171.497061827742</v>
      </c>
      <c r="AI120" s="41" cm="1">
        <f t="array" ref="AI120">AB120/$AD120</f>
        <v>-84.37352123493029</v>
      </c>
    </row>
    <row r="121" ht="17" customHeight="1">
      <c r="A121" s="6"/>
      <c r="B121" t="s" s="32">
        <v>72</v>
      </c>
      <c r="C121" s="34">
        <v>4</v>
      </c>
      <c r="D121" t="s" s="63">
        <v>182</v>
      </c>
      <c r="E121" s="37">
        <v>1.08461038411941</v>
      </c>
      <c r="F121" s="38">
        <v>3.28081001928265</v>
      </c>
      <c r="G121" s="42">
        <v>6.71168080266446</v>
      </c>
      <c r="H121" s="34">
        <v>-3.88327877293942</v>
      </c>
      <c r="I121" s="6"/>
      <c r="J121" s="34">
        <v>1.02804282519222</v>
      </c>
      <c r="K121" s="6"/>
      <c r="L121" s="34" cm="1">
        <f t="array" ref="L121">E121*$J121</f>
        <v>1.11502592352294</v>
      </c>
      <c r="M121" s="34" cm="1">
        <f t="array" ref="M121">F121*$J121</f>
        <v>3.37281320114228</v>
      </c>
      <c r="N121" s="34" cm="1">
        <f t="array" ref="N121">G121*$J121</f>
        <v>6.89989529415956</v>
      </c>
      <c r="O121" s="34" cm="1">
        <f t="array" ref="O121">H121*$J121</f>
        <v>-3.99217688074162</v>
      </c>
      <c r="P121" s="6"/>
      <c r="Q121" s="34">
        <v>226.74</v>
      </c>
      <c r="R121" s="34" cm="1">
        <f t="array" ref="R121">Q121/1000</f>
        <v>0.22674</v>
      </c>
      <c r="S121" s="6"/>
      <c r="T121" s="34" cm="1">
        <f t="array" ref="T121">$R121*L121</f>
        <v>0.252820977899591</v>
      </c>
      <c r="U121" s="34" cm="1">
        <f t="array" ref="U121">$R121*M121</f>
        <v>0.764751665227001</v>
      </c>
      <c r="V121" s="34" cm="1">
        <f t="array" ref="V121">$R121*N121</f>
        <v>1.56448225899774</v>
      </c>
      <c r="W121" s="34" cm="1">
        <f t="array" ref="W121">$R121*O121</f>
        <v>-0.905186185939355</v>
      </c>
      <c r="X121" s="6"/>
      <c r="Y121" s="6"/>
      <c r="Z121" s="6"/>
      <c r="AA121" s="6"/>
      <c r="AB121" s="6"/>
      <c r="AC121" s="6"/>
      <c r="AD121" s="41">
        <v>0.010209657</v>
      </c>
      <c r="AE121" s="35"/>
      <c r="AF121" s="41" cm="1">
        <f t="array" ref="AF121">Y121/$AD121</f>
        <v>0</v>
      </c>
      <c r="AG121" s="41" cm="1">
        <f t="array" ref="AG121">Z121/$AD121</f>
        <v>0</v>
      </c>
      <c r="AH121" s="41" cm="1">
        <f t="array" ref="AH121">AA121/$AD121</f>
        <v>0</v>
      </c>
      <c r="AI121" s="41" cm="1">
        <f t="array" ref="AI121">AB121/$AD121</f>
        <v>0</v>
      </c>
    </row>
    <row r="122" ht="17" customHeight="1">
      <c r="A122" s="6"/>
      <c r="B122" t="s" s="8">
        <v>74</v>
      </c>
      <c r="C122" s="34">
        <v>4</v>
      </c>
      <c r="D122" t="s" s="63">
        <v>183</v>
      </c>
      <c r="E122" s="37">
        <v>3.78586983210549</v>
      </c>
      <c r="F122" s="38">
        <v>0.195972508528123</v>
      </c>
      <c r="G122" s="39">
        <v>5.01973030279893</v>
      </c>
      <c r="H122" s="40">
        <v>-4.36614779766254</v>
      </c>
      <c r="I122" s="6"/>
      <c r="J122" s="34">
        <v>1.03059381187046</v>
      </c>
      <c r="K122" s="6"/>
      <c r="L122" s="34" cm="1">
        <f t="array" ref="L122">E122*$J122</f>
        <v>3.90169402151498</v>
      </c>
      <c r="M122" s="34" cm="1">
        <f t="array" ref="M122">F122*$J122</f>
        <v>0.201968054585815</v>
      </c>
      <c r="N122" s="34" cm="1">
        <f t="array" ref="N122">G122*$J122</f>
        <v>5.17330298732321</v>
      </c>
      <c r="O122" s="34" cm="1">
        <f t="array" ref="O122">H122*$J122</f>
        <v>-4.49972490198285</v>
      </c>
      <c r="P122" s="6"/>
      <c r="Q122" s="34">
        <v>228.68</v>
      </c>
      <c r="R122" s="34" cm="1">
        <f t="array" ref="R122">Q122/1000</f>
        <v>0.22868</v>
      </c>
      <c r="S122" s="6"/>
      <c r="T122" s="34" cm="1">
        <f t="array" ref="T122">$R122*L122</f>
        <v>0.8922393888400461</v>
      </c>
      <c r="U122" s="34" cm="1">
        <f t="array" ref="U122">$R122*M122</f>
        <v>0.0461860547226842</v>
      </c>
      <c r="V122" s="34" cm="1">
        <f t="array" ref="V122">$R122*N122</f>
        <v>1.18303092714107</v>
      </c>
      <c r="W122" s="34" cm="1">
        <f t="array" ref="W122">$R122*O122</f>
        <v>-1.02899709058544</v>
      </c>
      <c r="X122" s="6"/>
      <c r="Y122" s="6"/>
      <c r="Z122" s="6"/>
      <c r="AA122" s="6"/>
      <c r="AB122" s="6"/>
      <c r="AC122" s="6"/>
      <c r="AD122" s="41">
        <v>0.010209657</v>
      </c>
      <c r="AE122" s="35"/>
      <c r="AF122" s="41" cm="1">
        <f t="array" ref="AF122">Y122/$AD122</f>
        <v>0</v>
      </c>
      <c r="AG122" s="41" cm="1">
        <f t="array" ref="AG122">Z122/$AD122</f>
        <v>0</v>
      </c>
      <c r="AH122" s="41" cm="1">
        <f t="array" ref="AH122">AA122/$AD122</f>
        <v>0</v>
      </c>
      <c r="AI122" s="41" cm="1">
        <f t="array" ref="AI122">AB122/$AD122</f>
        <v>0</v>
      </c>
    </row>
    <row r="123" ht="17" customHeight="1">
      <c r="A123" s="6"/>
      <c r="B123" t="s" s="25">
        <v>76</v>
      </c>
      <c r="C123" s="34">
        <v>4</v>
      </c>
      <c r="D123" t="s" s="63">
        <v>184</v>
      </c>
      <c r="E123" s="37">
        <v>227.588179465066</v>
      </c>
      <c r="F123" s="38">
        <v>228.268221534254</v>
      </c>
      <c r="G123" s="42">
        <v>1333.655162310160</v>
      </c>
      <c r="H123" s="34">
        <v>-131.644594490854</v>
      </c>
      <c r="I123" s="6"/>
      <c r="J123" s="34">
        <v>1.0362064858611</v>
      </c>
      <c r="K123" s="6"/>
      <c r="L123" s="34" cm="1">
        <f t="array" ref="L123">E123*$J123</f>
        <v>235.828347667021</v>
      </c>
      <c r="M123" s="34" cm="1">
        <f t="array" ref="M123">F123*$J123</f>
        <v>236.533011669772</v>
      </c>
      <c r="N123" s="34" cm="1">
        <f t="array" ref="N123">G123*$J123</f>
        <v>1381.942129087930</v>
      </c>
      <c r="O123" s="34" cm="1">
        <f t="array" ref="O123">H123*$J123</f>
        <v>-136.410982639977</v>
      </c>
      <c r="P123" s="6"/>
      <c r="Q123" s="34">
        <v>222.4648</v>
      </c>
      <c r="R123" s="34" cm="1">
        <f t="array" ref="R123">Q123/1000</f>
        <v>0.2224648</v>
      </c>
      <c r="S123" s="6"/>
      <c r="T123" s="34" cm="1">
        <f t="array" ref="T123">$R123*L123</f>
        <v>52.4635061980743</v>
      </c>
      <c r="U123" s="34" cm="1">
        <f t="array" ref="U123">$R123*M123</f>
        <v>52.6202691345135</v>
      </c>
      <c r="V123" s="34" cm="1">
        <f t="array" ref="V123">$R123*N123</f>
        <v>307.433479359121</v>
      </c>
      <c r="W123" s="34" cm="1">
        <f t="array" ref="W123">$R123*O123</f>
        <v>-30.346641970806</v>
      </c>
      <c r="X123" s="6"/>
      <c r="Y123" s="34" cm="1">
        <f t="array" ref="Y123">T123-Y$129-Y$3</f>
        <v>50.353835251797</v>
      </c>
      <c r="Z123" s="34" cm="1">
        <f t="array" ref="Z123">U123-Z$129-Z$3</f>
        <v>52.6192406232146</v>
      </c>
      <c r="AA123" s="34" cm="1">
        <f t="array" ref="AA123">V123-AA$129-AA$3</f>
        <v>306.384590326859</v>
      </c>
      <c r="AB123" s="34" cm="1">
        <f t="array" ref="AB123">W123-AB$129-AB$3</f>
        <v>-3.6748547161111</v>
      </c>
      <c r="AC123" s="6"/>
      <c r="AD123" s="41">
        <v>0.010209657</v>
      </c>
      <c r="AE123" s="35"/>
      <c r="AF123" s="41" cm="1">
        <f t="array" ref="AF123">Y123/$AD123</f>
        <v>4931.981089256670</v>
      </c>
      <c r="AG123" s="41" cm="1">
        <f t="array" ref="AG123">Z123/$AD123</f>
        <v>5153.8695788913</v>
      </c>
      <c r="AH123" s="41" cm="1">
        <f t="array" ref="AH123">AA123/$AD123</f>
        <v>30009.2931943609</v>
      </c>
      <c r="AI123" s="41" cm="1">
        <f t="array" ref="AI123">AB123/$AD123</f>
        <v>-359.939096495710</v>
      </c>
    </row>
    <row r="124" ht="17" customHeight="1">
      <c r="A124" s="6"/>
      <c r="B124" t="s" s="32">
        <v>78</v>
      </c>
      <c r="C124" s="34">
        <v>4</v>
      </c>
      <c r="D124" t="s" s="63">
        <v>185</v>
      </c>
      <c r="E124" s="37">
        <v>111.547120053756</v>
      </c>
      <c r="F124" s="38">
        <v>206.873563772048</v>
      </c>
      <c r="G124" s="39">
        <v>1742.431328182720</v>
      </c>
      <c r="H124" s="40">
        <v>-143.378031942936</v>
      </c>
      <c r="I124" s="6"/>
      <c r="J124" s="34">
        <v>1.03419921811896</v>
      </c>
      <c r="K124" s="6"/>
      <c r="L124" s="34" cm="1">
        <f t="array" ref="L124">E124*$J124</f>
        <v>115.361944343016</v>
      </c>
      <c r="M124" s="34" cm="1">
        <f t="array" ref="M124">F124*$J124</f>
        <v>213.948477902535</v>
      </c>
      <c r="N124" s="34" cm="1">
        <f t="array" ref="N124">G124*$J124</f>
        <v>1802.021117232550</v>
      </c>
      <c r="O124" s="34" cm="1">
        <f t="array" ref="O124">H124*$J124</f>
        <v>-148.281448530820</v>
      </c>
      <c r="P124" s="6"/>
      <c r="Q124" s="34">
        <v>221.5122</v>
      </c>
      <c r="R124" s="34" cm="1">
        <f t="array" ref="R124">Q124/1000</f>
        <v>0.2215122</v>
      </c>
      <c r="S124" s="6"/>
      <c r="T124" s="34" cm="1">
        <f t="array" ref="T124">$R124*L124</f>
        <v>25.554078087699</v>
      </c>
      <c r="U124" s="34" cm="1">
        <f t="array" ref="U124">$R124*M124</f>
        <v>47.3921980268419</v>
      </c>
      <c r="V124" s="34" cm="1">
        <f t="array" ref="V124">$R124*N124</f>
        <v>399.169662124640</v>
      </c>
      <c r="W124" s="34" cm="1">
        <f t="array" ref="W124">$R124*O124</f>
        <v>-32.8461498832487</v>
      </c>
      <c r="X124" s="6"/>
      <c r="Y124" s="34" cm="1">
        <f t="array" ref="Y124">T124-Y$129-Y$3</f>
        <v>23.4444071414217</v>
      </c>
      <c r="Z124" s="34" cm="1">
        <f t="array" ref="Z124">U124-Z$129-Z$3</f>
        <v>47.391169515543</v>
      </c>
      <c r="AA124" s="34" cm="1">
        <f t="array" ref="AA124">V124-AA$129-AA$3</f>
        <v>398.120773092378</v>
      </c>
      <c r="AB124" s="34" cm="1">
        <f t="array" ref="AB124">W124-AB$129-AB$3</f>
        <v>-6.1743626285538</v>
      </c>
      <c r="AC124" s="6"/>
      <c r="AD124" s="41">
        <v>0.010209657</v>
      </c>
      <c r="AE124" s="35"/>
      <c r="AF124" s="41" cm="1">
        <f t="array" ref="AF124">Y124/$AD124</f>
        <v>2296.297235198180</v>
      </c>
      <c r="AG124" s="41" cm="1">
        <f t="array" ref="AG124">Z124/$AD124</f>
        <v>4641.798398863250</v>
      </c>
      <c r="AH124" s="41" cm="1">
        <f t="array" ref="AH124">AA124/$AD124</f>
        <v>38994.5296979495</v>
      </c>
      <c r="AI124" s="41" cm="1">
        <f t="array" ref="AI124">AB124/$AD124</f>
        <v>-604.757106781726</v>
      </c>
    </row>
    <row r="125" ht="17" customHeight="1">
      <c r="A125" s="6"/>
      <c r="B125" t="s" s="32">
        <v>80</v>
      </c>
      <c r="C125" s="34">
        <v>4</v>
      </c>
      <c r="D125" t="s" s="63">
        <v>186</v>
      </c>
      <c r="E125" s="37">
        <v>91.3792663490493</v>
      </c>
      <c r="F125" s="38">
        <v>140.675175374803</v>
      </c>
      <c r="G125" s="42">
        <v>810.392632623786</v>
      </c>
      <c r="H125" s="34">
        <v>-142.056013232536</v>
      </c>
      <c r="I125" s="6"/>
      <c r="J125" s="34">
        <v>1.03176652892562</v>
      </c>
      <c r="K125" s="6"/>
      <c r="L125" s="34" cm="1">
        <f t="array" ref="L125">E125*$J125</f>
        <v>94.2820684567283</v>
      </c>
      <c r="M125" s="34" cm="1">
        <f t="array" ref="M125">F125*$J125</f>
        <v>145.143937402463</v>
      </c>
      <c r="N125" s="34" cm="1">
        <f t="array" ref="N125">G125*$J125</f>
        <v>836.135993629139</v>
      </c>
      <c r="O125" s="34" cm="1">
        <f t="array" ref="O125">H125*$J125</f>
        <v>-146.568639685946</v>
      </c>
      <c r="P125" s="6"/>
      <c r="Q125" s="34">
        <v>224.083</v>
      </c>
      <c r="R125" s="34" cm="1">
        <f t="array" ref="R125">Q125/1000</f>
        <v>0.224083</v>
      </c>
      <c r="S125" s="6"/>
      <c r="T125" s="34" cm="1">
        <f t="array" ref="T125">$R125*L125</f>
        <v>21.127008745989</v>
      </c>
      <c r="U125" s="34" cm="1">
        <f t="array" ref="U125">$R125*M125</f>
        <v>32.5242889249561</v>
      </c>
      <c r="V125" s="34" cm="1">
        <f t="array" ref="V125">$R125*N125</f>
        <v>187.363861860398</v>
      </c>
      <c r="W125" s="34" cm="1">
        <f t="array" ref="W125">$R125*O125</f>
        <v>-32.8435404867458</v>
      </c>
      <c r="X125" s="6"/>
      <c r="Y125" s="34" cm="1">
        <f t="array" ref="Y125">T125-Y$129-Y$3</f>
        <v>19.0173377997117</v>
      </c>
      <c r="Z125" s="34" cm="1">
        <f t="array" ref="Z125">U125-Z$129-Z$3</f>
        <v>32.5232604136572</v>
      </c>
      <c r="AA125" s="34" cm="1">
        <f t="array" ref="AA125">V125-AA$129-AA$3</f>
        <v>186.314972828136</v>
      </c>
      <c r="AB125" s="34" cm="1">
        <f t="array" ref="AB125">W125-AB$129-AB$3</f>
        <v>-6.1717532320509</v>
      </c>
      <c r="AC125" s="6"/>
      <c r="AD125" s="41">
        <v>0.010209657</v>
      </c>
      <c r="AE125" s="35"/>
      <c r="AF125" s="41" cm="1">
        <f t="array" ref="AF125">Y125/$AD125</f>
        <v>1862.681361353440</v>
      </c>
      <c r="AG125" s="41" cm="1">
        <f t="array" ref="AG125">Z125/$AD125</f>
        <v>3185.538986633650</v>
      </c>
      <c r="AH125" s="41" cm="1">
        <f t="array" ref="AH125">AA125/$AD125</f>
        <v>18248.8963956513</v>
      </c>
      <c r="AI125" s="41" cm="1">
        <f t="array" ref="AI125">AB125/$AD125</f>
        <v>-604.501525570438</v>
      </c>
    </row>
    <row r="126" ht="17" customHeight="1">
      <c r="A126" s="6"/>
      <c r="B126" t="s" s="32">
        <v>82</v>
      </c>
      <c r="C126" s="34">
        <v>4</v>
      </c>
      <c r="D126" t="s" s="63">
        <v>187</v>
      </c>
      <c r="E126" s="37">
        <v>6.75671615846636</v>
      </c>
      <c r="F126" s="38">
        <v>13.5224685019776</v>
      </c>
      <c r="G126" s="39">
        <v>286.228280632861</v>
      </c>
      <c r="H126" s="40">
        <v>451.197434085554</v>
      </c>
      <c r="I126" s="6"/>
      <c r="J126" s="34">
        <v>1.04686597663365</v>
      </c>
      <c r="K126" s="6"/>
      <c r="L126" s="34" cm="1">
        <f t="array" ref="L126">E126*$J126</f>
        <v>7.07337626006925</v>
      </c>
      <c r="M126" s="34" cm="1">
        <f t="array" ref="M126">F126*$J126</f>
        <v>14.1562121948206</v>
      </c>
      <c r="N126" s="34" cm="1">
        <f t="array" ref="N126">G126*$J126</f>
        <v>299.642648544890</v>
      </c>
      <c r="O126" s="34" cm="1">
        <f t="array" ref="O126">H126*$J126</f>
        <v>472.343242488570</v>
      </c>
      <c r="P126" s="6"/>
      <c r="Q126" s="34">
        <v>222.3706</v>
      </c>
      <c r="R126" s="34" cm="1">
        <f t="array" ref="R126">Q126/1000</f>
        <v>0.2223706</v>
      </c>
      <c r="S126" s="6"/>
      <c r="T126" s="34" cm="1">
        <f t="array" ref="T126">$R126*L126</f>
        <v>1.57291092297736</v>
      </c>
      <c r="U126" s="34" cm="1">
        <f t="array" ref="U126">$R126*M126</f>
        <v>3.14792539948957</v>
      </c>
      <c r="V126" s="34" cm="1">
        <f t="array" ref="V126">$R126*N126</f>
        <v>66.6317155425163</v>
      </c>
      <c r="W126" s="34" cm="1">
        <f t="array" ref="W126">$R126*O126</f>
        <v>105.035250238129</v>
      </c>
      <c r="X126" s="6"/>
      <c r="Y126" s="34" cm="1">
        <f t="array" ref="Y126">T126-Y$129-Y$3</f>
        <v>-0.53676002329992</v>
      </c>
      <c r="Z126" s="34" cm="1">
        <f t="array" ref="Z126">U126-Z$129-Z$3</f>
        <v>3.14689688819063</v>
      </c>
      <c r="AA126" s="34" cm="1">
        <f t="array" ref="AA126">V126-AA$129-AA$3</f>
        <v>65.58282651025461</v>
      </c>
      <c r="AB126" s="34" cm="1">
        <f t="array" ref="AB126">W126-AB$129-AB$3</f>
        <v>131.707037492824</v>
      </c>
      <c r="AC126" s="6"/>
      <c r="AD126" s="41">
        <v>0.010209657</v>
      </c>
      <c r="AE126" s="35"/>
      <c r="AF126" s="41" cm="1">
        <f t="array" ref="AF126">Y126/$AD126</f>
        <v>-52.5737567187536</v>
      </c>
      <c r="AG126" s="41" cm="1">
        <f t="array" ref="AG126">Z126/$AD126</f>
        <v>308.227483860685</v>
      </c>
      <c r="AH126" s="41" cm="1">
        <f t="array" ref="AH126">AA126/$AD126</f>
        <v>6423.607228945560</v>
      </c>
      <c r="AI126" s="41" cm="1">
        <f t="array" ref="AI126">AB126/$AD126</f>
        <v>12900.2411631286</v>
      </c>
    </row>
    <row r="127" ht="17" customHeight="1">
      <c r="A127" s="6"/>
      <c r="B127" t="s" s="32">
        <v>84</v>
      </c>
      <c r="C127" s="34">
        <v>4</v>
      </c>
      <c r="D127" t="s" s="63">
        <v>188</v>
      </c>
      <c r="E127" s="37">
        <v>5.84041684395587</v>
      </c>
      <c r="F127" s="61">
        <v>0.00444367741622345</v>
      </c>
      <c r="G127" s="42">
        <v>29.1858112393382</v>
      </c>
      <c r="H127" s="34">
        <v>475.586908541219</v>
      </c>
      <c r="I127" s="6"/>
      <c r="J127" s="34">
        <v>1.05860228435521</v>
      </c>
      <c r="K127" s="6"/>
      <c r="L127" s="34" cm="1">
        <f t="array" ref="L127">E127*$J127</f>
        <v>6.18267861259833</v>
      </c>
      <c r="M127" s="34" cm="1">
        <f t="array" ref="M127">F127*$J127</f>
        <v>0.0047040870637518</v>
      </c>
      <c r="N127" s="34" cm="1">
        <f t="array" ref="N127">G127*$J127</f>
        <v>30.8961664487234</v>
      </c>
      <c r="O127" s="34" cm="1">
        <f t="array" ref="O127">H127*$J127</f>
        <v>503.457387791167</v>
      </c>
      <c r="P127" s="6"/>
      <c r="Q127" s="34">
        <v>223.6038</v>
      </c>
      <c r="R127" s="34" cm="1">
        <f t="array" ref="R127">Q127/1000</f>
        <v>0.2236038</v>
      </c>
      <c r="S127" s="6"/>
      <c r="T127" s="34" cm="1">
        <f t="array" ref="T127">$R127*L127</f>
        <v>1.38247043195571</v>
      </c>
      <c r="U127" s="34" cm="1">
        <f t="array" ref="U127">$R127*M127</f>
        <v>0.00105185174298574</v>
      </c>
      <c r="V127" s="34" cm="1">
        <f t="array" ref="V127">$R127*N127</f>
        <v>6.90850022336706</v>
      </c>
      <c r="W127" s="34" cm="1">
        <f t="array" ref="W127">$R127*O127</f>
        <v>112.574985048179</v>
      </c>
      <c r="X127" s="6"/>
      <c r="Y127" s="34" cm="1">
        <f t="array" ref="Y127">T127-Y$129-Y$3</f>
        <v>-0.72720051432157</v>
      </c>
      <c r="Z127" s="34" cm="1">
        <f t="array" ref="Z127">U127-Z$129-Z$3</f>
        <v>2.334044404744e-05</v>
      </c>
      <c r="AA127" s="34" cm="1">
        <f t="array" ref="AA127">V127-AA$129-AA$3</f>
        <v>5.85961119110536</v>
      </c>
      <c r="AB127" s="34" cm="1">
        <f t="array" ref="AB127">W127-AB$129-AB$3</f>
        <v>139.246772302874</v>
      </c>
      <c r="AC127" s="6"/>
      <c r="AD127" s="41">
        <v>0.010209657</v>
      </c>
      <c r="AE127" s="35"/>
      <c r="AF127" s="41" cm="1">
        <f t="array" ref="AF127">Y127/$AD127</f>
        <v>-71.2267331137148</v>
      </c>
      <c r="AG127" s="41" cm="1">
        <f t="array" ref="AG127">Z127/$AD127</f>
        <v>0.00228611441573796</v>
      </c>
      <c r="AH127" s="41" cm="1">
        <f t="array" ref="AH127">AA127/$AD127</f>
        <v>573.928310334555</v>
      </c>
      <c r="AI127" s="41" cm="1">
        <f t="array" ref="AI127">AB127/$AD127</f>
        <v>13638.7316736374</v>
      </c>
    </row>
    <row r="128" ht="17" customHeight="1">
      <c r="A128" s="6"/>
      <c r="B128" t="s" s="32">
        <v>86</v>
      </c>
      <c r="C128" s="34">
        <v>4</v>
      </c>
      <c r="D128" t="s" s="63">
        <v>189</v>
      </c>
      <c r="E128" s="37">
        <v>8.66629202929885</v>
      </c>
      <c r="F128" s="61">
        <v>0.00444367741622345</v>
      </c>
      <c r="G128" s="39">
        <v>10.7985172827921</v>
      </c>
      <c r="H128" s="40">
        <v>690.531656356586</v>
      </c>
      <c r="I128" s="6"/>
      <c r="J128" s="34">
        <v>1.04294091297797</v>
      </c>
      <c r="K128" s="6"/>
      <c r="L128" s="34" cm="1">
        <f t="array" ref="L128">E128*$J128</f>
        <v>9.03843052117065</v>
      </c>
      <c r="M128" s="34" cm="1">
        <f t="array" ref="M128">F128*$J128</f>
        <v>0.00463449298145567</v>
      </c>
      <c r="N128" s="34" cm="1">
        <f t="array" ref="N128">G128*$J128</f>
        <v>11.2622154737236</v>
      </c>
      <c r="O128" s="34" cm="1">
        <f t="array" ref="O128">H128*$J128</f>
        <v>720.183716120728</v>
      </c>
      <c r="P128" s="6"/>
      <c r="Q128" s="34">
        <v>223.6678</v>
      </c>
      <c r="R128" s="34" cm="1">
        <f t="array" ref="R128">Q128/1000</f>
        <v>0.2236678</v>
      </c>
      <c r="S128" s="6"/>
      <c r="T128" s="34" cm="1">
        <f t="array" ref="T128">$R128*L128</f>
        <v>2.02160587012309</v>
      </c>
      <c r="U128" s="34" cm="1">
        <f t="array" ref="U128">$R128*M128</f>
        <v>0.00103658684927763</v>
      </c>
      <c r="V128" s="34" cm="1">
        <f t="array" ref="V128">$R128*N128</f>
        <v>2.51899495813372</v>
      </c>
      <c r="W128" s="34" cm="1">
        <f t="array" ref="W128">$R128*O128</f>
        <v>161.081907380548</v>
      </c>
      <c r="X128" s="6"/>
      <c r="Y128" s="34" cm="1">
        <f t="array" ref="Y128">T128-Y$129-Y$3</f>
        <v>-0.08806507615419</v>
      </c>
      <c r="Z128" s="34" cm="1">
        <f t="array" ref="Z128">U128-Z$129-Z$3</f>
        <v>8.07555033933e-06</v>
      </c>
      <c r="AA128" s="34" cm="1">
        <f t="array" ref="AA128">V128-AA$129-AA$3</f>
        <v>1.47010592587202</v>
      </c>
      <c r="AB128" s="34" cm="1">
        <f t="array" ref="AB128">W128-AB$129-AB$3</f>
        <v>187.753694635243</v>
      </c>
      <c r="AC128" s="6"/>
      <c r="AD128" s="41">
        <v>0.010209657</v>
      </c>
      <c r="AE128" s="35"/>
      <c r="AF128" s="41" cm="1">
        <f t="array" ref="AF128">Y128/$AD128</f>
        <v>-8.62566452077577</v>
      </c>
      <c r="AG128" s="41" cm="1">
        <f t="array" ref="AG128">Z128/$AD128</f>
        <v>0.000790971757359723</v>
      </c>
      <c r="AH128" s="41" cm="1">
        <f t="array" ref="AH128">AA128/$AD128</f>
        <v>143.991705683356</v>
      </c>
      <c r="AI128" s="41" cm="1">
        <f t="array" ref="AI128">AB128/$AD128</f>
        <v>18389.8141372666</v>
      </c>
    </row>
    <row r="129" ht="17" customHeight="1">
      <c r="A129" s="6"/>
      <c r="B129" t="s" s="32">
        <v>88</v>
      </c>
      <c r="C129" s="34">
        <v>4</v>
      </c>
      <c r="D129" t="s" s="63">
        <v>190</v>
      </c>
      <c r="E129" s="37">
        <v>26.8958785807196</v>
      </c>
      <c r="F129" s="61">
        <v>0.00444367741622345</v>
      </c>
      <c r="G129" s="42">
        <v>3.71845284571744</v>
      </c>
      <c r="H129" s="34">
        <v>-3.23359417880989</v>
      </c>
      <c r="I129" s="6"/>
      <c r="J129" s="34">
        <v>1.03348607684173</v>
      </c>
      <c r="K129" s="6"/>
      <c r="L129" s="34" cm="1">
        <f t="array" ref="L129">E129*$J129</f>
        <v>27.7965160375994</v>
      </c>
      <c r="M129" s="34" cm="1">
        <f t="array" ref="M129">F129*$J129</f>
        <v>0.00459247873964297</v>
      </c>
      <c r="N129" s="34" cm="1">
        <f t="array" ref="N129">G129*$J129</f>
        <v>3.84296924344148</v>
      </c>
      <c r="O129" s="34" cm="1">
        <f t="array" ref="O129">H129*$J129</f>
        <v>-3.34187456195649</v>
      </c>
      <c r="P129" s="6"/>
      <c r="Q129" s="34">
        <v>223.68</v>
      </c>
      <c r="R129" s="34" cm="1">
        <f t="array" ref="R129">Q129/1000</f>
        <v>0.22368</v>
      </c>
      <c r="S129" s="6"/>
      <c r="T129" s="34" cm="1">
        <f t="array" ref="T129">$R129*L129</f>
        <v>6.21752470729023</v>
      </c>
      <c r="U129" s="34" cm="1">
        <f t="array" ref="U129">$R129*M129</f>
        <v>0.00102724564448334</v>
      </c>
      <c r="V129" s="34" cm="1">
        <f t="array" ref="V129">$R129*N129</f>
        <v>0.85959536037299</v>
      </c>
      <c r="W129" s="34" cm="1">
        <f t="array" ref="W129">$R129*O129</f>
        <v>-0.7475105020184279</v>
      </c>
      <c r="X129" s="6"/>
      <c r="Y129" s="34" cm="1">
        <f t="array" ref="Y129">AVERAGE(T129:T131)</f>
        <v>2.10967094627728</v>
      </c>
      <c r="Z129" s="34" cm="1">
        <f t="array" ref="Z129">AVERAGE(U129:U131)</f>
        <v>0.0010285112989383</v>
      </c>
      <c r="AA129" s="34" cm="1">
        <f t="array" ref="AA129">AVERAGE(V129:V131)</f>
        <v>1.0488890322617</v>
      </c>
      <c r="AB129" s="34" cm="1">
        <f t="array" ref="AB129">AVERAGE(W129:W131)</f>
        <v>-26.6717872546949</v>
      </c>
      <c r="AC129" s="6"/>
      <c r="AD129" s="41">
        <v>0.010209657</v>
      </c>
      <c r="AE129" s="35"/>
      <c r="AF129" s="41" cm="1">
        <f t="array" ref="AF129">Y129/$AD129</f>
        <v>206.634850345832</v>
      </c>
      <c r="AG129" s="41" cm="1">
        <f t="array" ref="AG129">Z129/$AD129</f>
        <v>0.100739064881249</v>
      </c>
      <c r="AH129" s="41" cm="1">
        <f t="array" ref="AH129">AA129/$AD129</f>
        <v>102.734992200198</v>
      </c>
      <c r="AI129" s="41" cm="1">
        <f t="array" ref="AI129">AB129/$AD129</f>
        <v>-2612.407767929410</v>
      </c>
    </row>
    <row r="130" ht="17" customHeight="1">
      <c r="A130" s="6"/>
      <c r="B130" t="s" s="32">
        <v>90</v>
      </c>
      <c r="C130" s="34">
        <v>4</v>
      </c>
      <c r="D130" t="s" s="63">
        <v>191</v>
      </c>
      <c r="E130" s="37">
        <v>-0.855604505945369</v>
      </c>
      <c r="F130" s="61">
        <v>0.00444367741622345</v>
      </c>
      <c r="G130" s="39">
        <v>5.07947626939592</v>
      </c>
      <c r="H130" s="40">
        <v>-3.43589216897009</v>
      </c>
      <c r="I130" s="6"/>
      <c r="J130" s="34">
        <v>1.03394209209372</v>
      </c>
      <c r="K130" s="6"/>
      <c r="L130" s="34" cm="1">
        <f t="array" ref="L130">E130*$J130</f>
        <v>-0.884645512881969</v>
      </c>
      <c r="M130" s="34" cm="1">
        <f t="array" ref="M130">F130*$J130</f>
        <v>0.00459450512431969</v>
      </c>
      <c r="N130" s="34" cm="1">
        <f t="array" ref="N130">G130*$J130</f>
        <v>5.25188432071962</v>
      </c>
      <c r="O130" s="34" cm="1">
        <f t="array" ref="O130">H130*$J130</f>
        <v>-3.55251353739336</v>
      </c>
      <c r="P130" s="6"/>
      <c r="Q130" s="34">
        <v>223.88</v>
      </c>
      <c r="R130" s="34" cm="1">
        <f t="array" ref="R130">Q130/1000</f>
        <v>0.22388</v>
      </c>
      <c r="S130" s="6"/>
      <c r="T130" s="34" cm="1">
        <f t="array" ref="T130">$R130*L130</f>
        <v>-0.198054437424015</v>
      </c>
      <c r="U130" s="34" cm="1">
        <f t="array" ref="U130">$R130*M130</f>
        <v>0.00102861780723269</v>
      </c>
      <c r="V130" s="34" cm="1">
        <f t="array" ref="V130">$R130*N130</f>
        <v>1.17579186172271</v>
      </c>
      <c r="W130" s="34" cm="1">
        <f t="array" ref="W130">$R130*O130</f>
        <v>-0.795336730751625</v>
      </c>
      <c r="X130" s="6"/>
      <c r="Y130" s="6"/>
      <c r="Z130" s="6"/>
      <c r="AA130" s="6"/>
      <c r="AB130" s="6"/>
      <c r="AC130" s="6"/>
      <c r="AD130" s="41">
        <v>0.010209657</v>
      </c>
      <c r="AE130" s="35"/>
      <c r="AF130" s="41" cm="1">
        <f t="array" ref="AF130">Y130/$AD130</f>
        <v>0</v>
      </c>
      <c r="AG130" s="41" cm="1">
        <f t="array" ref="AG130">Z130/$AD130</f>
        <v>0</v>
      </c>
      <c r="AH130" s="41" cm="1">
        <f t="array" ref="AH130">AA130/$AD130</f>
        <v>0</v>
      </c>
      <c r="AI130" s="41" cm="1">
        <f t="array" ref="AI130">AB130/$AD130</f>
        <v>0</v>
      </c>
    </row>
    <row r="131" ht="17" customHeight="1">
      <c r="A131" s="6"/>
      <c r="B131" t="s" s="8">
        <v>92</v>
      </c>
      <c r="C131" s="34">
        <v>4</v>
      </c>
      <c r="D131" t="s" s="63">
        <v>192</v>
      </c>
      <c r="E131" s="37">
        <v>1.33587142334673</v>
      </c>
      <c r="F131" s="61">
        <v>0.00444367741622345</v>
      </c>
      <c r="G131" s="42">
        <v>4.79587357854748</v>
      </c>
      <c r="H131" s="34">
        <v>-338.658395292275</v>
      </c>
      <c r="I131" s="6"/>
      <c r="J131" s="34">
        <v>1.03352292586826</v>
      </c>
      <c r="K131" s="6"/>
      <c r="L131" s="34" cm="1">
        <f t="array" ref="L131">E131*$J131</f>
        <v>1.38065374204111</v>
      </c>
      <c r="M131" s="34" cm="1">
        <f t="array" ref="M131">F131*$J131</f>
        <v>0.00459264248482997</v>
      </c>
      <c r="N131" s="34" cm="1">
        <f t="array" ref="N131">G131*$J131</f>
        <v>4.95664529299467</v>
      </c>
      <c r="O131" s="34" cm="1">
        <f t="array" ref="O131">H131*$J131</f>
        <v>-350.011215572322</v>
      </c>
      <c r="P131" s="6"/>
      <c r="Q131" s="34">
        <v>224.2</v>
      </c>
      <c r="R131" s="34" cm="1">
        <f t="array" ref="R131">Q131/1000</f>
        <v>0.2242</v>
      </c>
      <c r="S131" s="6"/>
      <c r="T131" s="34" cm="1">
        <f t="array" ref="T131">$R131*L131</f>
        <v>0.309542568965617</v>
      </c>
      <c r="U131" s="34" cm="1">
        <f t="array" ref="U131">$R131*M131</f>
        <v>0.00102967044509888</v>
      </c>
      <c r="V131" s="34" cm="1">
        <f t="array" ref="V131">$R131*N131</f>
        <v>1.11127987468941</v>
      </c>
      <c r="W131" s="34" cm="1">
        <f t="array" ref="W131">$R131*O131</f>
        <v>-78.4725145313146</v>
      </c>
      <c r="X131" s="6"/>
      <c r="Y131" s="6"/>
      <c r="Z131" s="6"/>
      <c r="AA131" s="6"/>
      <c r="AB131" s="6"/>
      <c r="AC131" s="6"/>
      <c r="AD131" s="41">
        <v>0.010209657</v>
      </c>
      <c r="AE131" s="35"/>
      <c r="AF131" s="41" cm="1">
        <f t="array" ref="AF131">Y131/$AD131</f>
        <v>0</v>
      </c>
      <c r="AG131" s="41" cm="1">
        <f t="array" ref="AG131">Z131/$AD131</f>
        <v>0</v>
      </c>
      <c r="AH131" s="41" cm="1">
        <f t="array" ref="AH131">AA131/$AD131</f>
        <v>0</v>
      </c>
      <c r="AI131" s="41" cm="1">
        <f t="array" ref="AI131">AB131/$AD131</f>
        <v>0</v>
      </c>
    </row>
    <row r="132" ht="17" customHeight="1">
      <c r="A132" s="6"/>
      <c r="B132" t="s" s="25">
        <v>94</v>
      </c>
      <c r="C132" s="34">
        <v>4</v>
      </c>
      <c r="D132" t="s" s="63">
        <v>193</v>
      </c>
      <c r="E132" s="37">
        <v>37.2666594813119</v>
      </c>
      <c r="F132" s="38">
        <v>1012.4673931744</v>
      </c>
      <c r="G132" s="39">
        <v>38341.8146218376</v>
      </c>
      <c r="H132" s="40">
        <v>177.309367750574</v>
      </c>
      <c r="I132" s="6"/>
      <c r="J132" s="34">
        <v>1.03904323827047</v>
      </c>
      <c r="K132" s="6"/>
      <c r="L132" s="34" cm="1">
        <f t="array" ref="L132">E132*$J132</f>
        <v>38.7216705469852</v>
      </c>
      <c r="M132" s="34" cm="1">
        <f t="array" ref="M132">F132*$J132</f>
        <v>1051.997398847190</v>
      </c>
      <c r="N132" s="34" cm="1">
        <f t="array" ref="N132">G132*$J132</f>
        <v>39838.8032258402</v>
      </c>
      <c r="O132" s="34" cm="1">
        <f t="array" ref="O132">H132*$J132</f>
        <v>184.232099643246</v>
      </c>
      <c r="P132" s="6"/>
      <c r="Q132" s="34">
        <v>224.257</v>
      </c>
      <c r="R132" s="34" cm="1">
        <f t="array" ref="R132">Q132/1000</f>
        <v>0.224257</v>
      </c>
      <c r="S132" s="6"/>
      <c r="T132" s="34" cm="1">
        <f t="array" ref="T132">$R132*L132</f>
        <v>8.683605671855259</v>
      </c>
      <c r="U132" s="34" cm="1">
        <f t="array" ref="U132">$R132*M132</f>
        <v>235.917780673274</v>
      </c>
      <c r="V132" s="34" cm="1">
        <f t="array" ref="V132">$R132*N132</f>
        <v>8934.130495017251</v>
      </c>
      <c r="W132" s="34" cm="1">
        <f t="array" ref="W132">$R132*O132</f>
        <v>41.3153379696954</v>
      </c>
      <c r="X132" s="6"/>
      <c r="Y132" s="34" cm="1">
        <f t="array" ref="Y132">T132-Y$138-Y$3</f>
        <v>8.492694486058991</v>
      </c>
      <c r="Z132" s="34" cm="1">
        <f t="array" ref="Z132">U132-Z$138-Z$3</f>
        <v>235.916738613574</v>
      </c>
      <c r="AA132" s="34" cm="1">
        <f t="array" ref="AA132">V132-AA$138-AA$3</f>
        <v>8931.851260999039</v>
      </c>
      <c r="AB132" s="34" cm="1">
        <f t="array" ref="AB132">W132-AB$138-AB$3</f>
        <v>41.0941964867323</v>
      </c>
      <c r="AC132" s="6"/>
      <c r="AD132" s="41">
        <v>0.010209657</v>
      </c>
      <c r="AE132" s="35"/>
      <c r="AF132" s="41" cm="1">
        <f t="array" ref="AF132">Y132/$AD132</f>
        <v>831.829559608025</v>
      </c>
      <c r="AG132" s="41" cm="1">
        <f t="array" ref="AG132">Z132/$AD132</f>
        <v>23107.214925396</v>
      </c>
      <c r="AH132" s="41" cm="1">
        <f t="array" ref="AH132">AA132/$AD132</f>
        <v>874843.421380272</v>
      </c>
      <c r="AI132" s="41" cm="1">
        <f t="array" ref="AI132">AB132/$AD132</f>
        <v>4025.032034546540</v>
      </c>
    </row>
    <row r="133" ht="17" customHeight="1">
      <c r="A133" s="6"/>
      <c r="B133" t="s" s="32">
        <v>96</v>
      </c>
      <c r="C133" s="34">
        <v>4</v>
      </c>
      <c r="D133" t="s" s="63">
        <v>194</v>
      </c>
      <c r="E133" s="37">
        <v>42.0518212391624</v>
      </c>
      <c r="F133" s="38">
        <v>940.329482335691</v>
      </c>
      <c r="G133" s="42">
        <v>37071.1516845571</v>
      </c>
      <c r="H133" s="34">
        <v>138.001724886228</v>
      </c>
      <c r="I133" s="6"/>
      <c r="J133" s="34">
        <v>1.02740261262552</v>
      </c>
      <c r="K133" s="6"/>
      <c r="L133" s="34" cm="1">
        <f t="array" ref="L133">E133*$J133</f>
        <v>43.2041510067768</v>
      </c>
      <c r="M133" s="34" cm="1">
        <f t="array" ref="M133">F133*$J133</f>
        <v>966.096966880492</v>
      </c>
      <c r="N133" s="34" cm="1">
        <f t="array" ref="N133">G133*$J133</f>
        <v>38086.9980937509</v>
      </c>
      <c r="O133" s="34" cm="1">
        <f t="array" ref="O133">H133*$J133</f>
        <v>141.783332694939</v>
      </c>
      <c r="P133" s="6"/>
      <c r="Q133" s="34">
        <v>226.0286</v>
      </c>
      <c r="R133" s="34" cm="1">
        <f t="array" ref="R133">Q133/1000</f>
        <v>0.2260286</v>
      </c>
      <c r="S133" s="6"/>
      <c r="T133" s="34" cm="1">
        <f t="array" ref="T133">$R133*L133</f>
        <v>9.765373766250351</v>
      </c>
      <c r="U133" s="34" cm="1">
        <f t="array" ref="U133">$R133*M133</f>
        <v>218.365544888244</v>
      </c>
      <c r="V133" s="34" cm="1">
        <f t="array" ref="V133">$R133*N133</f>
        <v>8608.750857333180</v>
      </c>
      <c r="W133" s="34" cm="1">
        <f t="array" ref="W133">$R133*O133</f>
        <v>32.0470881923713</v>
      </c>
      <c r="X133" s="6"/>
      <c r="Y133" s="34" cm="1">
        <f t="array" ref="Y133">T133-Y$138-Y$3</f>
        <v>9.57446258045408</v>
      </c>
      <c r="Z133" s="34" cm="1">
        <f t="array" ref="Z133">U133-Z$138-Z$3</f>
        <v>218.364502828544</v>
      </c>
      <c r="AA133" s="34" cm="1">
        <f t="array" ref="AA133">V133-AA$138-AA$3</f>
        <v>8606.471623314970</v>
      </c>
      <c r="AB133" s="34" cm="1">
        <f t="array" ref="AB133">W133-AB$138-AB$3</f>
        <v>31.8259467094082</v>
      </c>
      <c r="AC133" s="6"/>
      <c r="AD133" s="41">
        <v>0.010209657</v>
      </c>
      <c r="AE133" s="35"/>
      <c r="AF133" s="41" cm="1">
        <f t="array" ref="AF133">Y133/$AD133</f>
        <v>937.784940322097</v>
      </c>
      <c r="AG133" s="41" cm="1">
        <f t="array" ref="AG133">Z133/$AD133</f>
        <v>21388.0351542215</v>
      </c>
      <c r="AH133" s="41" cm="1">
        <f t="array" ref="AH133">AA133/$AD133</f>
        <v>842973.630095014</v>
      </c>
      <c r="AI133" s="41" cm="1">
        <f t="array" ref="AI133">AB133/$AD133</f>
        <v>3117.239561466970</v>
      </c>
    </row>
    <row r="134" ht="17" customHeight="1">
      <c r="A134" s="6"/>
      <c r="B134" t="s" s="32">
        <v>98</v>
      </c>
      <c r="C134" s="34">
        <v>4</v>
      </c>
      <c r="D134" t="s" s="63">
        <v>195</v>
      </c>
      <c r="E134" s="37">
        <v>49.5260445901674</v>
      </c>
      <c r="F134" s="38">
        <v>1007.950639086470</v>
      </c>
      <c r="G134" s="39">
        <v>38648.1874891513</v>
      </c>
      <c r="H134" s="40">
        <v>138.915750849068</v>
      </c>
      <c r="I134" s="6"/>
      <c r="J134" s="34">
        <v>1.02950731679756</v>
      </c>
      <c r="K134" s="6"/>
      <c r="L134" s="34" cm="1">
        <f t="array" ref="L134">E134*$J134</f>
        <v>50.9874252776196</v>
      </c>
      <c r="M134" s="34" cm="1">
        <f t="array" ref="M134">F134*$J134</f>
        <v>1037.6925579103</v>
      </c>
      <c r="N134" s="34" cm="1">
        <f t="array" ref="N134">G134*$J134</f>
        <v>39788.5918010452</v>
      </c>
      <c r="O134" s="34" cm="1">
        <f t="array" ref="O134">H134*$J134</f>
        <v>143.014781917542</v>
      </c>
      <c r="P134" s="6"/>
      <c r="Q134" s="34">
        <v>216</v>
      </c>
      <c r="R134" s="34" cm="1">
        <f t="array" ref="R134">Q134/1000</f>
        <v>0.216</v>
      </c>
      <c r="S134" s="6"/>
      <c r="T134" s="34" cm="1">
        <f t="array" ref="T134">$R134*L134</f>
        <v>11.0132838599658</v>
      </c>
      <c r="U134" s="34" cm="1">
        <f t="array" ref="U134">$R134*M134</f>
        <v>224.141592508625</v>
      </c>
      <c r="V134" s="34" cm="1">
        <f t="array" ref="V134">$R134*N134</f>
        <v>8594.335829025760</v>
      </c>
      <c r="W134" s="34" cm="1">
        <f t="array" ref="W134">$R134*O134</f>
        <v>30.8911928941891</v>
      </c>
      <c r="X134" s="6"/>
      <c r="Y134" s="34" cm="1">
        <f t="array" ref="Y134">T134-Y$138-Y$3</f>
        <v>10.8223726741695</v>
      </c>
      <c r="Z134" s="34" cm="1">
        <f t="array" ref="Z134">U134-Z$138-Z$3</f>
        <v>224.140550448925</v>
      </c>
      <c r="AA134" s="34" cm="1">
        <f t="array" ref="AA134">V134-AA$138-AA$3</f>
        <v>8592.056595007551</v>
      </c>
      <c r="AB134" s="34" cm="1">
        <f t="array" ref="AB134">W134-AB$138-AB$3</f>
        <v>30.670051411226</v>
      </c>
      <c r="AC134" s="6"/>
      <c r="AD134" s="41">
        <v>0.010209657</v>
      </c>
      <c r="AE134" s="35"/>
      <c r="AF134" s="41" cm="1">
        <f t="array" ref="AF134">Y134/$AD134</f>
        <v>1060.013345616750</v>
      </c>
      <c r="AG134" s="41" cm="1">
        <f t="array" ref="AG134">Z134/$AD134</f>
        <v>21953.7787066622</v>
      </c>
      <c r="AH134" s="41" cm="1">
        <f t="array" ref="AH134">AA134/$AD134</f>
        <v>841561.728764007</v>
      </c>
      <c r="AI134" s="41" cm="1">
        <f t="array" ref="AI134">AB134/$AD134</f>
        <v>3004.023681816730</v>
      </c>
    </row>
    <row r="135" ht="17" customHeight="1">
      <c r="A135" s="6"/>
      <c r="B135" t="s" s="32">
        <v>100</v>
      </c>
      <c r="C135" s="34">
        <v>4</v>
      </c>
      <c r="D135" t="s" s="63">
        <v>196</v>
      </c>
      <c r="E135" s="37">
        <v>8.621252673338841</v>
      </c>
      <c r="F135" s="38">
        <v>0.7767476063395951</v>
      </c>
      <c r="G135" s="42">
        <v>5.26111867122307</v>
      </c>
      <c r="H135" s="34">
        <v>1185.837915508760</v>
      </c>
      <c r="I135" s="6"/>
      <c r="J135" s="34">
        <v>1.03434631991988</v>
      </c>
      <c r="K135" s="6"/>
      <c r="L135" s="34" cm="1">
        <f t="array" ref="L135">E135*$J135</f>
        <v>8.91736097576746</v>
      </c>
      <c r="M135" s="34" cm="1">
        <f t="array" ref="M135">F135*$J135</f>
        <v>0.803426028123936</v>
      </c>
      <c r="N135" s="34" cm="1">
        <f t="array" ref="N135">G135*$J135</f>
        <v>5.44181873624135</v>
      </c>
      <c r="O135" s="34" cm="1">
        <f t="array" ref="O135">H135*$J135</f>
        <v>1226.567083927950</v>
      </c>
      <c r="P135" s="6"/>
      <c r="Q135" s="34">
        <v>224.9954</v>
      </c>
      <c r="R135" s="34" cm="1">
        <f t="array" ref="R135">Q135/1000</f>
        <v>0.2249954</v>
      </c>
      <c r="S135" s="6"/>
      <c r="T135" s="34" cm="1">
        <f t="array" ref="T135">$R135*L135</f>
        <v>2.00636519968719</v>
      </c>
      <c r="U135" s="34" cm="1">
        <f t="array" ref="U135">$R135*M135</f>
        <v>0.180767160568156</v>
      </c>
      <c r="V135" s="34" cm="1">
        <f t="array" ref="V135">$R135*N135</f>
        <v>1.22438418328812</v>
      </c>
      <c r="W135" s="34" cm="1">
        <f t="array" ref="W135">$R135*O135</f>
        <v>275.971951675203</v>
      </c>
      <c r="X135" s="6"/>
      <c r="Y135" s="34" cm="1">
        <f t="array" ref="Y135">T135-Y$138-Y$3</f>
        <v>1.81545401389092</v>
      </c>
      <c r="Z135" s="34" cm="1">
        <f t="array" ref="Z135">U135-Z$138-Z$3</f>
        <v>0.179725100868034</v>
      </c>
      <c r="AA135" s="34" cm="1">
        <f t="array" ref="AA135">V135-AA$138-AA$3</f>
        <v>-1.05484983492165</v>
      </c>
      <c r="AB135" s="34" cm="1">
        <f t="array" ref="AB135">W135-AB$138-AB$3</f>
        <v>275.750810192240</v>
      </c>
      <c r="AC135" s="6"/>
      <c r="AD135" s="41">
        <v>0.010209657</v>
      </c>
      <c r="AE135" s="35"/>
      <c r="AF135" s="41" cm="1">
        <f t="array" ref="AF135">Y135/$AD135</f>
        <v>177.817336458112</v>
      </c>
      <c r="AG135" s="41" cm="1">
        <f t="array" ref="AG135">Z135/$AD135</f>
        <v>17.6034416110193</v>
      </c>
      <c r="AH135" s="41" cm="1">
        <f t="array" ref="AH135">AA135/$AD135</f>
        <v>-103.318831859058</v>
      </c>
      <c r="AI135" s="41" cm="1">
        <f t="array" ref="AI135">AB135/$AD135</f>
        <v>27008.8221565367</v>
      </c>
    </row>
    <row r="136" ht="17" customHeight="1">
      <c r="A136" s="6"/>
      <c r="B136" t="s" s="32">
        <v>102</v>
      </c>
      <c r="C136" s="34">
        <v>4</v>
      </c>
      <c r="D136" t="s" s="63">
        <v>197</v>
      </c>
      <c r="E136" s="37">
        <v>0.39897635337265</v>
      </c>
      <c r="F136" s="43">
        <v>0.146117699282796</v>
      </c>
      <c r="G136" s="42">
        <v>6.97699015598629</v>
      </c>
      <c r="H136" s="34">
        <v>-4.62343036970927</v>
      </c>
      <c r="I136" s="6"/>
      <c r="J136" s="34">
        <v>1.02916121929402</v>
      </c>
      <c r="K136" s="6"/>
      <c r="L136" s="34" cm="1">
        <f t="array" ref="L136">E136*$J136</f>
        <v>0.410610990306478</v>
      </c>
      <c r="M136" s="34" cm="1">
        <f t="array" ref="M136">F136*$J136</f>
        <v>0.150378669554319</v>
      </c>
      <c r="N136" s="34" cm="1">
        <f t="array" ref="N136">G136*$J136</f>
        <v>7.18044769593723</v>
      </c>
      <c r="O136" s="34" cm="1">
        <f t="array" ref="O136">H136*$J136</f>
        <v>-4.75825523661099</v>
      </c>
      <c r="P136" s="6"/>
      <c r="Q136" s="34">
        <v>224.3574</v>
      </c>
      <c r="R136" s="34" cm="1">
        <f t="array" ref="R136">Q136/1000</f>
        <v>0.2243574</v>
      </c>
      <c r="S136" s="6"/>
      <c r="T136" s="34" cm="1">
        <f t="array" ref="T136">$R136*L136</f>
        <v>0.0921236141965866</v>
      </c>
      <c r="U136" s="34" cm="1">
        <f t="array" ref="U136">$R136*M136</f>
        <v>0.0337385673166662</v>
      </c>
      <c r="V136" s="34" cm="1">
        <f t="array" ref="V136">$R136*N136</f>
        <v>1.61098657589647</v>
      </c>
      <c r="W136" s="34" cm="1">
        <f t="array" ref="W136">$R136*O136</f>
        <v>-1.06754977342243</v>
      </c>
      <c r="X136" s="6"/>
      <c r="Y136" s="34" cm="1">
        <f t="array" ref="Y136">T136-Y$138-Y$3</f>
        <v>-0.09878757159967939</v>
      </c>
      <c r="Z136" s="34" cm="1">
        <f t="array" ref="Z136">U136-Z$138-Z$3</f>
        <v>0.0326965076165439</v>
      </c>
      <c r="AA136" s="34" cm="1">
        <f t="array" ref="AA136">V136-AA$138-AA$3</f>
        <v>-0.6682474423133</v>
      </c>
      <c r="AB136" s="34" cm="1">
        <f t="array" ref="AB136">W136-AB$138-AB$3</f>
        <v>-1.28869125638552</v>
      </c>
      <c r="AC136" s="6"/>
      <c r="AD136" s="41">
        <v>0.010209657</v>
      </c>
      <c r="AE136" s="35"/>
      <c r="AF136" s="41" cm="1">
        <f t="array" ref="AF136">Y136/$AD136</f>
        <v>-9.6758952430703</v>
      </c>
      <c r="AG136" s="41" cm="1">
        <f t="array" ref="AG136">Z136/$AD136</f>
        <v>3.2025079409175</v>
      </c>
      <c r="AH136" s="41" cm="1">
        <f t="array" ref="AH136">AA136/$AD136</f>
        <v>-65.4524870241282</v>
      </c>
      <c r="AI136" s="41" cm="1">
        <f t="array" ref="AI136">AB136/$AD136</f>
        <v>-126.222776767674</v>
      </c>
    </row>
    <row r="137" ht="17" customHeight="1">
      <c r="A137" s="6"/>
      <c r="B137" t="s" s="32">
        <v>104</v>
      </c>
      <c r="C137" s="34">
        <v>4</v>
      </c>
      <c r="D137" t="s" s="63">
        <v>198</v>
      </c>
      <c r="E137" s="37">
        <v>0.87159017030874</v>
      </c>
      <c r="F137" s="61">
        <v>0.00444367741622345</v>
      </c>
      <c r="G137" s="42">
        <v>8.923424620768481</v>
      </c>
      <c r="H137" s="34">
        <v>1371.145498294880</v>
      </c>
      <c r="I137" s="6"/>
      <c r="J137" s="34">
        <v>1.03185403745409</v>
      </c>
      <c r="K137" s="6"/>
      <c r="L137" s="34" cm="1">
        <f t="array" ref="L137">E137*$J137</f>
        <v>0.899353836238371</v>
      </c>
      <c r="M137" s="34" cm="1">
        <f t="array" ref="M137">F137*$J137</f>
        <v>0.00458522648307373</v>
      </c>
      <c r="N137" s="34" cm="1">
        <f t="array" ref="N137">G137*$J137</f>
        <v>9.20767172285719</v>
      </c>
      <c r="O137" s="34" cm="1">
        <f t="array" ref="O137">H137*$J137</f>
        <v>1414.822018352570</v>
      </c>
      <c r="P137" s="6"/>
      <c r="Q137" s="34">
        <v>225.7704</v>
      </c>
      <c r="R137" s="34" cm="1">
        <f t="array" ref="R137">Q137/1000</f>
        <v>0.2257704</v>
      </c>
      <c r="S137" s="6"/>
      <c r="T137" s="34" cm="1">
        <f t="array" ref="T137">$R137*L137</f>
        <v>0.203047475349072</v>
      </c>
      <c r="U137" s="34" cm="1">
        <f t="array" ref="U137">$R137*M137</f>
        <v>0.00103520841717415</v>
      </c>
      <c r="V137" s="34" cm="1">
        <f t="array" ref="V137">$R137*N137</f>
        <v>2.07881972793816</v>
      </c>
      <c r="W137" s="34" cm="1">
        <f t="array" ref="W137">$R137*O137</f>
        <v>319.424933012267</v>
      </c>
      <c r="X137" s="6"/>
      <c r="Y137" s="34" cm="1">
        <f t="array" ref="Y137">T137-Y$138-Y$3</f>
        <v>0.012136289552806</v>
      </c>
      <c r="Z137" s="34" cm="1">
        <f t="array" ref="Z137">U137-Z$138-Z$3</f>
        <v>-6.85128294812e-06</v>
      </c>
      <c r="AA137" s="34" cm="1">
        <f t="array" ref="AA137">V137-AA$138-AA$3</f>
        <v>-0.20041429027161</v>
      </c>
      <c r="AB137" s="34" cm="1">
        <f t="array" ref="AB137">W137-AB$138-AB$3</f>
        <v>319.203791529304</v>
      </c>
      <c r="AC137" s="6"/>
      <c r="AD137" s="41">
        <v>0.010209657</v>
      </c>
      <c r="AE137" s="35"/>
      <c r="AF137" s="41" cm="1">
        <f t="array" ref="AF137">Y137/$AD137</f>
        <v>1.18870688337581</v>
      </c>
      <c r="AG137" s="41" cm="1">
        <f t="array" ref="AG137">Z137/$AD137</f>
        <v>-0.000671059071633846</v>
      </c>
      <c r="AH137" s="41" cm="1">
        <f t="array" ref="AH137">AA137/$AD137</f>
        <v>-19.6298749577591</v>
      </c>
      <c r="AI137" s="41" cm="1">
        <f t="array" ref="AI137">AB137/$AD137</f>
        <v>31264.8888723004</v>
      </c>
    </row>
    <row r="138" ht="17" customHeight="1">
      <c r="A138" s="6"/>
      <c r="B138" t="s" s="32">
        <v>106</v>
      </c>
      <c r="C138" s="34">
        <v>4</v>
      </c>
      <c r="D138" t="s" s="63">
        <v>199</v>
      </c>
      <c r="E138" s="37">
        <v>0.095580232934903</v>
      </c>
      <c r="F138" s="61">
        <v>0.00444367741622345</v>
      </c>
      <c r="G138" s="39">
        <v>10.2396578902451</v>
      </c>
      <c r="H138" s="40">
        <v>0.796132936102773</v>
      </c>
      <c r="I138" s="6"/>
      <c r="J138" s="34">
        <v>1.02996736227871</v>
      </c>
      <c r="K138" s="6"/>
      <c r="L138" s="34" cm="1">
        <f t="array" ref="L138">E138*$J138</f>
        <v>0.09844452040194671</v>
      </c>
      <c r="M138" s="34" cm="1">
        <f t="array" ref="M138">F138*$J138</f>
        <v>0.00457684270720514</v>
      </c>
      <c r="N138" s="34" cm="1">
        <f t="array" ref="N138">G138*$J138</f>
        <v>10.5465134278521</v>
      </c>
      <c r="O138" s="34" cm="1">
        <f t="array" ref="O138">H138*$J138</f>
        <v>0.819990940220978</v>
      </c>
      <c r="P138" s="6"/>
      <c r="Q138" s="34">
        <v>225.32</v>
      </c>
      <c r="R138" s="34" cm="1">
        <f t="array" ref="R138">Q138/1000</f>
        <v>0.22532</v>
      </c>
      <c r="S138" s="6"/>
      <c r="T138" s="34" cm="1">
        <f t="array" ref="T138">$R138*L138</f>
        <v>0.0221815193369666</v>
      </c>
      <c r="U138" s="34" cm="1">
        <f t="array" ref="U138">$R138*M138</f>
        <v>0.00103125419878746</v>
      </c>
      <c r="V138" s="34" cm="1">
        <f t="array" ref="V138">$R138*N138</f>
        <v>2.37634040556364</v>
      </c>
      <c r="W138" s="34" cm="1">
        <f t="array" ref="W138">$R138*O138</f>
        <v>0.184760358650591</v>
      </c>
      <c r="X138" s="6"/>
      <c r="Y138" s="34" cm="1">
        <f t="array" ref="Y138">AVERAGE(T138:T140)</f>
        <v>0.190911185796266</v>
      </c>
      <c r="Z138" s="34" cm="1">
        <f t="array" ref="Z138">AVERAGE(U138:U140)</f>
        <v>0.00104205970012227</v>
      </c>
      <c r="AA138" s="34" cm="1">
        <f t="array" ref="AA138">AVERAGE(V138:V140)</f>
        <v>2.27923401820977</v>
      </c>
      <c r="AB138" s="34" cm="1">
        <f t="array" ref="AB138">AVERAGE(W138:W140)</f>
        <v>0.221141482963086</v>
      </c>
      <c r="AC138" s="6"/>
      <c r="AD138" s="41">
        <v>0.010209657</v>
      </c>
      <c r="AE138" s="35"/>
      <c r="AF138" s="41" cm="1">
        <f t="array" ref="AF138">Y138/$AD138</f>
        <v>18.6990792928955</v>
      </c>
      <c r="AG138" s="41" cm="1">
        <f t="array" ref="AG138">Z138/$AD138</f>
        <v>0.102066083133084</v>
      </c>
      <c r="AH138" s="41" cm="1">
        <f t="array" ref="AH138">AA138/$AD138</f>
        <v>223.242956958277</v>
      </c>
      <c r="AI138" s="41" cm="1">
        <f t="array" ref="AI138">AB138/$AD138</f>
        <v>21.6600305929069</v>
      </c>
    </row>
    <row r="139" ht="17" customHeight="1">
      <c r="A139" s="6"/>
      <c r="B139" t="s" s="32">
        <v>108</v>
      </c>
      <c r="C139" s="34">
        <v>4</v>
      </c>
      <c r="D139" t="s" s="63">
        <v>200</v>
      </c>
      <c r="E139" s="37">
        <v>1.24711478646929</v>
      </c>
      <c r="F139" s="61">
        <v>0.00444367741622345</v>
      </c>
      <c r="G139" s="42">
        <v>13.0009178127194</v>
      </c>
      <c r="H139" s="34">
        <v>1.0566718834065</v>
      </c>
      <c r="I139" s="6"/>
      <c r="J139" s="34">
        <v>1.02958265824906</v>
      </c>
      <c r="K139" s="6"/>
      <c r="L139" s="34" cm="1">
        <f t="array" ref="L139">E139*$J139</f>
        <v>1.28400775699476</v>
      </c>
      <c r="M139" s="34" cm="1">
        <f t="array" ref="M139">F139*$J139</f>
        <v>0.00457513320659665</v>
      </c>
      <c r="N139" s="34" cm="1">
        <f t="array" ref="N139">G139*$J139</f>
        <v>13.3855195212972</v>
      </c>
      <c r="O139" s="34" cm="1">
        <f t="array" ref="O139">H139*$J139</f>
        <v>1.08793104661471</v>
      </c>
      <c r="P139" s="6"/>
      <c r="Q139" s="34">
        <v>233.87</v>
      </c>
      <c r="R139" s="34" cm="1">
        <f t="array" ref="R139">Q139/1000</f>
        <v>0.23387</v>
      </c>
      <c r="S139" s="6"/>
      <c r="T139" s="34" cm="1">
        <f t="array" ref="T139">$R139*L139</f>
        <v>0.300290894128365</v>
      </c>
      <c r="U139" s="34" cm="1">
        <f t="array" ref="U139">$R139*M139</f>
        <v>0.00106998640302676</v>
      </c>
      <c r="V139" s="34" cm="1">
        <f t="array" ref="V139">$R139*N139</f>
        <v>3.13047145044578</v>
      </c>
      <c r="W139" s="34" cm="1">
        <f t="array" ref="W139">$R139*O139</f>
        <v>0.254434433871782</v>
      </c>
      <c r="X139" s="6"/>
      <c r="Y139" s="6"/>
      <c r="Z139" s="6"/>
      <c r="AA139" s="6"/>
      <c r="AB139" s="6"/>
      <c r="AC139" s="6"/>
      <c r="AD139" s="41">
        <v>0.010209657</v>
      </c>
      <c r="AE139" s="35"/>
      <c r="AF139" s="41" cm="1">
        <f t="array" ref="AF139">Y139/$AD139</f>
        <v>0</v>
      </c>
      <c r="AG139" s="41" cm="1">
        <f t="array" ref="AG139">Z139/$AD139</f>
        <v>0</v>
      </c>
      <c r="AH139" s="41" cm="1">
        <f t="array" ref="AH139">AA139/$AD139</f>
        <v>0</v>
      </c>
      <c r="AI139" s="41" cm="1">
        <f t="array" ref="AI139">AB139/$AD139</f>
        <v>0</v>
      </c>
    </row>
    <row r="140" ht="17" customHeight="1">
      <c r="A140" s="5"/>
      <c r="B140" t="s" s="8">
        <v>110</v>
      </c>
      <c r="C140" s="44">
        <v>4</v>
      </c>
      <c r="D140" t="s" s="64">
        <v>201</v>
      </c>
      <c r="E140" s="48">
        <v>1.08502099880278</v>
      </c>
      <c r="F140" s="61">
        <v>0.00444367741622345</v>
      </c>
      <c r="G140" s="39">
        <v>5.77014789417324</v>
      </c>
      <c r="H140" s="49">
        <v>0.972160048092822</v>
      </c>
      <c r="I140" s="5"/>
      <c r="J140" s="50">
        <v>1.02937014428413</v>
      </c>
      <c r="K140" s="5"/>
      <c r="L140" s="50" cm="1">
        <f t="array" ref="L140">E140*$J140</f>
        <v>1.11688822208893</v>
      </c>
      <c r="M140" s="50" cm="1">
        <f t="array" ref="M140">F140*$J140</f>
        <v>0.00457418886309006</v>
      </c>
      <c r="N140" s="50" cm="1">
        <f t="array" ref="N140">G140*$J140</f>
        <v>5.93961797036588</v>
      </c>
      <c r="O140" s="50" cm="1">
        <f t="array" ref="O140">H140*$J140</f>
        <v>1.00071252897257</v>
      </c>
      <c r="P140" s="5"/>
      <c r="Q140" s="44">
        <v>224.07</v>
      </c>
      <c r="R140" s="50" cm="1">
        <f t="array" ref="R140">Q140/1000</f>
        <v>0.22407</v>
      </c>
      <c r="S140" s="5"/>
      <c r="T140" s="50" cm="1">
        <f t="array" ref="T140">$R140*L140</f>
        <v>0.250261143923467</v>
      </c>
      <c r="U140" s="50" cm="1">
        <f t="array" ref="U140">$R140*M140</f>
        <v>0.00102493849855259</v>
      </c>
      <c r="V140" s="50" cm="1">
        <f t="array" ref="V140">$R140*N140</f>
        <v>1.33089019861988</v>
      </c>
      <c r="W140" s="50" cm="1">
        <f t="array" ref="W140">$R140*O140</f>
        <v>0.224229656366884</v>
      </c>
      <c r="X140" s="5"/>
      <c r="Y140" s="5"/>
      <c r="Z140" s="5"/>
      <c r="AA140" s="5"/>
      <c r="AB140" s="5"/>
      <c r="AC140" s="5"/>
      <c r="AD140" s="73">
        <v>0.010209657</v>
      </c>
      <c r="AE140" s="11"/>
      <c r="AF140" s="73" cm="1">
        <f t="array" ref="AF140">Y140/$AD140</f>
        <v>0</v>
      </c>
      <c r="AG140" s="73" cm="1">
        <f t="array" ref="AG140">Z140/$AD140</f>
        <v>0</v>
      </c>
      <c r="AH140" s="73" cm="1">
        <f t="array" ref="AH140">AA140/$AD140</f>
        <v>0</v>
      </c>
      <c r="AI140" s="73" cm="1">
        <f t="array" ref="AI140">AB140/$AD140</f>
        <v>0</v>
      </c>
    </row>
    <row r="141" ht="17" customHeight="1">
      <c r="A141" s="45">
        <v>6</v>
      </c>
      <c r="B141" t="s" s="25">
        <v>22</v>
      </c>
      <c r="C141" s="45">
        <v>6</v>
      </c>
      <c r="D141" t="s" s="25">
        <v>202</v>
      </c>
      <c r="E141" s="54">
        <v>8231.604039922669</v>
      </c>
      <c r="F141" s="38">
        <v>343.288348307353</v>
      </c>
      <c r="G141" s="42">
        <v>30443.1796472737</v>
      </c>
      <c r="H141" s="45">
        <v>369.600860181699</v>
      </c>
      <c r="I141" s="26"/>
      <c r="J141" s="56">
        <v>1.03228742441071</v>
      </c>
      <c r="K141" s="26"/>
      <c r="L141" s="56" cm="1">
        <f t="array" ref="L141">E141*$J141</f>
        <v>8497.381333140571</v>
      </c>
      <c r="M141" s="56" cm="1">
        <f t="array" ref="M141">F141*$J141</f>
        <v>354.372244904404</v>
      </c>
      <c r="N141" s="56" cm="1">
        <f t="array" ref="N141">G141*$J141</f>
        <v>31426.1115089567</v>
      </c>
      <c r="O141" s="56" cm="1">
        <f t="array" ref="O141">H141*$J141</f>
        <v>381.534320016949</v>
      </c>
      <c r="P141" s="26"/>
      <c r="Q141" s="45">
        <v>211.221</v>
      </c>
      <c r="R141" s="56" cm="1">
        <f t="array" ref="R141">Q141/1000</f>
        <v>0.211221</v>
      </c>
      <c r="S141" s="26"/>
      <c r="T141" s="56" cm="1">
        <f t="array" ref="T141">$R141*L141</f>
        <v>1794.825382567280</v>
      </c>
      <c r="U141" s="56" cm="1">
        <f t="array" ref="U141">$R141*M141</f>
        <v>74.8508599409531</v>
      </c>
      <c r="V141" s="56" cm="1">
        <f t="array" ref="V141">$R141*N141</f>
        <v>6637.854699033340</v>
      </c>
      <c r="W141" s="56" cm="1">
        <f t="array" ref="W141">$R141*O141</f>
        <v>80.5880606083</v>
      </c>
      <c r="X141" s="26"/>
      <c r="Y141" s="45" cm="1">
        <f t="array" ref="Y141">T141-Y$147-Y$3</f>
        <v>1793.855629124040</v>
      </c>
      <c r="Z141" s="45" cm="1">
        <f t="array" ref="Z141">U141-Z$147-Z$3</f>
        <v>61.4363493217867</v>
      </c>
      <c r="AA141" s="45" cm="1">
        <f t="array" ref="AA141">V141-AA$147-AA$3</f>
        <v>6632.703301351340</v>
      </c>
      <c r="AB141" s="45" cm="1">
        <f t="array" ref="AB141">W141-AB$147-AB$3</f>
        <v>84.1984313361331</v>
      </c>
      <c r="AC141" s="26"/>
      <c r="AD141" s="74">
        <v>0.010209657</v>
      </c>
      <c r="AE141" s="58"/>
      <c r="AF141" s="59" cm="1">
        <f t="array" ref="AF141">Y141/$AD141</f>
        <v>175701.850622802</v>
      </c>
      <c r="AG141" s="75" cm="1">
        <f t="array" ref="AG141">Z141/$AD141</f>
        <v>6017.474369784090</v>
      </c>
      <c r="AH141" s="75" cm="1">
        <f t="array" ref="AH141">AA141/$AD141</f>
        <v>649649.963887263</v>
      </c>
      <c r="AI141" s="59" cm="1">
        <f t="array" ref="AI141">AB141/$AD141</f>
        <v>8246.9402582411</v>
      </c>
    </row>
    <row r="142" ht="17" customHeight="1">
      <c r="A142" s="6"/>
      <c r="B142" t="s" s="32">
        <v>24</v>
      </c>
      <c r="C142" s="34">
        <v>6</v>
      </c>
      <c r="D142" t="s" s="32">
        <v>203</v>
      </c>
      <c r="E142" s="37">
        <v>13.036151505680</v>
      </c>
      <c r="F142" s="38">
        <v>298.025673317868</v>
      </c>
      <c r="G142" s="39">
        <v>21606.0807567454</v>
      </c>
      <c r="H142" s="40">
        <v>266.572038561714</v>
      </c>
      <c r="I142" s="6"/>
      <c r="J142" s="34">
        <v>1.02864445260138</v>
      </c>
      <c r="K142" s="6"/>
      <c r="L142" s="34" cm="1">
        <f t="array" ref="L142">E142*$J142</f>
        <v>13.4095649295889</v>
      </c>
      <c r="M142" s="34" cm="1">
        <f t="array" ref="M142">F142*$J142</f>
        <v>306.562455591216</v>
      </c>
      <c r="N142" s="34" cm="1">
        <f t="array" ref="N142">G142*$J142</f>
        <v>22224.9751128836</v>
      </c>
      <c r="O142" s="34" cm="1">
        <f t="array" ref="O142">H142*$J142</f>
        <v>274.207848685148</v>
      </c>
      <c r="P142" s="6"/>
      <c r="Q142" s="34">
        <v>207.1276</v>
      </c>
      <c r="R142" s="34" cm="1">
        <f t="array" ref="R142">Q142/1000</f>
        <v>0.2071276</v>
      </c>
      <c r="S142" s="6"/>
      <c r="T142" s="34" cm="1">
        <f t="array" ref="T142">$R142*L142</f>
        <v>2.77749100090992</v>
      </c>
      <c r="U142" s="34" cm="1">
        <f t="array" ref="U142">$R142*M142</f>
        <v>63.4975456767152</v>
      </c>
      <c r="V142" s="34" cm="1">
        <f t="array" ref="V142">$R142*N142</f>
        <v>4603.405755191310</v>
      </c>
      <c r="W142" s="34" cm="1">
        <f t="array" ref="W142">$R142*O142</f>
        <v>56.7960135993179</v>
      </c>
      <c r="X142" s="6"/>
      <c r="Y142" s="34" cm="1">
        <f t="array" ref="Y142">T142-Y$147-Y$3</f>
        <v>1.80773755766542</v>
      </c>
      <c r="Z142" s="34" cm="1">
        <f t="array" ref="Z142">U142-Z$147-Z$3</f>
        <v>50.0830350575488</v>
      </c>
      <c r="AA142" s="34" cm="1">
        <f t="array" ref="AA142">V142-AA$147-AA$3</f>
        <v>4598.254357509310</v>
      </c>
      <c r="AB142" s="34" cm="1">
        <f t="array" ref="AB142">W142-AB$147-AB$3</f>
        <v>60.406384327151</v>
      </c>
      <c r="AC142" s="6"/>
      <c r="AD142" s="41">
        <v>0.010209657</v>
      </c>
      <c r="AE142" s="35"/>
      <c r="AF142" s="41" cm="1">
        <f t="array" ref="AF142">Y142/$AD142</f>
        <v>177.061536706416</v>
      </c>
      <c r="AG142" s="41" cm="1">
        <f t="array" ref="AG142">Z142/$AD142</f>
        <v>4905.457162522580</v>
      </c>
      <c r="AH142" s="41" cm="1">
        <f t="array" ref="AH142">AA142/$AD142</f>
        <v>450382.844155226</v>
      </c>
      <c r="AI142" s="41" cm="1">
        <f t="array" ref="AI142">AB142/$AD142</f>
        <v>5916.592920521330</v>
      </c>
    </row>
    <row r="143" ht="17" customHeight="1">
      <c r="A143" s="6"/>
      <c r="B143" t="s" s="32">
        <v>26</v>
      </c>
      <c r="C143" s="34">
        <v>6</v>
      </c>
      <c r="D143" t="s" s="32">
        <v>204</v>
      </c>
      <c r="E143" s="37">
        <v>82.57411867477779</v>
      </c>
      <c r="F143" s="38">
        <v>247.763360965945</v>
      </c>
      <c r="G143" s="42">
        <v>21815.8847428087</v>
      </c>
      <c r="H143" s="34">
        <v>326.929822997039</v>
      </c>
      <c r="I143" s="6"/>
      <c r="J143" s="34">
        <v>1.03291218218687</v>
      </c>
      <c r="K143" s="6"/>
      <c r="L143" s="34" cm="1">
        <f t="array" ref="L143">E143*$J143</f>
        <v>85.29181311252231</v>
      </c>
      <c r="M143" s="34" cm="1">
        <f t="array" ref="M143">F143*$J143</f>
        <v>255.917793841287</v>
      </c>
      <c r="N143" s="34" cm="1">
        <f t="array" ref="N143">G143*$J143</f>
        <v>22533.8931160318</v>
      </c>
      <c r="O143" s="34" cm="1">
        <f t="array" ref="O143">H143*$J143</f>
        <v>337.689796893839</v>
      </c>
      <c r="P143" s="6"/>
      <c r="Q143" s="34">
        <v>207.5358</v>
      </c>
      <c r="R143" s="34" cm="1">
        <f t="array" ref="R143">Q143/1000</f>
        <v>0.2075358</v>
      </c>
      <c r="S143" s="6"/>
      <c r="T143" s="34" cm="1">
        <f t="array" ref="T143">$R143*L143</f>
        <v>17.7011046677578</v>
      </c>
      <c r="U143" s="34" cm="1">
        <f t="array" ref="U143">$R143*M143</f>
        <v>53.1121040790866</v>
      </c>
      <c r="V143" s="34" cm="1">
        <f t="array" ref="V143">$R143*N143</f>
        <v>4676.589534950150</v>
      </c>
      <c r="W143" s="34" cm="1">
        <f t="array" ref="W143">$R143*O143</f>
        <v>70.0827221502004</v>
      </c>
      <c r="X143" s="6"/>
      <c r="Y143" s="34" cm="1">
        <f t="array" ref="Y143">T143-Y$147-Y$3</f>
        <v>16.7313512245133</v>
      </c>
      <c r="Z143" s="34" cm="1">
        <f t="array" ref="Z143">U143-Z$147-Z$3</f>
        <v>39.6975934599202</v>
      </c>
      <c r="AA143" s="34" cm="1">
        <f t="array" ref="AA143">V143-AA$147-AA$3</f>
        <v>4671.438137268150</v>
      </c>
      <c r="AB143" s="34" cm="1">
        <f t="array" ref="AB143">W143-AB$147-AB$3</f>
        <v>73.6930928780335</v>
      </c>
      <c r="AC143" s="6"/>
      <c r="AD143" s="41">
        <v>0.010209657</v>
      </c>
      <c r="AE143" s="35"/>
      <c r="AF143" s="41" cm="1">
        <f t="array" ref="AF143">Y143/$AD143</f>
        <v>1638.777015184090</v>
      </c>
      <c r="AG143" s="41" cm="1">
        <f t="array" ref="AG143">Z143/$AD143</f>
        <v>3888.239679346740</v>
      </c>
      <c r="AH143" s="41" cm="1">
        <f t="array" ref="AH143">AA143/$AD143</f>
        <v>457550.938025455</v>
      </c>
      <c r="AI143" s="41" cm="1">
        <f t="array" ref="AI143">AB143/$AD143</f>
        <v>7217.9792992099</v>
      </c>
    </row>
    <row r="144" ht="17" customHeight="1">
      <c r="A144" s="6"/>
      <c r="B144" t="s" s="32">
        <v>28</v>
      </c>
      <c r="C144" s="34">
        <v>6</v>
      </c>
      <c r="D144" t="s" s="32">
        <v>205</v>
      </c>
      <c r="E144" s="37">
        <v>3.23620322044233</v>
      </c>
      <c r="F144" s="43">
        <v>0.146117699282796</v>
      </c>
      <c r="G144" s="39">
        <v>63.1179832157132</v>
      </c>
      <c r="H144" s="40">
        <v>1299.615799975310</v>
      </c>
      <c r="I144" s="6"/>
      <c r="J144" s="34">
        <v>1.03650902837489</v>
      </c>
      <c r="K144" s="6"/>
      <c r="L144" s="34" cm="1">
        <f t="array" ref="L144">E144*$J144</f>
        <v>3.35435385564437</v>
      </c>
      <c r="M144" s="34" cm="1">
        <f t="array" ref="M144">F144*$J144</f>
        <v>0.151452314511985</v>
      </c>
      <c r="N144" s="34" cm="1">
        <f t="array" ref="N144">G144*$J144</f>
        <v>65.4223594559015</v>
      </c>
      <c r="O144" s="34" cm="1">
        <f t="array" ref="O144">H144*$J144</f>
        <v>1347.063510093060</v>
      </c>
      <c r="P144" s="6"/>
      <c r="Q144" s="34">
        <v>207.447</v>
      </c>
      <c r="R144" s="34" cm="1">
        <f t="array" ref="R144">Q144/1000</f>
        <v>0.207447</v>
      </c>
      <c r="S144" s="6"/>
      <c r="T144" s="34" cm="1">
        <f t="array" ref="T144">$R144*L144</f>
        <v>0.6958506442918579</v>
      </c>
      <c r="U144" s="34" cm="1">
        <f t="array" ref="U144">$R144*M144</f>
        <v>0.0314183282885678</v>
      </c>
      <c r="V144" s="34" cm="1">
        <f t="array" ref="V144">$R144*N144</f>
        <v>13.5716722020484</v>
      </c>
      <c r="W144" s="34" cm="1">
        <f t="array" ref="W144">$R144*O144</f>
        <v>279.444283978275</v>
      </c>
      <c r="X144" s="6"/>
      <c r="Y144" s="34" cm="1">
        <f t="array" ref="Y144">T144-Y$147-Y$3</f>
        <v>-0.273902798952641</v>
      </c>
      <c r="Z144" s="34" cm="1">
        <f t="array" ref="Z144">U144-Z$147-Z$3</f>
        <v>-13.3830922908778</v>
      </c>
      <c r="AA144" s="34" cm="1">
        <f t="array" ref="AA144">V144-AA$147-AA$3</f>
        <v>8.420274520045121</v>
      </c>
      <c r="AB144" s="34" cm="1">
        <f t="array" ref="AB144">W144-AB$147-AB$3</f>
        <v>283.054654706108</v>
      </c>
      <c r="AC144" s="6"/>
      <c r="AD144" s="41">
        <v>0.010209657</v>
      </c>
      <c r="AE144" s="35"/>
      <c r="AF144" s="41" cm="1">
        <f t="array" ref="AF144">Y144/$AD144</f>
        <v>-26.8278159543108</v>
      </c>
      <c r="AG144" s="41" cm="1">
        <f t="array" ref="AG144">Z144/$AD144</f>
        <v>-1310.826827079280</v>
      </c>
      <c r="AH144" s="41" cm="1">
        <f t="array" ref="AH144">AA144/$AD144</f>
        <v>824.736278608098</v>
      </c>
      <c r="AI144" s="41" cm="1">
        <f t="array" ref="AI144">AB144/$AD144</f>
        <v>27724.2080420633</v>
      </c>
    </row>
    <row r="145" ht="17" customHeight="1">
      <c r="A145" s="6"/>
      <c r="B145" t="s" s="32">
        <v>30</v>
      </c>
      <c r="C145" s="34">
        <v>6</v>
      </c>
      <c r="D145" t="s" s="32">
        <v>206</v>
      </c>
      <c r="E145" s="37">
        <v>2.12041942280991</v>
      </c>
      <c r="F145" s="38">
        <v>28.2718675326068</v>
      </c>
      <c r="G145" s="39">
        <v>16.1076344548676</v>
      </c>
      <c r="H145" s="40">
        <v>1257.507262676720</v>
      </c>
      <c r="I145" s="6"/>
      <c r="J145" s="34">
        <v>1.03089772793645</v>
      </c>
      <c r="K145" s="6"/>
      <c r="L145" s="34" cm="1">
        <f t="array" ref="L145">E145*$J145</f>
        <v>2.18593556524705</v>
      </c>
      <c r="M145" s="34" cm="1">
        <f t="array" ref="M145">F145*$J145</f>
        <v>29.1454040038846</v>
      </c>
      <c r="N145" s="34" cm="1">
        <f t="array" ref="N145">G145*$J145</f>
        <v>16.6053237619539</v>
      </c>
      <c r="O145" s="34" cm="1">
        <f t="array" ref="O145">H145*$J145</f>
        <v>1296.361379957020</v>
      </c>
      <c r="P145" s="6"/>
      <c r="Q145" s="34">
        <v>204.658</v>
      </c>
      <c r="R145" s="34" cm="1">
        <f t="array" ref="R145">Q145/1000</f>
        <v>0.204658</v>
      </c>
      <c r="S145" s="6"/>
      <c r="T145" s="34" cm="1">
        <f t="array" ref="T145">$R145*L145</f>
        <v>0.447369200912331</v>
      </c>
      <c r="U145" s="34" cm="1">
        <f t="array" ref="U145">$R145*M145</f>
        <v>5.96484009262701</v>
      </c>
      <c r="V145" s="34" cm="1">
        <f t="array" ref="V145">$R145*N145</f>
        <v>3.39841235047396</v>
      </c>
      <c r="W145" s="34" cm="1">
        <f t="array" ref="W145">$R145*O145</f>
        <v>265.310727299244</v>
      </c>
      <c r="X145" s="6"/>
      <c r="Y145" s="34" cm="1">
        <f t="array" ref="Y145">T145-Y$147-Y$3</f>
        <v>-0.522384242332168</v>
      </c>
      <c r="Z145" s="34" cm="1">
        <f t="array" ref="Z145">U145-Z$147-Z$3</f>
        <v>-7.44967052653939</v>
      </c>
      <c r="AA145" s="34" cm="1">
        <f t="array" ref="AA145">V145-AA$147-AA$3</f>
        <v>-1.75298533152932</v>
      </c>
      <c r="AB145" s="34" cm="1">
        <f t="array" ref="AB145">W145-AB$147-AB$3</f>
        <v>268.921098027077</v>
      </c>
      <c r="AC145" s="6"/>
      <c r="AD145" s="41">
        <v>0.010209657</v>
      </c>
      <c r="AE145" s="35"/>
      <c r="AF145" s="41" cm="1">
        <f t="array" ref="AF145">Y145/$AD145</f>
        <v>-51.1656995266509</v>
      </c>
      <c r="AG145" s="41" cm="1">
        <f t="array" ref="AG145">Z145/$AD145</f>
        <v>-729.6690306578751</v>
      </c>
      <c r="AH145" s="41" cm="1">
        <f t="array" ref="AH145">AA145/$AD145</f>
        <v>-171.698748697368</v>
      </c>
      <c r="AI145" s="41" cm="1">
        <f t="array" ref="AI145">AB145/$AD145</f>
        <v>26339.8758672379</v>
      </c>
    </row>
    <row r="146" ht="17" customHeight="1">
      <c r="A146" s="6"/>
      <c r="B146" t="s" s="32">
        <v>32</v>
      </c>
      <c r="C146" s="34">
        <v>6</v>
      </c>
      <c r="D146" t="s" s="32">
        <v>207</v>
      </c>
      <c r="E146" s="37">
        <v>61.6323449664913</v>
      </c>
      <c r="F146" s="38">
        <v>6.19804272906318</v>
      </c>
      <c r="G146" s="42">
        <v>14.7497176827423</v>
      </c>
      <c r="H146" s="34">
        <v>1330.614231947240</v>
      </c>
      <c r="I146" s="6"/>
      <c r="J146" s="34">
        <v>1.0304054537903</v>
      </c>
      <c r="K146" s="6"/>
      <c r="L146" s="34" cm="1">
        <f t="array" ref="L146">E146*$J146</f>
        <v>63.5063043833578</v>
      </c>
      <c r="M146" s="34" cm="1">
        <f t="array" ref="M146">F146*$J146</f>
        <v>6.38649703085202</v>
      </c>
      <c r="N146" s="34" cm="1">
        <f t="array" ref="N146">G146*$J146</f>
        <v>15.1981895421649</v>
      </c>
      <c r="O146" s="34" cm="1">
        <f t="array" ref="O146">H146*$J146</f>
        <v>1371.072161489430</v>
      </c>
      <c r="P146" s="6"/>
      <c r="Q146" s="34">
        <v>208.585</v>
      </c>
      <c r="R146" s="34" cm="1">
        <f t="array" ref="R146">Q146/1000</f>
        <v>0.208585</v>
      </c>
      <c r="S146" s="6"/>
      <c r="T146" s="34" cm="1">
        <f t="array" ref="T146">$R146*L146</f>
        <v>13.2464624998027</v>
      </c>
      <c r="U146" s="34" cm="1">
        <f t="array" ref="U146">$R146*M146</f>
        <v>1.33212748318027</v>
      </c>
      <c r="V146" s="34" cm="1">
        <f t="array" ref="V146">$R146*N146</f>
        <v>3.17011436565247</v>
      </c>
      <c r="W146" s="34" cm="1">
        <f t="array" ref="W146">$R146*O146</f>
        <v>285.985086804273</v>
      </c>
      <c r="X146" s="6"/>
      <c r="Y146" s="34" cm="1">
        <f t="array" ref="Y146">T146-Y$147-Y$3</f>
        <v>12.2767090565582</v>
      </c>
      <c r="Z146" s="34" cm="1">
        <f t="array" ref="Z146">U146-Z$147-Z$3</f>
        <v>-12.0823831359861</v>
      </c>
      <c r="AA146" s="34" cm="1">
        <f t="array" ref="AA146">V146-AA$147-AA$3</f>
        <v>-1.98128331635081</v>
      </c>
      <c r="AB146" s="34" cm="1">
        <f t="array" ref="AB146">W146-AB$147-AB$3</f>
        <v>289.595457532106</v>
      </c>
      <c r="AC146" s="6"/>
      <c r="AD146" s="41">
        <v>0.010209657</v>
      </c>
      <c r="AE146" s="35"/>
      <c r="AF146" s="41" cm="1">
        <f t="array" ref="AF146">Y146/$AD146</f>
        <v>1202.460479970890</v>
      </c>
      <c r="AG146" s="41" cm="1">
        <f t="array" ref="AG146">Z146/$AD146</f>
        <v>-1183.426939414920</v>
      </c>
      <c r="AH146" s="41" cm="1">
        <f t="array" ref="AH146">AA146/$AD146</f>
        <v>-194.059733480842</v>
      </c>
      <c r="AI146" s="41" cm="1">
        <f t="array" ref="AI146">AB146/$AD146</f>
        <v>28364.8566775658</v>
      </c>
    </row>
    <row r="147" ht="17" customHeight="1">
      <c r="A147" s="6"/>
      <c r="B147" t="s" s="32">
        <v>34</v>
      </c>
      <c r="C147" s="34">
        <v>6</v>
      </c>
      <c r="D147" t="s" s="32">
        <v>208</v>
      </c>
      <c r="E147" s="37">
        <v>7.07096373776002</v>
      </c>
      <c r="F147" s="38">
        <v>86.3589713123026</v>
      </c>
      <c r="G147" s="42">
        <v>42.6808082172334</v>
      </c>
      <c r="H147" s="34">
        <v>-16.2822149997009</v>
      </c>
      <c r="I147" s="6"/>
      <c r="J147" s="34">
        <v>1.03575418994413</v>
      </c>
      <c r="K147" s="6"/>
      <c r="L147" s="34" cm="1">
        <f t="array" ref="L147">E147*$J147</f>
        <v>7.32378031832795</v>
      </c>
      <c r="M147" s="34" cm="1">
        <f t="array" ref="M147">F147*$J147</f>
        <v>89.4466663759823</v>
      </c>
      <c r="N147" s="34" cm="1">
        <f t="array" ref="N147">G147*$J147</f>
        <v>44.2068259412013</v>
      </c>
      <c r="O147" s="34" cm="1">
        <f t="array" ref="O147">H147*$J147</f>
        <v>-16.8643724075114</v>
      </c>
      <c r="P147" s="6"/>
      <c r="Q147" s="34">
        <v>205.34</v>
      </c>
      <c r="R147" s="34" cm="1">
        <f t="array" ref="R147">Q147/1000</f>
        <v>0.20534</v>
      </c>
      <c r="S147" s="6"/>
      <c r="T147" s="34" cm="1">
        <f t="array" ref="T147">$R147*L147</f>
        <v>1.50386505056546</v>
      </c>
      <c r="U147" s="34" cm="1">
        <f t="array" ref="U147">$R147*M147</f>
        <v>18.3669784736442</v>
      </c>
      <c r="V147" s="34" cm="1">
        <f t="array" ref="V147">$R147*N147</f>
        <v>9.077429638766271</v>
      </c>
      <c r="W147" s="34" cm="1">
        <f t="array" ref="W147">$R147*O147</f>
        <v>-3.46293023015839</v>
      </c>
      <c r="X147" s="6"/>
      <c r="Y147" s="34" cm="1">
        <f t="array" ref="Y147">AVERAGE(T147:T149)</f>
        <v>0.969753443244499</v>
      </c>
      <c r="Z147" s="34" cm="1">
        <f t="array" ref="Z147">AVERAGE(U147:U149)</f>
        <v>13.4145106191664</v>
      </c>
      <c r="AA147" s="34" cm="1">
        <f t="array" ref="AA147">AVERAGE(V147:V149)</f>
        <v>5.15139768200328</v>
      </c>
      <c r="AB147" s="34" cm="1">
        <f t="array" ref="AB147">AVERAGE(W147:W149)</f>
        <v>-3.61037072783308</v>
      </c>
      <c r="AC147" s="6"/>
      <c r="AD147" s="41">
        <v>0.010209657</v>
      </c>
      <c r="AE147" s="35"/>
      <c r="AF147" s="41" cm="1">
        <f t="array" ref="AF147">Y147/$AD147</f>
        <v>94.9839395431697</v>
      </c>
      <c r="AG147" s="41" cm="1">
        <f t="array" ref="AG147">Z147/$AD147</f>
        <v>1313.904141849860</v>
      </c>
      <c r="AH147" s="41" cm="1">
        <f t="array" ref="AH147">AA147/$AD147</f>
        <v>504.561287612628</v>
      </c>
      <c r="AI147" s="41" cm="1">
        <f t="array" ref="AI147">AB147/$AD147</f>
        <v>-353.623116607451</v>
      </c>
    </row>
    <row r="148" ht="17" customHeight="1">
      <c r="A148" s="6"/>
      <c r="B148" t="s" s="32">
        <v>36</v>
      </c>
      <c r="C148" s="34">
        <v>6</v>
      </c>
      <c r="D148" t="s" s="32">
        <v>209</v>
      </c>
      <c r="E148" s="37">
        <v>2.58895824560866</v>
      </c>
      <c r="F148" s="38">
        <v>37.9677154478245</v>
      </c>
      <c r="G148" s="39">
        <v>12.6741359190145</v>
      </c>
      <c r="H148" s="40">
        <v>-17.9428807394958</v>
      </c>
      <c r="I148" s="6"/>
      <c r="J148" s="34">
        <v>1.03610551820633</v>
      </c>
      <c r="K148" s="6"/>
      <c r="L148" s="34" cm="1">
        <f t="array" ref="L148">E148*$J148</f>
        <v>2.68243392468091</v>
      </c>
      <c r="M148" s="34" cm="1">
        <f t="array" ref="M148">F148*$J148</f>
        <v>39.3385594891787</v>
      </c>
      <c r="N148" s="34" cm="1">
        <f t="array" ref="N148">G148*$J148</f>
        <v>13.131742164188</v>
      </c>
      <c r="O148" s="34" cm="1">
        <f t="array" ref="O148">H148*$J148</f>
        <v>-18.5907177467097</v>
      </c>
      <c r="P148" s="6"/>
      <c r="Q148" s="34">
        <v>204.36</v>
      </c>
      <c r="R148" s="34" cm="1">
        <f t="array" ref="R148">Q148/1000</f>
        <v>0.20436</v>
      </c>
      <c r="S148" s="6"/>
      <c r="T148" s="34" cm="1">
        <f t="array" ref="T148">$R148*L148</f>
        <v>0.548182196847791</v>
      </c>
      <c r="U148" s="34" cm="1">
        <f t="array" ref="U148">$R148*M148</f>
        <v>8.03922801720856</v>
      </c>
      <c r="V148" s="34" cm="1">
        <f t="array" ref="V148">$R148*N148</f>
        <v>2.68360282867346</v>
      </c>
      <c r="W148" s="34" cm="1">
        <f t="array" ref="W148">$R148*O148</f>
        <v>-3.79919907871759</v>
      </c>
      <c r="X148" s="6"/>
      <c r="Y148" s="6"/>
      <c r="Z148" s="6"/>
      <c r="AA148" s="6"/>
      <c r="AB148" s="6"/>
      <c r="AC148" s="6"/>
      <c r="AD148" s="41">
        <v>0.010209657</v>
      </c>
      <c r="AE148" s="35"/>
      <c r="AF148" s="41" cm="1">
        <f t="array" ref="AF148">Y148/$AD148</f>
        <v>0</v>
      </c>
      <c r="AG148" s="41" cm="1">
        <f t="array" ref="AG148">Z148/$AD148</f>
        <v>0</v>
      </c>
      <c r="AH148" s="41" cm="1">
        <f t="array" ref="AH148">AA148/$AD148</f>
        <v>0</v>
      </c>
      <c r="AI148" s="41" cm="1">
        <f t="array" ref="AI148">AB148/$AD148</f>
        <v>0</v>
      </c>
    </row>
    <row r="149" ht="17" customHeight="1">
      <c r="A149" s="6"/>
      <c r="B149" t="s" s="32">
        <v>38</v>
      </c>
      <c r="C149" s="34">
        <v>6</v>
      </c>
      <c r="D149" t="s" s="32">
        <v>210</v>
      </c>
      <c r="E149" s="37">
        <v>4.02337677405788</v>
      </c>
      <c r="F149" s="38">
        <v>64.9462480723647</v>
      </c>
      <c r="G149" s="42">
        <v>17.3340524090765</v>
      </c>
      <c r="H149" s="34">
        <v>-16.7512175221389</v>
      </c>
      <c r="I149" s="6"/>
      <c r="J149" s="34">
        <v>1.03260852862082</v>
      </c>
      <c r="K149" s="6"/>
      <c r="L149" s="34" cm="1">
        <f t="array" ref="L149">E149*$J149</f>
        <v>4.15457317074709</v>
      </c>
      <c r="M149" s="34" cm="1">
        <f t="array" ref="M149">F149*$J149</f>
        <v>67.0640496614473</v>
      </c>
      <c r="N149" s="34" cm="1">
        <f t="array" ref="N149">G149*$J149</f>
        <v>17.8992903531727</v>
      </c>
      <c r="O149" s="34" cm="1">
        <f t="array" ref="O149">H149*$J149</f>
        <v>-17.2974500781431</v>
      </c>
      <c r="P149" s="6"/>
      <c r="Q149" s="34">
        <v>206.33</v>
      </c>
      <c r="R149" s="34" cm="1">
        <f t="array" ref="R149">Q149/1000</f>
        <v>0.20633</v>
      </c>
      <c r="S149" s="6"/>
      <c r="T149" s="34" cm="1">
        <f t="array" ref="T149">$R149*L149</f>
        <v>0.857213082320247</v>
      </c>
      <c r="U149" s="34" cm="1">
        <f t="array" ref="U149">$R149*M149</f>
        <v>13.8373253666464</v>
      </c>
      <c r="V149" s="34" cm="1">
        <f t="array" ref="V149">$R149*N149</f>
        <v>3.69316057857012</v>
      </c>
      <c r="W149" s="34" cm="1">
        <f t="array" ref="W149">$R149*O149</f>
        <v>-3.56898287462327</v>
      </c>
      <c r="X149" s="6"/>
      <c r="Y149" s="6"/>
      <c r="Z149" s="6"/>
      <c r="AA149" s="6"/>
      <c r="AB149" s="6"/>
      <c r="AC149" s="6"/>
      <c r="AD149" s="41">
        <v>0.010209657</v>
      </c>
      <c r="AE149" s="35"/>
      <c r="AF149" s="41" cm="1">
        <f t="array" ref="AF149">Y149/$AD149</f>
        <v>0</v>
      </c>
      <c r="AG149" s="41" cm="1">
        <f t="array" ref="AG149">Z149/$AD149</f>
        <v>0</v>
      </c>
      <c r="AH149" s="41" cm="1">
        <f t="array" ref="AH149">AA149/$AD149</f>
        <v>0</v>
      </c>
      <c r="AI149" s="41" cm="1">
        <f t="array" ref="AI149">AB149/$AD149</f>
        <v>0</v>
      </c>
    </row>
    <row r="150" ht="17" customHeight="1">
      <c r="A150" s="6"/>
      <c r="B150" t="s" s="32">
        <v>40</v>
      </c>
      <c r="C150" s="34">
        <v>6</v>
      </c>
      <c r="D150" t="s" s="32">
        <v>211</v>
      </c>
      <c r="E150" s="37">
        <v>7.12170672393161</v>
      </c>
      <c r="F150" s="38">
        <v>214.800896598025</v>
      </c>
      <c r="G150" s="39">
        <v>3196.668012743250</v>
      </c>
      <c r="H150" s="40">
        <v>28.4603228485002</v>
      </c>
      <c r="I150" s="6"/>
      <c r="J150" s="34">
        <v>1.05109029744185</v>
      </c>
      <c r="K150" s="6"/>
      <c r="L150" s="34" cm="1">
        <f t="array" ref="L150">E150*$J150</f>
        <v>7.4855568387509</v>
      </c>
      <c r="M150" s="34" cm="1">
        <f t="array" ref="M150">F150*$J150</f>
        <v>225.775138295994</v>
      </c>
      <c r="N150" s="34" cm="1">
        <f t="array" ref="N150">G150*$J150</f>
        <v>3359.986732337150</v>
      </c>
      <c r="O150" s="34" cm="1">
        <f t="array" ref="O150">H150*$J150</f>
        <v>29.9143692081212</v>
      </c>
      <c r="P150" s="6"/>
      <c r="Q150" s="34">
        <v>205.8514</v>
      </c>
      <c r="R150" s="34" cm="1">
        <f t="array" ref="R150">Q150/1000</f>
        <v>0.2058514</v>
      </c>
      <c r="S150" s="6"/>
      <c r="T150" s="34" cm="1">
        <f t="array" ref="T150">$R150*L150</f>
        <v>1.54091235503645</v>
      </c>
      <c r="U150" s="34" cm="1">
        <f t="array" ref="U150">$R150*M150</f>
        <v>46.476128303424</v>
      </c>
      <c r="V150" s="34" cm="1">
        <f t="array" ref="V150">$R150*N150</f>
        <v>691.657972833028</v>
      </c>
      <c r="W150" s="34" cm="1">
        <f t="array" ref="W150">$R150*O150</f>
        <v>6.15791478160864</v>
      </c>
      <c r="X150" s="6"/>
      <c r="Y150" s="34" cm="1">
        <f t="array" ref="Y150">T150-Y$156-Y$3</f>
        <v>0.90841935912691</v>
      </c>
      <c r="Z150" s="34" cm="1">
        <f t="array" ref="Z150">U150-Z$156-Z$3</f>
        <v>41.5070570934254</v>
      </c>
      <c r="AA150" s="34" cm="1">
        <f t="array" ref="AA150">V150-AA$156-AA$3</f>
        <v>689.695229757576</v>
      </c>
      <c r="AB150" s="34" cm="1">
        <f t="array" ref="AB150">W150-AB$156-AB$3</f>
        <v>6.8531901860032</v>
      </c>
      <c r="AC150" s="6"/>
      <c r="AD150" s="41">
        <v>0.010209657</v>
      </c>
      <c r="AE150" s="35"/>
      <c r="AF150" s="41" cm="1">
        <f t="array" ref="AF150">Y150/$AD150</f>
        <v>88.9764816905122</v>
      </c>
      <c r="AG150" s="41" cm="1">
        <f t="array" ref="AG150">Z150/$AD150</f>
        <v>4065.470279111770</v>
      </c>
      <c r="AH150" s="41" cm="1">
        <f t="array" ref="AH150">AA150/$AD150</f>
        <v>67553.222381278407</v>
      </c>
      <c r="AI150" s="41" cm="1">
        <f t="array" ref="AI150">AB150/$AD150</f>
        <v>671.2458788775371</v>
      </c>
    </row>
    <row r="151" ht="17" customHeight="1">
      <c r="A151" s="6"/>
      <c r="B151" t="s" s="32">
        <v>42</v>
      </c>
      <c r="C151" s="34">
        <v>6</v>
      </c>
      <c r="D151" t="s" s="32">
        <v>212</v>
      </c>
      <c r="E151" s="37">
        <v>27.0089537792897</v>
      </c>
      <c r="F151" s="38">
        <v>279.394365068519</v>
      </c>
      <c r="G151" s="42">
        <v>3439.653425479980</v>
      </c>
      <c r="H151" s="34">
        <v>39.0480538593485</v>
      </c>
      <c r="I151" s="6"/>
      <c r="J151" s="34">
        <v>1.0444138046294</v>
      </c>
      <c r="K151" s="6"/>
      <c r="L151" s="34" cm="1">
        <f t="array" ref="L151">E151*$J151</f>
        <v>28.2085241756876</v>
      </c>
      <c r="M151" s="34" cm="1">
        <f t="array" ref="M151">F151*$J151</f>
        <v>291.803331813227</v>
      </c>
      <c r="N151" s="34" cm="1">
        <f t="array" ref="N151">G151*$J151</f>
        <v>3592.421520712090</v>
      </c>
      <c r="O151" s="34" cm="1">
        <f t="array" ref="O151">H151*$J151</f>
        <v>40.7823264946159</v>
      </c>
      <c r="P151" s="6"/>
      <c r="Q151" s="34">
        <v>206.7486</v>
      </c>
      <c r="R151" s="34" cm="1">
        <f t="array" ref="R151">Q151/1000</f>
        <v>0.2067486</v>
      </c>
      <c r="S151" s="6"/>
      <c r="T151" s="34" cm="1">
        <f t="array" ref="T151">$R151*L151</f>
        <v>5.83207288138957</v>
      </c>
      <c r="U151" s="34" cm="1">
        <f t="array" ref="U151">$R151*M151</f>
        <v>60.3299303277201</v>
      </c>
      <c r="V151" s="34" cm="1">
        <f t="array" ref="V151">$R151*N151</f>
        <v>742.728120017096</v>
      </c>
      <c r="W151" s="34" cm="1">
        <f t="array" ref="W151">$R151*O151</f>
        <v>8.431688907504739</v>
      </c>
      <c r="X151" s="6"/>
      <c r="Y151" s="34" cm="1">
        <f t="array" ref="Y151">T151-Y$156-Y$3</f>
        <v>5.19957988548003</v>
      </c>
      <c r="Z151" s="34" cm="1">
        <f t="array" ref="Z151">U151-Z$156-Z$3</f>
        <v>55.3608591177215</v>
      </c>
      <c r="AA151" s="34" cm="1">
        <f t="array" ref="AA151">V151-AA$156-AA$3</f>
        <v>740.765376941644</v>
      </c>
      <c r="AB151" s="34" cm="1">
        <f t="array" ref="AB151">W151-AB$156-AB$3</f>
        <v>9.1269643118993</v>
      </c>
      <c r="AC151" s="6"/>
      <c r="AD151" s="41">
        <v>0.010209657</v>
      </c>
      <c r="AE151" s="35"/>
      <c r="AF151" s="41" cm="1">
        <f t="array" ref="AF151">Y151/$AD151</f>
        <v>509.280565006251</v>
      </c>
      <c r="AG151" s="41" cm="1">
        <f t="array" ref="AG151">Z151/$AD151</f>
        <v>5422.401469287510</v>
      </c>
      <c r="AH151" s="41" cm="1">
        <f t="array" ref="AH151">AA151/$AD151</f>
        <v>72555.3637053276</v>
      </c>
      <c r="AI151" s="41" cm="1">
        <f t="array" ref="AI151">AB151/$AD151</f>
        <v>893.954058583878</v>
      </c>
    </row>
    <row r="152" ht="17" customHeight="1">
      <c r="A152" s="6"/>
      <c r="B152" t="s" s="32">
        <v>44</v>
      </c>
      <c r="C152" s="34">
        <v>6</v>
      </c>
      <c r="D152" t="s" s="32">
        <v>213</v>
      </c>
      <c r="E152" s="37">
        <v>31.7938481122894</v>
      </c>
      <c r="F152" s="38">
        <v>378.773953231046</v>
      </c>
      <c r="G152" s="39">
        <v>4882.988519380830</v>
      </c>
      <c r="H152" s="40">
        <v>55.2030629908463</v>
      </c>
      <c r="I152" s="6"/>
      <c r="J152" s="34">
        <v>1.04467390159098</v>
      </c>
      <c r="K152" s="6"/>
      <c r="L152" s="34" cm="1">
        <f t="array" ref="L152">E152*$J152</f>
        <v>33.2142033540564</v>
      </c>
      <c r="M152" s="34" cm="1">
        <f t="array" ref="M152">F152*$J152</f>
        <v>395.695263542916</v>
      </c>
      <c r="N152" s="34" cm="1">
        <f t="array" ref="N152">G152*$J152</f>
        <v>5101.130667965530</v>
      </c>
      <c r="O152" s="34" cm="1">
        <f t="array" ref="O152">H152*$J152</f>
        <v>57.669199194420</v>
      </c>
      <c r="P152" s="6"/>
      <c r="Q152" s="34">
        <v>197.8514</v>
      </c>
      <c r="R152" s="34" cm="1">
        <f t="array" ref="R152">Q152/1000</f>
        <v>0.1978514</v>
      </c>
      <c r="S152" s="6"/>
      <c r="T152" s="34" cm="1">
        <f t="array" ref="T152">$R152*L152</f>
        <v>6.57147663348475</v>
      </c>
      <c r="U152" s="34" cm="1">
        <f t="array" ref="U152">$R152*M152</f>
        <v>78.28886186533489</v>
      </c>
      <c r="V152" s="34" cm="1">
        <f t="array" ref="V152">$R152*N152</f>
        <v>1009.265844239920</v>
      </c>
      <c r="W152" s="34" cm="1">
        <f t="array" ref="W152">$R152*O152</f>
        <v>11.4099317974949</v>
      </c>
      <c r="X152" s="6"/>
      <c r="Y152" s="34" cm="1">
        <f t="array" ref="Y152">T152-Y$156-Y$3</f>
        <v>5.93898363757521</v>
      </c>
      <c r="Z152" s="34" cm="1">
        <f t="array" ref="Z152">U152-Z$156-Z$3</f>
        <v>73.31979065533631</v>
      </c>
      <c r="AA152" s="34" cm="1">
        <f t="array" ref="AA152">V152-AA$156-AA$3</f>
        <v>1007.303101164470</v>
      </c>
      <c r="AB152" s="34" cm="1">
        <f t="array" ref="AB152">W152-AB$156-AB$3</f>
        <v>12.1052072018895</v>
      </c>
      <c r="AC152" s="6"/>
      <c r="AD152" s="41">
        <v>0.010209657</v>
      </c>
      <c r="AE152" s="35"/>
      <c r="AF152" s="41" cm="1">
        <f t="array" ref="AF152">Y152/$AD152</f>
        <v>581.702562346141</v>
      </c>
      <c r="AG152" s="41" cm="1">
        <f t="array" ref="AG152">Z152/$AD152</f>
        <v>7181.415659246560</v>
      </c>
      <c r="AH152" s="41" cm="1">
        <f t="array" ref="AH152">AA152/$AD152</f>
        <v>98661.796489781205</v>
      </c>
      <c r="AI152" s="41" cm="1">
        <f t="array" ref="AI152">AB152/$AD152</f>
        <v>1185.662476407340</v>
      </c>
    </row>
    <row r="153" ht="17" customHeight="1">
      <c r="A153" s="6"/>
      <c r="B153" t="s" s="32">
        <v>46</v>
      </c>
      <c r="C153" s="34">
        <v>6</v>
      </c>
      <c r="D153" t="s" s="32">
        <v>214</v>
      </c>
      <c r="E153" s="37">
        <v>505.429368802005</v>
      </c>
      <c r="F153" s="38">
        <v>22.0313720931725</v>
      </c>
      <c r="G153" s="42">
        <v>7.5078031663531</v>
      </c>
      <c r="H153" s="34">
        <v>747.834098579331</v>
      </c>
      <c r="I153" s="6"/>
      <c r="J153" s="34">
        <v>1.03869188912829</v>
      </c>
      <c r="K153" s="6"/>
      <c r="L153" s="34" cm="1">
        <f t="array" ref="L153">E153*$J153</f>
        <v>524.985385901874</v>
      </c>
      <c r="M153" s="34" cm="1">
        <f t="array" ref="M153">F153*$J153</f>
        <v>22.8838074995456</v>
      </c>
      <c r="N153" s="34" cm="1">
        <f t="array" ref="N153">G153*$J153</f>
        <v>7.79829425406266</v>
      </c>
      <c r="O153" s="34" cm="1">
        <f t="array" ref="O153">H153*$J153</f>
        <v>776.769212607917</v>
      </c>
      <c r="P153" s="6"/>
      <c r="Q153" s="34">
        <v>204.1392</v>
      </c>
      <c r="R153" s="34" cm="1">
        <f t="array" ref="R153">Q153/1000</f>
        <v>0.2041392</v>
      </c>
      <c r="S153" s="6"/>
      <c r="T153" s="34" cm="1">
        <f t="array" ref="T153">$R153*L153</f>
        <v>107.1700966897</v>
      </c>
      <c r="U153" s="34" cm="1">
        <f t="array" ref="U153">$R153*M153</f>
        <v>4.67148215591124</v>
      </c>
      <c r="V153" s="34" cm="1">
        <f t="array" ref="V153">$R153*N153</f>
        <v>1.59193755038895</v>
      </c>
      <c r="W153" s="34" cm="1">
        <f t="array" ref="W153">$R153*O153</f>
        <v>158.569045646410</v>
      </c>
      <c r="X153" s="6"/>
      <c r="Y153" s="34" cm="1">
        <f t="array" ref="Y153">T153-Y$156-Y$3</f>
        <v>106.537603693790</v>
      </c>
      <c r="Z153" s="34" cm="1">
        <f t="array" ref="Z153">U153-Z$156-Z$3</f>
        <v>-0.29758905408735</v>
      </c>
      <c r="AA153" s="34" cm="1">
        <f t="array" ref="AA153">V153-AA$156-AA$3</f>
        <v>-0.37080552506303</v>
      </c>
      <c r="AB153" s="34" cm="1">
        <f t="array" ref="AB153">W153-AB$156-AB$3</f>
        <v>159.264321050805</v>
      </c>
      <c r="AC153" s="6"/>
      <c r="AD153" s="41">
        <v>0.010209657</v>
      </c>
      <c r="AE153" s="35"/>
      <c r="AF153" s="41" cm="1">
        <f t="array" ref="AF153">Y153/$AD153</f>
        <v>10434.9836330241</v>
      </c>
      <c r="AG153" s="41" cm="1">
        <f t="array" ref="AG153">Z153/$AD153</f>
        <v>-29.1478013499719</v>
      </c>
      <c r="AH153" s="41" cm="1">
        <f t="array" ref="AH153">AA153/$AD153</f>
        <v>-36.3190972099288</v>
      </c>
      <c r="AI153" s="41" cm="1">
        <f t="array" ref="AI153">AB153/$AD153</f>
        <v>15599.3801800398</v>
      </c>
    </row>
    <row r="154" ht="17" customHeight="1">
      <c r="A154" s="6"/>
      <c r="B154" t="s" s="32">
        <v>48</v>
      </c>
      <c r="C154" s="34">
        <v>6</v>
      </c>
      <c r="D154" t="s" s="32">
        <v>215</v>
      </c>
      <c r="E154" s="37">
        <v>15.4749400697136</v>
      </c>
      <c r="F154" s="43">
        <v>0.146117699282796</v>
      </c>
      <c r="G154" s="39">
        <v>6.47262118612201</v>
      </c>
      <c r="H154" s="40">
        <v>404.359063165345</v>
      </c>
      <c r="I154" s="6"/>
      <c r="J154" s="34">
        <v>1.03439957543301</v>
      </c>
      <c r="K154" s="6"/>
      <c r="L154" s="34" cm="1">
        <f t="array" ref="L154">E154*$J154</f>
        <v>16.007271437963</v>
      </c>
      <c r="M154" s="34" cm="1">
        <f t="array" ref="M154">F154*$J154</f>
        <v>0.151144086101372</v>
      </c>
      <c r="N154" s="34" cm="1">
        <f t="array" ref="N154">G154*$J154</f>
        <v>6.69527660686331</v>
      </c>
      <c r="O154" s="34" cm="1">
        <f t="array" ref="O154">H154*$J154</f>
        <v>418.268843260723</v>
      </c>
      <c r="P154" s="6"/>
      <c r="Q154" s="34">
        <v>209.1636</v>
      </c>
      <c r="R154" s="34" cm="1">
        <f t="array" ref="R154">Q154/1000</f>
        <v>0.2091636</v>
      </c>
      <c r="S154" s="6"/>
      <c r="T154" s="34" cm="1">
        <f t="array" ref="T154">$R154*L154</f>
        <v>3.34813852014152</v>
      </c>
      <c r="U154" s="34" cm="1">
        <f t="array" ref="U154">$R154*M154</f>
        <v>0.0316138411676729</v>
      </c>
      <c r="V154" s="34" cm="1">
        <f t="array" ref="V154">$R154*N154</f>
        <v>1.40040815808731</v>
      </c>
      <c r="W154" s="34" cm="1">
        <f t="array" ref="W154">$R154*O154</f>
        <v>87.4866170242486</v>
      </c>
      <c r="X154" s="6"/>
      <c r="Y154" s="34" cm="1">
        <f t="array" ref="Y154">T154-Y$156-Y$3</f>
        <v>2.71564552423198</v>
      </c>
      <c r="Z154" s="34" cm="1">
        <f t="array" ref="Z154">U154-Z$156-Z$3</f>
        <v>-4.93745736883092</v>
      </c>
      <c r="AA154" s="34" cm="1">
        <f t="array" ref="AA154">V154-AA$156-AA$3</f>
        <v>-0.56233491736467</v>
      </c>
      <c r="AB154" s="34" cm="1">
        <f t="array" ref="AB154">W154-AB$156-AB$3</f>
        <v>88.1818924286432</v>
      </c>
      <c r="AC154" s="6"/>
      <c r="AD154" s="41">
        <v>0.010209657</v>
      </c>
      <c r="AE154" s="35"/>
      <c r="AF154" s="41" cm="1">
        <f t="array" ref="AF154">Y154/$AD154</f>
        <v>265.987929293999</v>
      </c>
      <c r="AG154" s="41" cm="1">
        <f t="array" ref="AG154">Z154/$AD154</f>
        <v>-483.606586277181</v>
      </c>
      <c r="AH154" s="41" cm="1">
        <f t="array" ref="AH154">AA154/$AD154</f>
        <v>-55.0787276560486</v>
      </c>
      <c r="AI154" s="41" cm="1">
        <f t="array" ref="AI154">AB154/$AD154</f>
        <v>8637.106264063839</v>
      </c>
    </row>
    <row r="155" ht="17" customHeight="1">
      <c r="A155" s="6"/>
      <c r="B155" t="s" s="32">
        <v>50</v>
      </c>
      <c r="C155" s="34">
        <v>6</v>
      </c>
      <c r="D155" t="s" s="32">
        <v>216</v>
      </c>
      <c r="E155" s="37">
        <v>3.30114004921369</v>
      </c>
      <c r="F155" s="38">
        <v>19.5620866980284</v>
      </c>
      <c r="G155" s="42">
        <v>32.1359567036021</v>
      </c>
      <c r="H155" s="34">
        <v>389.735277405917</v>
      </c>
      <c r="I155" s="6"/>
      <c r="J155" s="34">
        <v>1.03435590775763</v>
      </c>
      <c r="K155" s="6"/>
      <c r="L155" s="34" cm="1">
        <f t="array" ref="L155">E155*$J155</f>
        <v>3.41455371223949</v>
      </c>
      <c r="M155" s="34" cm="1">
        <f t="array" ref="M155">F155*$J155</f>
        <v>20.2341599441726</v>
      </c>
      <c r="N155" s="34" cm="1">
        <f t="array" ref="N155">G155*$J155</f>
        <v>33.2400166678142</v>
      </c>
      <c r="O155" s="34" cm="1">
        <f t="array" ref="O155">H155*$J155</f>
        <v>403.124986646369</v>
      </c>
      <c r="P155" s="6"/>
      <c r="Q155" s="34">
        <v>203.1912</v>
      </c>
      <c r="R155" s="34" cm="1">
        <f t="array" ref="R155">Q155/1000</f>
        <v>0.2031912</v>
      </c>
      <c r="S155" s="6"/>
      <c r="T155" s="34" cm="1">
        <f t="array" ref="T155">$R155*L155</f>
        <v>0.693807266254397</v>
      </c>
      <c r="U155" s="34" cm="1">
        <f t="array" ref="U155">$R155*M155</f>
        <v>4.11140324004836</v>
      </c>
      <c r="V155" s="34" cm="1">
        <f t="array" ref="V155">$R155*N155</f>
        <v>6.75407887475317</v>
      </c>
      <c r="W155" s="34" cm="1">
        <f t="array" ref="W155">$R155*O155</f>
        <v>81.9114497866597</v>
      </c>
      <c r="X155" s="6"/>
      <c r="Y155" s="34" cm="1">
        <f t="array" ref="Y155">T155-Y$156-Y$3</f>
        <v>0.061314270344857</v>
      </c>
      <c r="Z155" s="34" cm="1">
        <f t="array" ref="Z155">U155-Z$156-Z$3</f>
        <v>-0.85766796995023</v>
      </c>
      <c r="AA155" s="34" cm="1">
        <f t="array" ref="AA155">V155-AA$156-AA$3</f>
        <v>4.79133579930119</v>
      </c>
      <c r="AB155" s="34" cm="1">
        <f t="array" ref="AB155">W155-AB$156-AB$3</f>
        <v>82.6067251910543</v>
      </c>
      <c r="AC155" s="6"/>
      <c r="AD155" s="41">
        <v>0.010209657</v>
      </c>
      <c r="AE155" s="35"/>
      <c r="AF155" s="41" cm="1">
        <f t="array" ref="AF155">Y155/$AD155</f>
        <v>6.0055171632952</v>
      </c>
      <c r="AG155" s="41" cm="1">
        <f t="array" ref="AG155">Z155/$AD155</f>
        <v>-84.0055615923463</v>
      </c>
      <c r="AH155" s="41" cm="1">
        <f t="array" ref="AH155">AA155/$AD155</f>
        <v>469.294492390997</v>
      </c>
      <c r="AI155" s="41" cm="1">
        <f t="array" ref="AI155">AB155/$AD155</f>
        <v>8091.038238704230</v>
      </c>
    </row>
    <row r="156" ht="17" customHeight="1">
      <c r="A156" s="6"/>
      <c r="B156" t="s" s="32">
        <v>52</v>
      </c>
      <c r="C156" s="34">
        <v>6</v>
      </c>
      <c r="D156" t="s" s="32">
        <v>217</v>
      </c>
      <c r="E156" s="37">
        <v>6.79454059335322</v>
      </c>
      <c r="F156" s="38">
        <v>30.9445720818361</v>
      </c>
      <c r="G156" s="39">
        <v>8.203569200194011</v>
      </c>
      <c r="H156" s="40">
        <v>-3.18837032113648</v>
      </c>
      <c r="I156" s="6"/>
      <c r="J156" s="34">
        <v>1.03111364900876</v>
      </c>
      <c r="K156" s="6"/>
      <c r="L156" s="34" cm="1">
        <f t="array" ref="L156">E156*$J156</f>
        <v>7.00594354455058</v>
      </c>
      <c r="M156" s="34" cm="1">
        <f t="array" ref="M156">F156*$J156</f>
        <v>31.9073706363166</v>
      </c>
      <c r="N156" s="34" cm="1">
        <f t="array" ref="N156">G156*$J156</f>
        <v>8.458812172907921</v>
      </c>
      <c r="O156" s="34" cm="1">
        <f t="array" ref="O156">H156*$J156</f>
        <v>-3.28757215621827</v>
      </c>
      <c r="P156" s="6"/>
      <c r="Q156" s="34">
        <v>209.12</v>
      </c>
      <c r="R156" s="34" cm="1">
        <f t="array" ref="R156">Q156/1000</f>
        <v>0.20912</v>
      </c>
      <c r="S156" s="6"/>
      <c r="T156" s="34" cm="1">
        <f t="array" ref="T156">$R156*L156</f>
        <v>1.46508291403642</v>
      </c>
      <c r="U156" s="34" cm="1">
        <f t="array" ref="U156">$R156*M156</f>
        <v>6.67246934746653</v>
      </c>
      <c r="V156" s="34" cm="1">
        <f t="array" ref="V156">$R156*N156</f>
        <v>1.7689068015985</v>
      </c>
      <c r="W156" s="34" cm="1">
        <f t="array" ref="W156">$R156*O156</f>
        <v>-0.687497089308365</v>
      </c>
      <c r="X156" s="6"/>
      <c r="Y156" s="34" cm="1">
        <f t="array" ref="Y156">AVERAGE(T156:T158)</f>
        <v>0.63249299590954</v>
      </c>
      <c r="Z156" s="34" cm="1">
        <f t="array" ref="Z156">AVERAGE(U156:U158)</f>
        <v>4.96907120999859</v>
      </c>
      <c r="AA156" s="34" cm="1">
        <f t="array" ref="AA156">AVERAGE(V156:V158)</f>
        <v>1.96274307545198</v>
      </c>
      <c r="AB156" s="34" cm="1">
        <f t="array" ref="AB156">AVERAGE(W156:W158)</f>
        <v>-0.695275404394562</v>
      </c>
      <c r="AC156" s="6"/>
      <c r="AD156" s="41">
        <v>0.010209657</v>
      </c>
      <c r="AE156" s="35"/>
      <c r="AF156" s="41" cm="1">
        <f t="array" ref="AF156">Y156/$AD156</f>
        <v>61.9504647325116</v>
      </c>
      <c r="AG156" s="41" cm="1">
        <f t="array" ref="AG156">Z156/$AD156</f>
        <v>486.703050846722</v>
      </c>
      <c r="AH156" s="41" cm="1">
        <f t="array" ref="AH156">AA156/$AD156</f>
        <v>192.243782083177</v>
      </c>
      <c r="AI156" s="41" cm="1">
        <f t="array" ref="AI156">AB156/$AD156</f>
        <v>-68.09978086380001</v>
      </c>
    </row>
    <row r="157" ht="17" customHeight="1">
      <c r="A157" s="6"/>
      <c r="B157" t="s" s="32">
        <v>54</v>
      </c>
      <c r="C157" s="34">
        <v>6</v>
      </c>
      <c r="D157" t="s" s="32">
        <v>218</v>
      </c>
      <c r="E157" s="37">
        <v>0.276912275131882</v>
      </c>
      <c r="F157" s="38">
        <v>15.9130720981642</v>
      </c>
      <c r="G157" s="42">
        <v>8.182403036947321</v>
      </c>
      <c r="H157" s="34">
        <v>-3.17196798883484</v>
      </c>
      <c r="I157" s="6"/>
      <c r="J157" s="34">
        <v>1.02953247185403</v>
      </c>
      <c r="K157" s="6"/>
      <c r="L157" s="34" cm="1">
        <f t="array" ref="L157">E157*$J157</f>
        <v>0.28509017910325</v>
      </c>
      <c r="M157" s="34" cm="1">
        <f t="array" ref="M157">F157*$J157</f>
        <v>16.3830244520144</v>
      </c>
      <c r="N157" s="34" cm="1">
        <f t="array" ref="N157">G157*$J157</f>
        <v>8.4240496243343</v>
      </c>
      <c r="O157" s="34" cm="1">
        <f t="array" ref="O157">H157*$J157</f>
        <v>-3.26564404418699</v>
      </c>
      <c r="P157" s="6"/>
      <c r="Q157" s="34">
        <v>208.8</v>
      </c>
      <c r="R157" s="34" cm="1">
        <f t="array" ref="R157">Q157/1000</f>
        <v>0.2088</v>
      </c>
      <c r="S157" s="6"/>
      <c r="T157" s="34" cm="1">
        <f t="array" ref="T157">$R157*L157</f>
        <v>0.0595268293967586</v>
      </c>
      <c r="U157" s="34" cm="1">
        <f t="array" ref="U157">$R157*M157</f>
        <v>3.42077550558061</v>
      </c>
      <c r="V157" s="34" cm="1">
        <f t="array" ref="V157">$R157*N157</f>
        <v>1.758941561561</v>
      </c>
      <c r="W157" s="34" cm="1">
        <f t="array" ref="W157">$R157*O157</f>
        <v>-0.681866476426244</v>
      </c>
      <c r="X157" s="6"/>
      <c r="Y157" s="6"/>
      <c r="Z157" s="6"/>
      <c r="AA157" s="6"/>
      <c r="AB157" s="6"/>
      <c r="AC157" s="6"/>
      <c r="AD157" s="41">
        <v>0.010209657</v>
      </c>
      <c r="AE157" s="35"/>
      <c r="AF157" s="41" cm="1">
        <f t="array" ref="AF157">Y157/$AD157</f>
        <v>0</v>
      </c>
      <c r="AG157" s="41" cm="1">
        <f t="array" ref="AG157">Z157/$AD157</f>
        <v>0</v>
      </c>
      <c r="AH157" s="41" cm="1">
        <f t="array" ref="AH157">AA157/$AD157</f>
        <v>0</v>
      </c>
      <c r="AI157" s="41" cm="1">
        <f t="array" ref="AI157">AB157/$AD157</f>
        <v>0</v>
      </c>
    </row>
    <row r="158" ht="17" customHeight="1">
      <c r="A158" s="6"/>
      <c r="B158" t="s" s="32">
        <v>56</v>
      </c>
      <c r="C158" s="34">
        <v>6</v>
      </c>
      <c r="D158" t="s" s="32">
        <v>219</v>
      </c>
      <c r="E158" s="37">
        <v>1.74082008602518</v>
      </c>
      <c r="F158" s="38">
        <v>22.4750463295658</v>
      </c>
      <c r="G158" s="39">
        <v>11.0199446057451</v>
      </c>
      <c r="H158" s="40">
        <v>-3.34495962498289</v>
      </c>
      <c r="I158" s="6"/>
      <c r="J158" s="34">
        <v>1.0324980362561</v>
      </c>
      <c r="K158" s="6"/>
      <c r="L158" s="34" cm="1">
        <f t="array" ref="L158">E158*$J158</f>
        <v>1.79739332029617</v>
      </c>
      <c r="M158" s="34" cm="1">
        <f t="array" ref="M158">F158*$J158</f>
        <v>23.2054412000416</v>
      </c>
      <c r="N158" s="34" cm="1">
        <f t="array" ref="N158">G158*$J158</f>
        <v>11.3780711650828</v>
      </c>
      <c r="O158" s="34" cm="1">
        <f t="array" ref="O158">H158*$J158</f>
        <v>-3.45366424415077</v>
      </c>
      <c r="P158" s="6"/>
      <c r="Q158" s="34">
        <v>207.45</v>
      </c>
      <c r="R158" s="34" cm="1">
        <f t="array" ref="R158">Q158/1000</f>
        <v>0.20745</v>
      </c>
      <c r="S158" s="6"/>
      <c r="T158" s="34" cm="1">
        <f t="array" ref="T158">$R158*L158</f>
        <v>0.37286924429544</v>
      </c>
      <c r="U158" s="34" cm="1">
        <f t="array" ref="U158">$R158*M158</f>
        <v>4.81396877694863</v>
      </c>
      <c r="V158" s="34" cm="1">
        <f t="array" ref="V158">$R158*N158</f>
        <v>2.36038086319643</v>
      </c>
      <c r="W158" s="34" cm="1">
        <f t="array" ref="W158">$R158*O158</f>
        <v>-0.716462647449077</v>
      </c>
      <c r="X158" s="6"/>
      <c r="Y158" s="6"/>
      <c r="Z158" s="6"/>
      <c r="AA158" s="6"/>
      <c r="AB158" s="6"/>
      <c r="AC158" s="6"/>
      <c r="AD158" s="41">
        <v>0.010209657</v>
      </c>
      <c r="AE158" s="35"/>
      <c r="AF158" s="41" cm="1">
        <f t="array" ref="AF158">Y158/$AD158</f>
        <v>0</v>
      </c>
      <c r="AG158" s="41" cm="1">
        <f t="array" ref="AG158">Z158/$AD158</f>
        <v>0</v>
      </c>
      <c r="AH158" s="41" cm="1">
        <f t="array" ref="AH158">AA158/$AD158</f>
        <v>0</v>
      </c>
      <c r="AI158" s="41" cm="1">
        <f t="array" ref="AI158">AB158/$AD158</f>
        <v>0</v>
      </c>
    </row>
    <row r="159" ht="17" customHeight="1">
      <c r="A159" s="6"/>
      <c r="B159" t="s" s="32">
        <v>58</v>
      </c>
      <c r="C159" s="34">
        <v>6</v>
      </c>
      <c r="D159" t="s" s="32">
        <v>220</v>
      </c>
      <c r="E159" s="37">
        <v>1206.808067273510</v>
      </c>
      <c r="F159" s="38">
        <v>2467.247855462940</v>
      </c>
      <c r="G159" s="42">
        <v>49811.3233300891</v>
      </c>
      <c r="H159" s="34">
        <v>273.715226243180</v>
      </c>
      <c r="I159" s="6"/>
      <c r="J159" s="34">
        <v>1.02840505038307</v>
      </c>
      <c r="K159" s="6"/>
      <c r="L159" s="34" cm="1">
        <f t="array" ref="L159">E159*$J159</f>
        <v>1241.087511227110</v>
      </c>
      <c r="M159" s="34" cm="1">
        <f t="array" ref="M159">F159*$J159</f>
        <v>2537.330155104890</v>
      </c>
      <c r="N159" s="34" cm="1">
        <f t="array" ref="N159">G159*$J159</f>
        <v>51226.2164789277</v>
      </c>
      <c r="O159" s="34" cm="1">
        <f t="array" ref="O159">H159*$J159</f>
        <v>281.490121035231</v>
      </c>
      <c r="P159" s="6"/>
      <c r="Q159" s="34">
        <v>208.7238</v>
      </c>
      <c r="R159" s="34" cm="1">
        <f t="array" ref="R159">Q159/1000</f>
        <v>0.2087238</v>
      </c>
      <c r="S159" s="6"/>
      <c r="T159" s="34" cm="1">
        <f t="array" ref="T159">$R159*L159</f>
        <v>259.044501475865</v>
      </c>
      <c r="U159" s="34" cm="1">
        <f t="array" ref="U159">$R159*M159</f>
        <v>529.6011918280821</v>
      </c>
      <c r="V159" s="34" cm="1">
        <f t="array" ref="V159">$R159*N159</f>
        <v>10692.1305631044</v>
      </c>
      <c r="W159" s="34" cm="1">
        <f t="array" ref="W159">$R159*O159</f>
        <v>58.7536877249333</v>
      </c>
      <c r="X159" s="6"/>
      <c r="Y159" s="34" cm="1">
        <f t="array" ref="Y159">T159-Y$165-Y$3</f>
        <v>259.018530139969</v>
      </c>
      <c r="Z159" s="34" cm="1">
        <f t="array" ref="Z159">U159-Z$165-Z$3</f>
        <v>528.9624015138789</v>
      </c>
      <c r="AA159" s="34" cm="1">
        <f t="array" ref="AA159">V159-AA$165-AA$3</f>
        <v>10690.7659844998</v>
      </c>
      <c r="AB159" s="34" cm="1">
        <f t="array" ref="AB159">W159-AB$165-AB$3</f>
        <v>58.5869489225094</v>
      </c>
      <c r="AC159" s="6"/>
      <c r="AD159" s="41">
        <v>0.010209657</v>
      </c>
      <c r="AE159" s="35"/>
      <c r="AF159" s="41" cm="1">
        <f t="array" ref="AF159">Y159/$AD159</f>
        <v>25369.9541659401</v>
      </c>
      <c r="AG159" s="41" cm="1">
        <f t="array" ref="AG159">Z159/$AD159</f>
        <v>51810.0070858285</v>
      </c>
      <c r="AH159" s="41" cm="1">
        <f t="array" ref="AH159">AA159/$AD159</f>
        <v>1047122.93317002</v>
      </c>
      <c r="AI159" s="41" cm="1">
        <f t="array" ref="AI159">AB159/$AD159</f>
        <v>5738.385620840090</v>
      </c>
    </row>
    <row r="160" ht="17" customHeight="1">
      <c r="A160" s="6"/>
      <c r="B160" t="s" s="32">
        <v>60</v>
      </c>
      <c r="C160" s="34">
        <v>6</v>
      </c>
      <c r="D160" t="s" s="32">
        <v>221</v>
      </c>
      <c r="E160" s="37">
        <v>705.730886633966</v>
      </c>
      <c r="F160" s="38">
        <v>2535.964727273980</v>
      </c>
      <c r="G160" s="39">
        <v>51481.8540882933</v>
      </c>
      <c r="H160" s="40">
        <v>330.108508472732</v>
      </c>
      <c r="I160" s="6"/>
      <c r="J160" s="34">
        <v>1.02755581130743</v>
      </c>
      <c r="K160" s="6"/>
      <c r="L160" s="34" cm="1">
        <f t="array" ref="L160">E160*$J160</f>
        <v>725.177873779877</v>
      </c>
      <c r="M160" s="34" cm="1">
        <f t="array" ref="M160">F160*$J160</f>
        <v>2605.845292781040</v>
      </c>
      <c r="N160" s="34" cm="1">
        <f t="array" ref="N160">G160*$J160</f>
        <v>52900.478345307</v>
      </c>
      <c r="O160" s="34" cm="1">
        <f t="array" ref="O160">H160*$J160</f>
        <v>339.204916243184</v>
      </c>
      <c r="P160" s="6"/>
      <c r="Q160" s="34">
        <v>207.5944</v>
      </c>
      <c r="R160" s="34" cm="1">
        <f t="array" ref="R160">Q160/1000</f>
        <v>0.2075944</v>
      </c>
      <c r="S160" s="6"/>
      <c r="T160" s="34" cm="1">
        <f t="array" ref="T160">$R160*L160</f>
        <v>150.542865600609</v>
      </c>
      <c r="U160" s="34" cm="1">
        <f t="array" ref="U160">$R160*M160</f>
        <v>540.958890047704</v>
      </c>
      <c r="V160" s="34" cm="1">
        <f t="array" ref="V160">$R160*N160</f>
        <v>10981.843061807</v>
      </c>
      <c r="W160" s="34" cm="1">
        <f t="array" ref="W160">$R160*O160</f>
        <v>70.417041064554</v>
      </c>
      <c r="X160" s="6"/>
      <c r="Y160" s="34" cm="1">
        <f t="array" ref="Y160">T160-Y$165-Y$3</f>
        <v>150.516894264713</v>
      </c>
      <c r="Z160" s="34" cm="1">
        <f t="array" ref="Z160">U160-Z$165-Z$3</f>
        <v>540.320099733501</v>
      </c>
      <c r="AA160" s="34" cm="1">
        <f t="array" ref="AA160">V160-AA$165-AA$3</f>
        <v>10980.4784832024</v>
      </c>
      <c r="AB160" s="34" cm="1">
        <f t="array" ref="AB160">W160-AB$165-AB$3</f>
        <v>70.25030226213011</v>
      </c>
      <c r="AC160" s="6"/>
      <c r="AD160" s="41">
        <v>0.010209657</v>
      </c>
      <c r="AE160" s="35"/>
      <c r="AF160" s="41" cm="1">
        <f t="array" ref="AF160">Y160/$AD160</f>
        <v>14742.6004874319</v>
      </c>
      <c r="AG160" s="76" cm="1">
        <f t="array" ref="AG160">Z160/$AD160</f>
        <v>52922.4536861034</v>
      </c>
      <c r="AH160" s="41" cm="1">
        <f t="array" ref="AH160">AA160/$AD160</f>
        <v>1075499.25361865</v>
      </c>
      <c r="AI160" s="41" cm="1">
        <f t="array" ref="AI160">AB160/$AD160</f>
        <v>6880.770065255870</v>
      </c>
    </row>
    <row r="161" ht="17" customHeight="1">
      <c r="A161" s="6"/>
      <c r="B161" t="s" s="32">
        <v>62</v>
      </c>
      <c r="C161" s="34">
        <v>6</v>
      </c>
      <c r="D161" t="s" s="32">
        <v>222</v>
      </c>
      <c r="E161" s="37">
        <v>1044.058539471120</v>
      </c>
      <c r="F161" s="38">
        <v>12466.3738239808</v>
      </c>
      <c r="G161" s="42">
        <v>53651.6835311212</v>
      </c>
      <c r="H161" s="34">
        <v>161.905008623972</v>
      </c>
      <c r="I161" s="6"/>
      <c r="J161" s="34">
        <v>1.0274361523969</v>
      </c>
      <c r="K161" s="6"/>
      <c r="L161" s="34" cm="1">
        <f t="array" ref="L161">E161*$J161</f>
        <v>1072.703488671330</v>
      </c>
      <c r="M161" s="34" cm="1">
        <f t="array" ref="M161">F161*$J161</f>
        <v>12808.4031560523</v>
      </c>
      <c r="N161" s="34" cm="1">
        <f t="array" ref="N161">G161*$J161</f>
        <v>55123.6792968313</v>
      </c>
      <c r="O161" s="34" cm="1">
        <f t="array" ref="O161">H161*$J161</f>
        <v>166.347059114401</v>
      </c>
      <c r="P161" s="6"/>
      <c r="Q161" s="34">
        <v>208.6698</v>
      </c>
      <c r="R161" s="34" cm="1">
        <f t="array" ref="R161">Q161/1000</f>
        <v>0.2086698</v>
      </c>
      <c r="S161" s="6"/>
      <c r="T161" s="34" cm="1">
        <f t="array" ref="T161">$R161*L161</f>
        <v>223.840822440349</v>
      </c>
      <c r="U161" s="34" cm="1">
        <f t="array" ref="U161">$R161*M161</f>
        <v>2672.7269248928</v>
      </c>
      <c r="V161" s="34" cm="1">
        <f t="array" ref="V161">$R161*N161</f>
        <v>11502.6471341339</v>
      </c>
      <c r="W161" s="34" cm="1">
        <f t="array" ref="W161">$R161*O161</f>
        <v>34.7116075559902</v>
      </c>
      <c r="X161" s="6"/>
      <c r="Y161" s="34" cm="1">
        <f t="array" ref="Y161">T161-Y$165-Y$3</f>
        <v>223.814851104453</v>
      </c>
      <c r="Z161" s="34" cm="1">
        <f t="array" ref="Z161">U161-Z$165-Z$3</f>
        <v>2672.0881345786</v>
      </c>
      <c r="AA161" s="34" cm="1">
        <f t="array" ref="AA161">V161-AA$165-AA$3</f>
        <v>11501.2825555293</v>
      </c>
      <c r="AB161" s="34" cm="1">
        <f t="array" ref="AB161">W161-AB$165-AB$3</f>
        <v>34.5448687535663</v>
      </c>
      <c r="AC161" s="6"/>
      <c r="AD161" s="41">
        <v>0.010209657</v>
      </c>
      <c r="AE161" s="35"/>
      <c r="AF161" s="66" cm="1">
        <f t="array" ref="AF161">Y161/$AD161</f>
        <v>21921.8776012214</v>
      </c>
      <c r="AG161" s="77" cm="1">
        <f t="array" ref="AG161">Z161/$AD161</f>
        <v>261721.636150813</v>
      </c>
      <c r="AH161" s="68" cm="1">
        <f t="array" ref="AH161">AA161/$AD161</f>
        <v>1126510.18105009</v>
      </c>
      <c r="AI161" s="41" cm="1">
        <f t="array" ref="AI161">AB161/$AD161</f>
        <v>3383.548414365570</v>
      </c>
    </row>
    <row r="162" ht="17" customHeight="1">
      <c r="A162" s="6"/>
      <c r="B162" t="s" s="32">
        <v>64</v>
      </c>
      <c r="C162" s="34">
        <v>6</v>
      </c>
      <c r="D162" t="s" s="32">
        <v>223</v>
      </c>
      <c r="E162" s="37">
        <v>0.319934614375309</v>
      </c>
      <c r="F162" s="38">
        <v>1.43846131276686</v>
      </c>
      <c r="G162" s="42">
        <v>12.0120989517842</v>
      </c>
      <c r="H162" s="34">
        <v>1305.148744062280</v>
      </c>
      <c r="I162" s="6"/>
      <c r="J162" s="34">
        <v>1.04681697612732</v>
      </c>
      <c r="K162" s="6"/>
      <c r="L162" s="34" cm="1">
        <f t="array" ref="L162">E162*$J162</f>
        <v>0.334912985578821</v>
      </c>
      <c r="M162" s="34" cm="1">
        <f t="array" ref="M162">F162*$J162</f>
        <v>1.50580572170674</v>
      </c>
      <c r="N162" s="34" cm="1">
        <f t="array" ref="N162">G162*$J162</f>
        <v>12.5744691016489</v>
      </c>
      <c r="O162" s="34" cm="1">
        <f t="array" ref="O162">H162*$J162</f>
        <v>1366.251861655650</v>
      </c>
      <c r="P162" s="6"/>
      <c r="Q162" s="34">
        <v>207.3428</v>
      </c>
      <c r="R162" s="34" cm="1">
        <f t="array" ref="R162">Q162/1000</f>
        <v>0.2073428</v>
      </c>
      <c r="S162" s="6"/>
      <c r="T162" s="34" cm="1">
        <f t="array" ref="T162">$R162*L162</f>
        <v>0.0694417961862724</v>
      </c>
      <c r="U162" s="34" cm="1">
        <f t="array" ref="U162">$R162*M162</f>
        <v>0.312217974594696</v>
      </c>
      <c r="V162" s="34" cm="1">
        <f t="array" ref="V162">$R162*N162</f>
        <v>2.60722563204937</v>
      </c>
      <c r="W162" s="34" cm="1">
        <f t="array" ref="W162">$R162*O162</f>
        <v>283.282486500895</v>
      </c>
      <c r="X162" s="6"/>
      <c r="Y162" s="34" cm="1">
        <f t="array" ref="Y162">T162-Y$165-Y$3</f>
        <v>0.0434704602902901</v>
      </c>
      <c r="Z162" s="34" cm="1">
        <f t="array" ref="Z162">U162-Z$165-Z$3</f>
        <v>-0.326572339608131</v>
      </c>
      <c r="AA162" s="34" cm="1">
        <f t="array" ref="AA162">V162-AA$165-AA$3</f>
        <v>1.24264702748048</v>
      </c>
      <c r="AB162" s="34" cm="1">
        <f t="array" ref="AB162">W162-AB$165-AB$3</f>
        <v>283.115747698471</v>
      </c>
      <c r="AC162" s="6"/>
      <c r="AD162" s="41">
        <v>0.010209657</v>
      </c>
      <c r="AE162" s="35"/>
      <c r="AF162" s="41" cm="1">
        <f t="array" ref="AF162">Y162/$AD162</f>
        <v>4.25777871776594</v>
      </c>
      <c r="AG162" s="69" cm="1">
        <f t="array" ref="AG162">Z162/$AD162</f>
        <v>-31.986612244479</v>
      </c>
      <c r="AH162" s="41" cm="1">
        <f t="array" ref="AH162">AA162/$AD162</f>
        <v>121.712906464975</v>
      </c>
      <c r="AI162" s="41" cm="1">
        <f t="array" ref="AI162">AB162/$AD162</f>
        <v>27730.1918858264</v>
      </c>
    </row>
    <row r="163" ht="17" customHeight="1">
      <c r="A163" s="6"/>
      <c r="B163" t="s" s="32">
        <v>66</v>
      </c>
      <c r="C163" s="34">
        <v>6</v>
      </c>
      <c r="D163" t="s" s="32">
        <v>224</v>
      </c>
      <c r="E163" s="37">
        <v>1.58883638911677</v>
      </c>
      <c r="F163" s="38">
        <v>4.39833099045861</v>
      </c>
      <c r="G163" s="42">
        <v>16.6224892068397</v>
      </c>
      <c r="H163" s="34">
        <v>1322.082433256460</v>
      </c>
      <c r="I163" s="6"/>
      <c r="J163" s="34">
        <v>1.02857911733046</v>
      </c>
      <c r="K163" s="6"/>
      <c r="L163" s="34" cm="1">
        <f t="array" ref="L163">E163*$J163</f>
        <v>1.63424393070024</v>
      </c>
      <c r="M163" s="34" cm="1">
        <f t="array" ref="M163">F163*$J163</f>
        <v>4.52403140789312</v>
      </c>
      <c r="N163" s="34" cm="1">
        <f t="array" ref="N163">G163*$J163</f>
        <v>17.0975452762063</v>
      </c>
      <c r="O163" s="34" cm="1">
        <f t="array" ref="O163">H163*$J163</f>
        <v>1359.866382237040</v>
      </c>
      <c r="P163" s="6"/>
      <c r="Q163" s="34">
        <v>206.6196</v>
      </c>
      <c r="R163" s="34" cm="1">
        <f t="array" ref="R163">Q163/1000</f>
        <v>0.2066196</v>
      </c>
      <c r="S163" s="6"/>
      <c r="T163" s="34" cm="1">
        <f t="array" ref="T163">$R163*L163</f>
        <v>0.337666827263711</v>
      </c>
      <c r="U163" s="34" cm="1">
        <f t="array" ref="U163">$R163*M163</f>
        <v>0.934753559886313</v>
      </c>
      <c r="V163" s="34" cm="1">
        <f t="array" ref="V163">$R163*N163</f>
        <v>3.53268796595164</v>
      </c>
      <c r="W163" s="34" cm="1">
        <f t="array" ref="W163">$R163*O163</f>
        <v>280.975047951264</v>
      </c>
      <c r="X163" s="6"/>
      <c r="Y163" s="34" cm="1">
        <f t="array" ref="Y163">T163-Y$165-Y$3</f>
        <v>0.311695491367729</v>
      </c>
      <c r="Z163" s="34" cm="1">
        <f t="array" ref="Z163">U163-Z$165-Z$3</f>
        <v>0.295963245683486</v>
      </c>
      <c r="AA163" s="34" cm="1">
        <f t="array" ref="AA163">V163-AA$165-AA$3</f>
        <v>2.16810936138275</v>
      </c>
      <c r="AB163" s="34" cm="1">
        <f t="array" ref="AB163">W163-AB$165-AB$3</f>
        <v>280.808309148840</v>
      </c>
      <c r="AC163" s="6"/>
      <c r="AD163" s="41">
        <v>0.010209657</v>
      </c>
      <c r="AE163" s="35"/>
      <c r="AF163" s="41" cm="1">
        <f t="array" ref="AF163">Y163/$AD163</f>
        <v>30.529477275067</v>
      </c>
      <c r="AG163" s="41" cm="1">
        <f t="array" ref="AG163">Z163/$AD163</f>
        <v>28.9885591341106</v>
      </c>
      <c r="AH163" s="41" cm="1">
        <f t="array" ref="AH163">AA163/$AD163</f>
        <v>212.358687601626</v>
      </c>
      <c r="AI163" s="41" cm="1">
        <f t="array" ref="AI163">AB163/$AD163</f>
        <v>27504.1863941991</v>
      </c>
    </row>
    <row r="164" ht="17" customHeight="1">
      <c r="A164" s="6"/>
      <c r="B164" t="s" s="32">
        <v>68</v>
      </c>
      <c r="C164" s="34">
        <v>6</v>
      </c>
      <c r="D164" t="s" s="32">
        <v>225</v>
      </c>
      <c r="E164" s="37">
        <v>228.832192659011</v>
      </c>
      <c r="F164" s="38">
        <v>7.74824748085655</v>
      </c>
      <c r="G164" s="39">
        <v>11.1231696887909</v>
      </c>
      <c r="H164" s="40">
        <v>1272.213848047550</v>
      </c>
      <c r="I164" s="6"/>
      <c r="J164" s="34">
        <v>1.0319220783119</v>
      </c>
      <c r="K164" s="6"/>
      <c r="L164" s="34" cm="1">
        <f t="array" ref="L164">E164*$J164</f>
        <v>236.136991833356</v>
      </c>
      <c r="M164" s="34" cm="1">
        <f t="array" ref="M164">F164*$J164</f>
        <v>7.99558764372043</v>
      </c>
      <c r="N164" s="34" cm="1">
        <f t="array" ref="N164">G164*$J164</f>
        <v>11.478244382673</v>
      </c>
      <c r="O164" s="34" cm="1">
        <f t="array" ref="O164">H164*$J164</f>
        <v>1312.825558134410</v>
      </c>
      <c r="P164" s="6"/>
      <c r="Q164" s="34">
        <v>209.714</v>
      </c>
      <c r="R164" s="34" cm="1">
        <f t="array" ref="R164">Q164/1000</f>
        <v>0.209714</v>
      </c>
      <c r="S164" s="6"/>
      <c r="T164" s="34" cm="1">
        <f t="array" ref="T164">$R164*L164</f>
        <v>49.5212331053404</v>
      </c>
      <c r="U164" s="34" cm="1">
        <f t="array" ref="U164">$R164*M164</f>
        <v>1.67678666711519</v>
      </c>
      <c r="V164" s="34" cm="1">
        <f t="array" ref="V164">$R164*N164</f>
        <v>2.40714854246789</v>
      </c>
      <c r="W164" s="34" cm="1">
        <f t="array" ref="W164">$R164*O164</f>
        <v>275.3178990986</v>
      </c>
      <c r="X164" s="6"/>
      <c r="Y164" s="34" cm="1">
        <f t="array" ref="Y164">T164-Y$165-Y$3</f>
        <v>49.4952617694444</v>
      </c>
      <c r="Z164" s="34" cm="1">
        <f t="array" ref="Z164">U164-Z$165-Z$3</f>
        <v>1.03799635291236</v>
      </c>
      <c r="AA164" s="34" cm="1">
        <f t="array" ref="AA164">V164-AA$165-AA$3</f>
        <v>1.042569937899</v>
      </c>
      <c r="AB164" s="34" cm="1">
        <f t="array" ref="AB164">W164-AB$165-AB$3</f>
        <v>275.151160296176</v>
      </c>
      <c r="AC164" s="6"/>
      <c r="AD164" s="41">
        <v>0.010209657</v>
      </c>
      <c r="AE164" s="35"/>
      <c r="AF164" s="41" cm="1">
        <f t="array" ref="AF164">Y164/$AD164</f>
        <v>4847.886835908830</v>
      </c>
      <c r="AG164" s="41" cm="1">
        <f t="array" ref="AG164">Z164/$AD164</f>
        <v>101.668092562988</v>
      </c>
      <c r="AH164" s="41" cm="1">
        <f t="array" ref="AH164">AA164/$AD164</f>
        <v>102.116059129019</v>
      </c>
      <c r="AI164" s="41" cm="1">
        <f t="array" ref="AI164">AB164/$AD164</f>
        <v>26950.0885579384</v>
      </c>
    </row>
    <row r="165" ht="17" customHeight="1">
      <c r="A165" s="6"/>
      <c r="B165" t="s" s="32">
        <v>70</v>
      </c>
      <c r="C165" s="34">
        <v>6</v>
      </c>
      <c r="D165" t="s" s="32">
        <v>226</v>
      </c>
      <c r="E165" s="37">
        <v>0.151756596824877</v>
      </c>
      <c r="F165" s="38">
        <v>2.12536991212244</v>
      </c>
      <c r="G165" s="42">
        <v>5.41962923841762</v>
      </c>
      <c r="H165" s="34">
        <v>0.718991888687646</v>
      </c>
      <c r="I165" s="6"/>
      <c r="J165" s="34">
        <v>1.02839840467393</v>
      </c>
      <c r="K165" s="6"/>
      <c r="L165" s="34" cm="1">
        <f t="array" ref="L165">E165*$J165</f>
        <v>0.156066242073448</v>
      </c>
      <c r="M165" s="34" cm="1">
        <f t="array" ref="M165">F165*$J165</f>
        <v>2.18572702696869</v>
      </c>
      <c r="N165" s="34" cm="1">
        <f t="array" ref="N165">G165*$J165</f>
        <v>5.57353806271287</v>
      </c>
      <c r="O165" s="34" cm="1">
        <f t="array" ref="O165">H165*$J165</f>
        <v>0.739410111299871</v>
      </c>
      <c r="P165" s="6"/>
      <c r="Q165" s="34">
        <v>207.08</v>
      </c>
      <c r="R165" s="34" cm="1">
        <f t="array" ref="R165">Q165/1000</f>
        <v>0.20708</v>
      </c>
      <c r="S165" s="6"/>
      <c r="T165" s="34" cm="1">
        <f t="array" ref="T165">$R165*L165</f>
        <v>0.0323181974085696</v>
      </c>
      <c r="U165" s="34" cm="1">
        <f t="array" ref="U165">$R165*M165</f>
        <v>0.452620352744676</v>
      </c>
      <c r="V165" s="34" cm="1">
        <f t="array" ref="V165">$R165*N165</f>
        <v>1.15416826202658</v>
      </c>
      <c r="W165" s="34" cm="1">
        <f t="array" ref="W165">$R165*O165</f>
        <v>0.153117045847977</v>
      </c>
      <c r="X165" s="6"/>
      <c r="Y165" s="34" cm="1">
        <f t="array" ref="Y165">AVERAGE(T165:T167)</f>
        <v>0.0259713358959823</v>
      </c>
      <c r="Z165" s="34" cm="1">
        <f t="array" ref="Z165">AVERAGE(U165:U167)</f>
        <v>0.6387903142028269</v>
      </c>
      <c r="AA165" s="34" cm="1">
        <f t="array" ref="AA165">AVERAGE(V165:V167)</f>
        <v>1.36457860456889</v>
      </c>
      <c r="AB165" s="34" cm="1">
        <f t="array" ref="AB165">AVERAGE(W165:W167)</f>
        <v>0.16673880242389</v>
      </c>
      <c r="AC165" s="6"/>
      <c r="AD165" s="41">
        <v>0.010209657</v>
      </c>
      <c r="AE165" s="35"/>
      <c r="AF165" s="41" cm="1">
        <f t="array" ref="AF165">Y165/$AD165</f>
        <v>2.54380102054186</v>
      </c>
      <c r="AG165" s="41" cm="1">
        <f t="array" ref="AG165">Z165/$AD165</f>
        <v>62.5672649142696</v>
      </c>
      <c r="AH165" s="41" cm="1">
        <f t="array" ref="AH165">AA165/$AD165</f>
        <v>133.655675657751</v>
      </c>
      <c r="AI165" s="41" cm="1">
        <f t="array" ref="AI165">AB165/$AD165</f>
        <v>16.3314793458673</v>
      </c>
    </row>
    <row r="166" ht="17" customHeight="1">
      <c r="A166" s="6"/>
      <c r="B166" t="s" s="32">
        <v>72</v>
      </c>
      <c r="C166" s="34">
        <v>6</v>
      </c>
      <c r="D166" t="s" s="32">
        <v>227</v>
      </c>
      <c r="E166" s="37">
        <v>0.115363456754728</v>
      </c>
      <c r="F166" s="38">
        <v>4.5171724513542</v>
      </c>
      <c r="G166" s="39">
        <v>6.05305143091407</v>
      </c>
      <c r="H166" s="40">
        <v>0.687402511479698</v>
      </c>
      <c r="I166" s="6"/>
      <c r="J166" s="34">
        <v>1.02927121482349</v>
      </c>
      <c r="K166" s="6"/>
      <c r="L166" s="34" cm="1">
        <f t="array" ref="L166">E166*$J166</f>
        <v>0.118740285280176</v>
      </c>
      <c r="M166" s="34" cm="1">
        <f t="array" ref="M166">F166*$J166</f>
        <v>4.64939557657254</v>
      </c>
      <c r="N166" s="34" cm="1">
        <f t="array" ref="N166">G166*$J166</f>
        <v>6.23023159968599</v>
      </c>
      <c r="O166" s="34" cm="1">
        <f t="array" ref="O166">H166*$J166</f>
        <v>0.707523618063427</v>
      </c>
      <c r="P166" s="6"/>
      <c r="Q166" s="34">
        <v>206.54</v>
      </c>
      <c r="R166" s="34" cm="1">
        <f t="array" ref="R166">Q166/1000</f>
        <v>0.20654</v>
      </c>
      <c r="S166" s="6"/>
      <c r="T166" s="34" cm="1">
        <f t="array" ref="T166">$R166*L166</f>
        <v>0.0245246185217676</v>
      </c>
      <c r="U166" s="34" cm="1">
        <f t="array" ref="U166">$R166*M166</f>
        <v>0.960286162385292</v>
      </c>
      <c r="V166" s="34" cm="1">
        <f t="array" ref="V166">$R166*N166</f>
        <v>1.28679203459914</v>
      </c>
      <c r="W166" s="34" cm="1">
        <f t="array" ref="W166">$R166*O166</f>
        <v>0.14613192807482</v>
      </c>
      <c r="X166" s="6"/>
      <c r="Y166" s="6"/>
      <c r="Z166" s="6"/>
      <c r="AA166" s="6"/>
      <c r="AB166" s="6"/>
      <c r="AC166" s="6"/>
      <c r="AD166" s="41">
        <v>0.010209657</v>
      </c>
      <c r="AE166" s="35"/>
      <c r="AF166" s="41" cm="1">
        <f t="array" ref="AF166">Y166/$AD166</f>
        <v>0</v>
      </c>
      <c r="AG166" s="41" cm="1">
        <f t="array" ref="AG166">Z166/$AD166</f>
        <v>0</v>
      </c>
      <c r="AH166" s="41" cm="1">
        <f t="array" ref="AH166">AA166/$AD166</f>
        <v>0</v>
      </c>
      <c r="AI166" s="41" cm="1">
        <f t="array" ref="AI166">AB166/$AD166</f>
        <v>0</v>
      </c>
    </row>
    <row r="167" ht="17" customHeight="1">
      <c r="A167" s="6"/>
      <c r="B167" t="s" s="8">
        <v>74</v>
      </c>
      <c r="C167" s="44">
        <v>6</v>
      </c>
      <c r="D167" t="s" s="8">
        <v>228</v>
      </c>
      <c r="E167" s="37">
        <v>0.0979589783073037</v>
      </c>
      <c r="F167" s="38">
        <v>2.34058241684672</v>
      </c>
      <c r="G167" s="42">
        <v>7.6836755550907</v>
      </c>
      <c r="H167" s="34">
        <v>0.934288134736712</v>
      </c>
      <c r="I167" s="6"/>
      <c r="J167" s="34">
        <v>1.03141788608234</v>
      </c>
      <c r="K167" s="6"/>
      <c r="L167" s="34" cm="1">
        <f t="array" ref="L167">E167*$J167</f>
        <v>0.101036642328505</v>
      </c>
      <c r="M167" s="34" cm="1">
        <f t="array" ref="M167">F167*$J167</f>
        <v>2.41411856858554</v>
      </c>
      <c r="N167" s="34" cm="1">
        <f t="array" ref="N167">G167*$J167</f>
        <v>7.9250803983742</v>
      </c>
      <c r="O167" s="34" cm="1">
        <f t="array" ref="O167">H167*$J167</f>
        <v>0.963641492921952</v>
      </c>
      <c r="P167" s="6"/>
      <c r="Q167" s="34">
        <v>208.55</v>
      </c>
      <c r="R167" s="34" cm="1">
        <f t="array" ref="R167">Q167/1000</f>
        <v>0.20855</v>
      </c>
      <c r="S167" s="6"/>
      <c r="T167" s="34" cm="1">
        <f t="array" ref="T167">$R167*L167</f>
        <v>0.0210711917576097</v>
      </c>
      <c r="U167" s="34" cm="1">
        <f t="array" ref="U167">$R167*M167</f>
        <v>0.5034644274785141</v>
      </c>
      <c r="V167" s="34" cm="1">
        <f t="array" ref="V167">$R167*N167</f>
        <v>1.65277551708094</v>
      </c>
      <c r="W167" s="34" cm="1">
        <f t="array" ref="W167">$R167*O167</f>
        <v>0.200967433348873</v>
      </c>
      <c r="X167" s="6"/>
      <c r="Y167" s="6"/>
      <c r="Z167" s="6"/>
      <c r="AA167" s="6"/>
      <c r="AB167" s="6"/>
      <c r="AC167" s="6"/>
      <c r="AD167" s="41">
        <v>0.010209657</v>
      </c>
      <c r="AE167" s="35"/>
      <c r="AF167" s="41" cm="1">
        <f t="array" ref="AF167">Y167/$AD167</f>
        <v>0</v>
      </c>
      <c r="AG167" s="41" cm="1">
        <f t="array" ref="AG167">Z167/$AD167</f>
        <v>0</v>
      </c>
      <c r="AH167" s="41" cm="1">
        <f t="array" ref="AH167">AA167/$AD167</f>
        <v>0</v>
      </c>
      <c r="AI167" s="41" cm="1">
        <f t="array" ref="AI167">AB167/$AD167</f>
        <v>0</v>
      </c>
    </row>
    <row r="168" ht="17" customHeight="1">
      <c r="A168" s="6"/>
      <c r="B168" t="s" s="25">
        <v>76</v>
      </c>
      <c r="C168" s="45">
        <v>6</v>
      </c>
      <c r="D168" t="s" s="25">
        <v>229</v>
      </c>
      <c r="E168" s="37">
        <v>117.516940238691</v>
      </c>
      <c r="F168" s="38">
        <v>213.069570638438</v>
      </c>
      <c r="G168" s="39">
        <v>1074.696042894840</v>
      </c>
      <c r="H168" s="40">
        <v>-48.0893230665385</v>
      </c>
      <c r="I168" s="6"/>
      <c r="J168" s="34">
        <v>1.08798185941043</v>
      </c>
      <c r="K168" s="6"/>
      <c r="L168" s="34" cm="1">
        <f t="array" ref="L168">E168*$J168</f>
        <v>127.856299153115</v>
      </c>
      <c r="M168" s="34" cm="1">
        <f t="array" ref="M168">F168*$J168</f>
        <v>231.815827646990</v>
      </c>
      <c r="N168" s="34" cm="1">
        <f t="array" ref="N168">G168*$J168</f>
        <v>1169.249799049760</v>
      </c>
      <c r="O168" s="34" cm="1">
        <f t="array" ref="O168">H168*$J168</f>
        <v>-52.3203111277214</v>
      </c>
      <c r="P168" s="6"/>
      <c r="Q168" s="34">
        <v>202.5148</v>
      </c>
      <c r="R168" s="34" cm="1">
        <f t="array" ref="R168">Q168/1000</f>
        <v>0.2025148</v>
      </c>
      <c r="S168" s="6"/>
      <c r="T168" s="34" cm="1">
        <f t="array" ref="T168">$R168*L168</f>
        <v>25.8927928517333</v>
      </c>
      <c r="U168" s="34" cm="1">
        <f t="array" ref="U168">$R168*M168</f>
        <v>46.9461359727647</v>
      </c>
      <c r="V168" s="34" cm="1">
        <f t="array" ref="V168">$R168*N168</f>
        <v>236.790389204602</v>
      </c>
      <c r="W168" s="34" cm="1">
        <f t="array" ref="W168">$R168*O168</f>
        <v>-10.5956373439683</v>
      </c>
      <c r="X168" s="6"/>
      <c r="Y168" s="34" cm="1">
        <f t="array" ref="Y168">T168-Y$174-Y$3</f>
        <v>26.0315933760385</v>
      </c>
      <c r="Z168" s="34" cm="1">
        <f t="array" ref="Z168">U168-Z$174-Z$3</f>
        <v>46.9452006344479</v>
      </c>
      <c r="AA168" s="34" cm="1">
        <f t="array" ref="AA168">V168-AA$174-AA$3</f>
        <v>235.989736161545</v>
      </c>
      <c r="AB168" s="34" cm="1">
        <f t="array" ref="AB168">W168-AB$174-AB$3</f>
        <v>-11.9483263987666</v>
      </c>
      <c r="AC168" s="6"/>
      <c r="AD168" s="41">
        <v>0.010209657</v>
      </c>
      <c r="AE168" s="35"/>
      <c r="AF168" s="41" cm="1">
        <f t="array" ref="AF168">Y168/$AD168</f>
        <v>2549.703028812670</v>
      </c>
      <c r="AG168" s="41" cm="1">
        <f t="array" ref="AG168">Z168/$AD168</f>
        <v>4598.117315248480</v>
      </c>
      <c r="AH168" s="41" cm="1">
        <f t="array" ref="AH168">AA168/$AD168</f>
        <v>23114.3647785175</v>
      </c>
      <c r="AI168" s="41" cm="1">
        <f t="array" ref="AI168">AB168/$AD168</f>
        <v>-1170.296553426490</v>
      </c>
    </row>
    <row r="169" ht="17" customHeight="1">
      <c r="A169" s="6"/>
      <c r="B169" t="s" s="32">
        <v>78</v>
      </c>
      <c r="C169" s="34">
        <v>6</v>
      </c>
      <c r="D169" t="s" s="32">
        <v>230</v>
      </c>
      <c r="E169" s="37">
        <v>85.336800034942</v>
      </c>
      <c r="F169" s="38">
        <v>318.833608803323</v>
      </c>
      <c r="G169" s="42">
        <v>2642.940054810720</v>
      </c>
      <c r="H169" s="34">
        <v>-50.0148383835747</v>
      </c>
      <c r="I169" s="6"/>
      <c r="J169" s="34">
        <v>1.02741797030147</v>
      </c>
      <c r="K169" s="6"/>
      <c r="L169" s="34" cm="1">
        <f t="array" ref="L169">E169*$J169</f>
        <v>87.6765618839225</v>
      </c>
      <c r="M169" s="34" cm="1">
        <f t="array" ref="M169">F169*$J169</f>
        <v>327.575379220603</v>
      </c>
      <c r="N169" s="34" cm="1">
        <f t="array" ref="N169">G169*$J169</f>
        <v>2715.404106742090</v>
      </c>
      <c r="O169" s="34" cm="1">
        <f t="array" ref="O169">H169*$J169</f>
        <v>-51.3861437370084</v>
      </c>
      <c r="P169" s="6"/>
      <c r="Q169" s="34">
        <v>201.5522</v>
      </c>
      <c r="R169" s="34" cm="1">
        <f t="array" ref="R169">Q169/1000</f>
        <v>0.2015522</v>
      </c>
      <c r="S169" s="6"/>
      <c r="T169" s="34" cm="1">
        <f t="array" ref="T169">$R169*L169</f>
        <v>17.6714039361407</v>
      </c>
      <c r="U169" s="34" cm="1">
        <f t="array" ref="U169">$R169*M169</f>
        <v>66.02353834774679</v>
      </c>
      <c r="V169" s="34" cm="1">
        <f t="array" ref="V169">$R169*N169</f>
        <v>547.295671602903</v>
      </c>
      <c r="W169" s="34" cm="1">
        <f t="array" ref="W169">$R169*O169</f>
        <v>-10.3569903197103</v>
      </c>
      <c r="X169" s="6"/>
      <c r="Y169" s="34" cm="1">
        <f t="array" ref="Y169">T169-Y$174-Y$3</f>
        <v>17.8102044604459</v>
      </c>
      <c r="Z169" s="34" cm="1">
        <f t="array" ref="Z169">U169-Z$174-Z$3</f>
        <v>66.022603009430</v>
      </c>
      <c r="AA169" s="34" cm="1">
        <f t="array" ref="AA169">V169-AA$174-AA$3</f>
        <v>546.495018559846</v>
      </c>
      <c r="AB169" s="34" cm="1">
        <f t="array" ref="AB169">W169-AB$174-AB$3</f>
        <v>-11.7096793745086</v>
      </c>
      <c r="AC169" s="6"/>
      <c r="AD169" s="41">
        <v>0.010209657</v>
      </c>
      <c r="AE169" s="35"/>
      <c r="AF169" s="41" cm="1">
        <f t="array" ref="AF169">Y169/$AD169</f>
        <v>1744.446895762110</v>
      </c>
      <c r="AG169" s="41" cm="1">
        <f t="array" ref="AG169">Z169/$AD169</f>
        <v>6466.681790527340</v>
      </c>
      <c r="AH169" s="41" cm="1">
        <f t="array" ref="AH169">AA169/$AD169</f>
        <v>53527.2652705028</v>
      </c>
      <c r="AI169" s="41" cm="1">
        <f t="array" ref="AI169">AB169/$AD169</f>
        <v>-1146.921916623510</v>
      </c>
    </row>
    <row r="170" ht="17" customHeight="1">
      <c r="A170" s="6"/>
      <c r="B170" t="s" s="32">
        <v>80</v>
      </c>
      <c r="C170" s="34">
        <v>6</v>
      </c>
      <c r="D170" t="s" s="32">
        <v>231</v>
      </c>
      <c r="E170" s="37">
        <v>6.73670301622375</v>
      </c>
      <c r="F170" s="38">
        <v>381.127399923581</v>
      </c>
      <c r="G170" s="39">
        <v>2000.124376234280</v>
      </c>
      <c r="H170" s="40">
        <v>-49.0150735616793</v>
      </c>
      <c r="I170" s="6"/>
      <c r="J170" s="34">
        <v>1.02559699915469</v>
      </c>
      <c r="K170" s="6"/>
      <c r="L170" s="34" cm="1">
        <f t="array" ref="L170">E170*$J170</f>
        <v>6.90914239763543</v>
      </c>
      <c r="M170" s="34" cm="1">
        <f t="array" ref="M170">F170*$J170</f>
        <v>390.883117657254</v>
      </c>
      <c r="N170" s="34" cm="1">
        <f t="array" ref="N170">G170*$J170</f>
        <v>2051.321558202020</v>
      </c>
      <c r="O170" s="34" cm="1">
        <f t="array" ref="O170">H170*$J170</f>
        <v>-50.2697123582047</v>
      </c>
      <c r="P170" s="6"/>
      <c r="Q170" s="34">
        <v>203.913</v>
      </c>
      <c r="R170" s="34" cm="1">
        <f t="array" ref="R170">Q170/1000</f>
        <v>0.203913</v>
      </c>
      <c r="S170" s="6"/>
      <c r="T170" s="34" cm="1">
        <f t="array" ref="T170">$R170*L170</f>
        <v>1.40886395372903</v>
      </c>
      <c r="U170" s="34" cm="1">
        <f t="array" ref="U170">$R170*M170</f>
        <v>79.7061491708436</v>
      </c>
      <c r="V170" s="34" cm="1">
        <f t="array" ref="V170">$R170*N170</f>
        <v>418.291132897649</v>
      </c>
      <c r="W170" s="34" cm="1">
        <f t="array" ref="W170">$R170*O170</f>
        <v>-10.2506478560986</v>
      </c>
      <c r="X170" s="6"/>
      <c r="Y170" s="34" cm="1">
        <f t="array" ref="Y170">T170-Y$174-Y$3</f>
        <v>1.54766447803423</v>
      </c>
      <c r="Z170" s="34" cm="1">
        <f t="array" ref="Z170">U170-Z$174-Z$3</f>
        <v>79.70521383252679</v>
      </c>
      <c r="AA170" s="34" cm="1">
        <f t="array" ref="AA170">V170-AA$174-AA$3</f>
        <v>417.490479854592</v>
      </c>
      <c r="AB170" s="34" cm="1">
        <f t="array" ref="AB170">W170-AB$174-AB$3</f>
        <v>-11.6033369108969</v>
      </c>
      <c r="AC170" s="6"/>
      <c r="AD170" s="41">
        <v>0.010209657</v>
      </c>
      <c r="AE170" s="35"/>
      <c r="AF170" s="41" cm="1">
        <f t="array" ref="AF170">Y170/$AD170</f>
        <v>151.588293126226</v>
      </c>
      <c r="AG170" s="41" cm="1">
        <f t="array" ref="AG170">Z170/$AD170</f>
        <v>7806.845404554410</v>
      </c>
      <c r="AH170" s="41" cm="1">
        <f t="array" ref="AH170">AA170/$AD170</f>
        <v>40891.7243600438</v>
      </c>
      <c r="AI170" s="41" cm="1">
        <f t="array" ref="AI170">AB170/$AD170</f>
        <v>-1136.5060462753</v>
      </c>
    </row>
    <row r="171" ht="17" customHeight="1">
      <c r="A171" s="6"/>
      <c r="B171" t="s" s="32">
        <v>82</v>
      </c>
      <c r="C171" s="34">
        <v>6</v>
      </c>
      <c r="D171" t="s" s="32">
        <v>232</v>
      </c>
      <c r="E171" s="37">
        <v>143.483273088677</v>
      </c>
      <c r="F171" s="61">
        <v>0.00444367741622345</v>
      </c>
      <c r="G171" s="42">
        <v>7.16695073620702</v>
      </c>
      <c r="H171" s="34">
        <v>455.275914181716</v>
      </c>
      <c r="I171" s="6"/>
      <c r="J171" s="34">
        <v>1.03960728684486</v>
      </c>
      <c r="K171" s="6"/>
      <c r="L171" s="34" cm="1">
        <f t="array" ref="L171">E171*$J171</f>
        <v>149.166256243340</v>
      </c>
      <c r="M171" s="34" cm="1">
        <f t="array" ref="M171">F171*$J171</f>
        <v>0.00461967942229384</v>
      </c>
      <c r="N171" s="34" cm="1">
        <f t="array" ref="N171">G171*$J171</f>
        <v>7.45081420981895</v>
      </c>
      <c r="O171" s="34" cm="1">
        <f t="array" ref="O171">H171*$J171</f>
        <v>473.308157908267</v>
      </c>
      <c r="P171" s="6"/>
      <c r="Q171" s="34">
        <v>202.6106</v>
      </c>
      <c r="R171" s="34" cm="1">
        <f t="array" ref="R171">Q171/1000</f>
        <v>0.2026106</v>
      </c>
      <c r="S171" s="6"/>
      <c r="T171" s="34" cm="1">
        <f t="array" ref="T171">$R171*L171</f>
        <v>30.2226646772169</v>
      </c>
      <c r="U171" s="34" cm="1">
        <f t="array" ref="U171">$R171*M171</f>
        <v>0.000935996019558608</v>
      </c>
      <c r="V171" s="34" cm="1">
        <f t="array" ref="V171">$R171*N171</f>
        <v>1.50961393753994</v>
      </c>
      <c r="W171" s="34" cm="1">
        <f t="array" ref="W171">$R171*O171</f>
        <v>95.8972498586887</v>
      </c>
      <c r="X171" s="6"/>
      <c r="Y171" s="34" cm="1">
        <f t="array" ref="Y171">T171-Y$174-Y$3</f>
        <v>30.3614652015221</v>
      </c>
      <c r="Z171" s="34" cm="1">
        <f t="array" ref="Z171">U171-Z$174-Z$3</f>
        <v>6.577027222829999e-07</v>
      </c>
      <c r="AA171" s="34" cm="1">
        <f t="array" ref="AA171">V171-AA$174-AA$3</f>
        <v>0.708960894482749</v>
      </c>
      <c r="AB171" s="34" cm="1">
        <f t="array" ref="AB171">W171-AB$174-AB$3</f>
        <v>94.54456080389041</v>
      </c>
      <c r="AC171" s="6"/>
      <c r="AD171" s="41">
        <v>0.010209657</v>
      </c>
      <c r="AE171" s="35"/>
      <c r="AF171" s="41" cm="1">
        <f t="array" ref="AF171">Y171/$AD171</f>
        <v>2973.798747746580</v>
      </c>
      <c r="AG171" s="41" cm="1">
        <f t="array" ref="AG171">Z171/$AD171</f>
        <v>6.44196687785887e-05</v>
      </c>
      <c r="AH171" s="41" cm="1">
        <f t="array" ref="AH171">AA171/$AD171</f>
        <v>69.4402264917175</v>
      </c>
      <c r="AI171" s="41" cm="1">
        <f t="array" ref="AI171">AB171/$AD171</f>
        <v>9260.307256540589</v>
      </c>
    </row>
    <row r="172" ht="17" customHeight="1">
      <c r="A172" s="6"/>
      <c r="B172" t="s" s="32">
        <v>84</v>
      </c>
      <c r="C172" s="34">
        <v>6</v>
      </c>
      <c r="D172" t="s" s="32">
        <v>233</v>
      </c>
      <c r="E172" s="37">
        <v>228.693484962798</v>
      </c>
      <c r="F172" s="61">
        <v>0.00444367741622345</v>
      </c>
      <c r="G172" s="39">
        <v>7.92981318672604</v>
      </c>
      <c r="H172" s="40">
        <v>318.928589331075</v>
      </c>
      <c r="I172" s="6"/>
      <c r="J172" s="34">
        <v>1.03278738805055</v>
      </c>
      <c r="K172" s="6"/>
      <c r="L172" s="34" cm="1">
        <f t="array" ref="L172">E172*$J172</f>
        <v>236.191746998906</v>
      </c>
      <c r="M172" s="34" cm="1">
        <f t="array" ref="M172">F172*$J172</f>
        <v>0.00458937399204063</v>
      </c>
      <c r="N172" s="34" cm="1">
        <f t="array" ref="N172">G172*$J172</f>
        <v>8.1898110488476</v>
      </c>
      <c r="O172" s="34" cm="1">
        <f t="array" ref="O172">H172*$J172</f>
        <v>329.385424749887</v>
      </c>
      <c r="P172" s="6"/>
      <c r="Q172" s="34">
        <v>203.6638</v>
      </c>
      <c r="R172" s="34" cm="1">
        <f t="array" ref="R172">Q172/1000</f>
        <v>0.2036638</v>
      </c>
      <c r="S172" s="6"/>
      <c r="T172" s="34" cm="1">
        <f t="array" ref="T172">$R172*L172</f>
        <v>48.1037087224358</v>
      </c>
      <c r="U172" s="34" cm="1">
        <f t="array" ref="U172">$R172*M172</f>
        <v>0.000934689346840164</v>
      </c>
      <c r="V172" s="34" cm="1">
        <f t="array" ref="V172">$R172*N172</f>
        <v>1.66796803949029</v>
      </c>
      <c r="W172" s="34" cm="1">
        <f t="array" ref="W172">$R172*O172</f>
        <v>67.083887269176</v>
      </c>
      <c r="X172" s="6"/>
      <c r="Y172" s="34" cm="1">
        <f t="array" ref="Y172">T172-Y$174-Y$3</f>
        <v>48.242509246741</v>
      </c>
      <c r="Z172" s="34" cm="1">
        <f t="array" ref="Z172">U172-Z$174-Z$3</f>
        <v>-6.48969996161e-07</v>
      </c>
      <c r="AA172" s="34" cm="1">
        <f t="array" ref="AA172">V172-AA$174-AA$3</f>
        <v>0.867314996433099</v>
      </c>
      <c r="AB172" s="34" cm="1">
        <f t="array" ref="AB172">W172-AB$174-AB$3</f>
        <v>65.7311982143777</v>
      </c>
      <c r="AC172" s="6"/>
      <c r="AD172" s="41">
        <v>0.010209657</v>
      </c>
      <c r="AE172" s="35"/>
      <c r="AF172" s="41" cm="1">
        <f t="array" ref="AF172">Y172/$AD172</f>
        <v>4725.184131723620</v>
      </c>
      <c r="AG172" s="41" cm="1">
        <f t="array" ref="AG172">Z172/$AD172</f>
        <v>-6.35643289643325e-05</v>
      </c>
      <c r="AH172" s="41" cm="1">
        <f t="array" ref="AH172">AA172/$AD172</f>
        <v>84.95045391173269</v>
      </c>
      <c r="AI172" s="41" cm="1">
        <f t="array" ref="AI172">AB172/$AD172</f>
        <v>6438.139715602370</v>
      </c>
    </row>
    <row r="173" ht="17" customHeight="1">
      <c r="A173" s="6"/>
      <c r="B173" t="s" s="32">
        <v>86</v>
      </c>
      <c r="C173" s="34">
        <v>6</v>
      </c>
      <c r="D173" t="s" s="32">
        <v>234</v>
      </c>
      <c r="E173" s="37">
        <v>6.56466271756417</v>
      </c>
      <c r="F173" s="61">
        <v>0.00444367741622345</v>
      </c>
      <c r="G173" s="42">
        <v>7.61523670600171</v>
      </c>
      <c r="H173" s="34">
        <v>582.699230296079</v>
      </c>
      <c r="I173" s="6"/>
      <c r="J173" s="34">
        <v>1.03445901752212</v>
      </c>
      <c r="K173" s="6"/>
      <c r="L173" s="34" cm="1">
        <f t="array" ref="L173">E173*$J173</f>
        <v>6.79087454517552</v>
      </c>
      <c r="M173" s="34" cm="1">
        <f t="array" ref="M173">F173*$J173</f>
        <v>0.00459680217417174</v>
      </c>
      <c r="N173" s="34" cm="1">
        <f t="array" ref="N173">G173*$J173</f>
        <v>7.87765028108891</v>
      </c>
      <c r="O173" s="34" cm="1">
        <f t="array" ref="O173">H173*$J173</f>
        <v>602.778473282977</v>
      </c>
      <c r="P173" s="6"/>
      <c r="Q173" s="34">
        <v>203.7978</v>
      </c>
      <c r="R173" s="34" cm="1">
        <f t="array" ref="R173">Q173/1000</f>
        <v>0.2037978</v>
      </c>
      <c r="S173" s="6"/>
      <c r="T173" s="34" cm="1">
        <f t="array" ref="T173">$R173*L173</f>
        <v>1.38396529238277</v>
      </c>
      <c r="U173" s="34" cm="1">
        <f t="array" ref="U173">$R173*M173</f>
        <v>0.0009368181701314171</v>
      </c>
      <c r="V173" s="34" cm="1">
        <f t="array" ref="V173">$R173*N173</f>
        <v>1.6054477964553</v>
      </c>
      <c r="W173" s="34" cm="1">
        <f t="array" ref="W173">$R173*O173</f>
        <v>122.844926742429</v>
      </c>
      <c r="X173" s="6"/>
      <c r="Y173" s="34" cm="1">
        <f t="array" ref="Y173">T173-Y$174-Y$3</f>
        <v>1.52276581668797</v>
      </c>
      <c r="Z173" s="34" cm="1">
        <f t="array" ref="Z173">U173-Z$174-Z$3</f>
        <v>1.479853295092e-06</v>
      </c>
      <c r="AA173" s="34" cm="1">
        <f t="array" ref="AA173">V173-AA$174-AA$3</f>
        <v>0.804794753398109</v>
      </c>
      <c r="AB173" s="34" cm="1">
        <f t="array" ref="AB173">W173-AB$174-AB$3</f>
        <v>121.492237687631</v>
      </c>
      <c r="AC173" s="6"/>
      <c r="AD173" s="41">
        <v>0.010209657</v>
      </c>
      <c r="AE173" s="35"/>
      <c r="AF173" s="41" cm="1">
        <f t="array" ref="AF173">Y173/$AD173</f>
        <v>149.149556805676</v>
      </c>
      <c r="AG173" s="41" cm="1">
        <f t="array" ref="AG173">Z173/$AD173</f>
        <v>0.000144946426220979</v>
      </c>
      <c r="AH173" s="41" cm="1">
        <f t="array" ref="AH173">AA173/$AD173</f>
        <v>78.8268159643472</v>
      </c>
      <c r="AI173" s="41" cm="1">
        <f t="array" ref="AI173">AB173/$AD173</f>
        <v>11899.7374434451</v>
      </c>
    </row>
    <row r="174" ht="17" customHeight="1">
      <c r="A174" s="6"/>
      <c r="B174" t="s" s="32">
        <v>88</v>
      </c>
      <c r="C174" s="34">
        <v>6</v>
      </c>
      <c r="D174" t="s" s="32">
        <v>235</v>
      </c>
      <c r="E174" s="37">
        <v>-0.65942423624984</v>
      </c>
      <c r="F174" s="61">
        <v>0.00444367741622345</v>
      </c>
      <c r="G174" s="39">
        <v>3.80380422957313</v>
      </c>
      <c r="H174" s="40">
        <v>6.42645949148209</v>
      </c>
      <c r="I174" s="6"/>
      <c r="J174" s="34">
        <v>1.03311793214863</v>
      </c>
      <c r="K174" s="6"/>
      <c r="L174" s="34" cm="1">
        <f t="array" ref="L174">E174*$J174</f>
        <v>-0.681263003363124</v>
      </c>
      <c r="M174" s="34" cm="1">
        <f t="array" ref="M174">F174*$J174</f>
        <v>0.00459084282338434</v>
      </c>
      <c r="N174" s="34" cm="1">
        <f t="array" ref="N174">G174*$J174</f>
        <v>3.9297783599548</v>
      </c>
      <c r="O174" s="34" cm="1">
        <f t="array" ref="O174">H174*$J174</f>
        <v>6.63929054087691</v>
      </c>
      <c r="P174" s="6"/>
      <c r="Q174" s="34">
        <v>203.74</v>
      </c>
      <c r="R174" s="34" cm="1">
        <f t="array" ref="R174">Q174/1000</f>
        <v>0.20374</v>
      </c>
      <c r="S174" s="6"/>
      <c r="T174" s="34" cm="1">
        <f t="array" ref="T174">$R174*L174</f>
        <v>-0.138800524305203</v>
      </c>
      <c r="U174" s="34" cm="1">
        <f t="array" ref="U174">$R174*M174</f>
        <v>0.000935338316836325</v>
      </c>
      <c r="V174" s="34" cm="1">
        <f t="array" ref="V174">$R174*N174</f>
        <v>0.800653043057191</v>
      </c>
      <c r="W174" s="34" cm="1">
        <f t="array" ref="W174">$R174*O174</f>
        <v>1.35268905479826</v>
      </c>
      <c r="X174" s="6"/>
      <c r="Y174" s="34" cm="1">
        <f t="array" ref="Y174">AVERAGE(T174)</f>
        <v>-0.138800524305203</v>
      </c>
      <c r="Z174" s="34" cm="1">
        <f t="array" ref="Z174">AVERAGE(U174)</f>
        <v>0.000935338316836325</v>
      </c>
      <c r="AA174" s="34" cm="1">
        <f t="array" ref="AA174">AVERAGE(V174)</f>
        <v>0.800653043057191</v>
      </c>
      <c r="AB174" s="34" cm="1">
        <f t="array" ref="AB174">AVERAGE(W174)</f>
        <v>1.35268905479826</v>
      </c>
      <c r="AC174" s="6"/>
      <c r="AD174" s="41">
        <v>0.010209657</v>
      </c>
      <c r="AE174" s="35"/>
      <c r="AF174" s="41" cm="1">
        <f t="array" ref="AF174">Y174/$AD174</f>
        <v>-13.5950232515356</v>
      </c>
      <c r="AG174" s="41" cm="1">
        <f t="array" ref="AG174">Z174/$AD174</f>
        <v>0.09161309893528501</v>
      </c>
      <c r="AH174" s="41" cm="1">
        <f t="array" ref="AH174">AA174/$AD174</f>
        <v>78.42115000114021</v>
      </c>
      <c r="AI174" s="41" cm="1">
        <f t="array" ref="AI174">AB174/$AD174</f>
        <v>132.491136068358</v>
      </c>
    </row>
    <row r="175" ht="17" customHeight="1">
      <c r="A175" s="6"/>
      <c r="B175" t="s" s="32">
        <v>90</v>
      </c>
      <c r="C175" s="34">
        <v>6</v>
      </c>
      <c r="D175" t="s" s="32">
        <v>236</v>
      </c>
      <c r="E175" s="37">
        <v>0.130557739078408</v>
      </c>
      <c r="F175" s="61">
        <v>0.00444367741622345</v>
      </c>
      <c r="G175" s="42">
        <v>3.07466042201641</v>
      </c>
      <c r="H175" s="34">
        <v>-3.33095585022518</v>
      </c>
      <c r="I175" s="6"/>
      <c r="J175" s="34">
        <v>1.03444873930553</v>
      </c>
      <c r="K175" s="6"/>
      <c r="L175" s="34" cm="1">
        <f t="array" ref="L175">E175*$J175</f>
        <v>0.135055288596239</v>
      </c>
      <c r="M175" s="34" cm="1">
        <f t="array" ref="M175">F175*$J175</f>
        <v>0.0045967565010928</v>
      </c>
      <c r="N175" s="34" cm="1">
        <f t="array" ref="N175">G175*$J175</f>
        <v>3.18057859734748</v>
      </c>
      <c r="O175" s="34" cm="1">
        <f t="array" ref="O175">H175*$J175</f>
        <v>-3.44570307994782</v>
      </c>
      <c r="P175" s="6"/>
      <c r="Q175" s="34">
        <v>203.94</v>
      </c>
      <c r="R175" s="34" cm="1">
        <f t="array" ref="R175">Q175/1000</f>
        <v>0.20394</v>
      </c>
      <c r="S175" s="6"/>
      <c r="T175" s="34" cm="1">
        <f t="array" ref="T175">$R175*L175</f>
        <v>0.027543175556317</v>
      </c>
      <c r="U175" s="34" cm="1">
        <f t="array" ref="U175">$R175*M175</f>
        <v>0.000937462520832866</v>
      </c>
      <c r="V175" s="34" cm="1">
        <f t="array" ref="V175">$R175*N175</f>
        <v>0.648647199143045</v>
      </c>
      <c r="W175" s="34" cm="1">
        <f t="array" ref="W175">$R175*O175</f>
        <v>-0.702716686124558</v>
      </c>
      <c r="X175" s="6"/>
      <c r="Y175" s="6"/>
      <c r="Z175" s="6"/>
      <c r="AA175" s="6"/>
      <c r="AB175" s="6"/>
      <c r="AC175" s="6"/>
      <c r="AD175" s="41">
        <v>0.010209657</v>
      </c>
      <c r="AE175" s="35"/>
      <c r="AF175" s="41" cm="1">
        <f t="array" ref="AF175">Y175/$AD175</f>
        <v>0</v>
      </c>
      <c r="AG175" s="41" cm="1">
        <f t="array" ref="AG175">Z175/$AD175</f>
        <v>0</v>
      </c>
      <c r="AH175" s="41" cm="1">
        <f t="array" ref="AH175">AA175/$AD175</f>
        <v>0</v>
      </c>
      <c r="AI175" s="41" cm="1">
        <f t="array" ref="AI175">AB175/$AD175</f>
        <v>0</v>
      </c>
    </row>
    <row r="176" ht="17" customHeight="1">
      <c r="A176" s="6"/>
      <c r="B176" t="s" s="8">
        <v>92</v>
      </c>
      <c r="C176" s="34">
        <v>6</v>
      </c>
      <c r="D176" t="s" s="32">
        <v>237</v>
      </c>
      <c r="E176" s="37">
        <v>-0.842437841625829</v>
      </c>
      <c r="F176" s="61">
        <v>0.00444367741622345</v>
      </c>
      <c r="G176" s="39">
        <v>5.13939413875743</v>
      </c>
      <c r="H176" s="40">
        <v>-3.14817897455805</v>
      </c>
      <c r="I176" s="6"/>
      <c r="J176" s="34">
        <v>1.03620497904012</v>
      </c>
      <c r="K176" s="6"/>
      <c r="L176" s="34" cm="1">
        <f t="array" ref="L176">E176*$J176</f>
        <v>-0.872938286024496</v>
      </c>
      <c r="M176" s="34" cm="1">
        <f t="array" ref="M176">F176*$J176</f>
        <v>0.00460456066393887</v>
      </c>
      <c r="N176" s="34" cm="1">
        <f t="array" ref="N176">G176*$J176</f>
        <v>5.32546579583006</v>
      </c>
      <c r="O176" s="34" cm="1">
        <f t="array" ref="O176">H176*$J176</f>
        <v>-3.26215872834647</v>
      </c>
      <c r="P176" s="6"/>
      <c r="Q176" s="34">
        <v>203.93</v>
      </c>
      <c r="R176" s="34" cm="1">
        <f t="array" ref="R176">Q176/1000</f>
        <v>0.20393</v>
      </c>
      <c r="S176" s="6"/>
      <c r="T176" s="34" cm="1">
        <f t="array" ref="T176">$R176*L176</f>
        <v>-0.178018304668975</v>
      </c>
      <c r="U176" s="34" cm="1">
        <f t="array" ref="U176">$R176*M176</f>
        <v>0.000939008056197054</v>
      </c>
      <c r="V176" s="34" cm="1">
        <f t="array" ref="V176">$R176*N176</f>
        <v>1.08602223974362</v>
      </c>
      <c r="W176" s="34" cm="1">
        <f t="array" ref="W176">$R176*O176</f>
        <v>-0.665252029471696</v>
      </c>
      <c r="X176" s="6"/>
      <c r="Y176" s="6"/>
      <c r="Z176" s="6"/>
      <c r="AA176" s="6"/>
      <c r="AB176" s="6"/>
      <c r="AC176" s="6"/>
      <c r="AD176" s="41">
        <v>0.010209657</v>
      </c>
      <c r="AE176" s="35"/>
      <c r="AF176" s="41" cm="1">
        <f t="array" ref="AF176">Y176/$AD176</f>
        <v>0</v>
      </c>
      <c r="AG176" s="41" cm="1">
        <f t="array" ref="AG176">Z176/$AD176</f>
        <v>0</v>
      </c>
      <c r="AH176" s="41" cm="1">
        <f t="array" ref="AH176">AA176/$AD176</f>
        <v>0</v>
      </c>
      <c r="AI176" s="41" cm="1">
        <f t="array" ref="AI176">AB176/$AD176</f>
        <v>0</v>
      </c>
    </row>
    <row r="177" ht="17" customHeight="1">
      <c r="A177" s="6"/>
      <c r="B177" t="s" s="25">
        <v>94</v>
      </c>
      <c r="C177" s="34">
        <v>6</v>
      </c>
      <c r="D177" t="s" s="32">
        <v>238</v>
      </c>
      <c r="E177" s="37">
        <v>24.9130136629237</v>
      </c>
      <c r="F177" s="38">
        <v>1236.494293499330</v>
      </c>
      <c r="G177" s="39">
        <v>50221.0372445359</v>
      </c>
      <c r="H177" s="40">
        <v>92.4296446739434</v>
      </c>
      <c r="I177" s="6"/>
      <c r="J177" s="34">
        <v>1.0205490401244</v>
      </c>
      <c r="K177" s="6"/>
      <c r="L177" s="34" cm="1">
        <f t="array" ref="L177">E177*$J177</f>
        <v>25.4249521803028</v>
      </c>
      <c r="M177" s="34" cm="1">
        <f t="array" ref="M177">F177*$J177</f>
        <v>1261.903064350040</v>
      </c>
      <c r="N177" s="34" cm="1">
        <f t="array" ref="N177">G177*$J177</f>
        <v>51253.0313539629</v>
      </c>
      <c r="O177" s="34" cm="1">
        <f t="array" ref="O177">H177*$J177</f>
        <v>94.3289851510323</v>
      </c>
      <c r="P177" s="6"/>
      <c r="Q177" s="34">
        <v>204.347</v>
      </c>
      <c r="R177" s="34" cm="1">
        <f t="array" ref="R177">Q177/1000</f>
        <v>0.204347</v>
      </c>
      <c r="S177" s="6"/>
      <c r="T177" s="34" cm="1">
        <f t="array" ref="T177">$R177*L177</f>
        <v>5.19551270318834</v>
      </c>
      <c r="U177" s="34" cm="1">
        <f t="array" ref="U177">$R177*M177</f>
        <v>257.866105490738</v>
      </c>
      <c r="V177" s="34" cm="1">
        <f t="array" ref="V177">$R177*N177</f>
        <v>10473.4031980883</v>
      </c>
      <c r="W177" s="34" cm="1">
        <f t="array" ref="W177">$R177*O177</f>
        <v>19.275845128658</v>
      </c>
      <c r="X177" s="6"/>
      <c r="Y177" s="34" cm="1">
        <f t="array" ref="Y177">T177-Y$183-Y$3</f>
        <v>5.14642180414042</v>
      </c>
      <c r="Z177" s="34" cm="1">
        <f t="array" ref="Z177">U177-Z$183-Z$3</f>
        <v>257.841120026335</v>
      </c>
      <c r="AA177" s="34" cm="1">
        <f t="array" ref="AA177">V177-AA$183-AA$3</f>
        <v>10472.8456909341</v>
      </c>
      <c r="AB177" s="34" cm="1">
        <f t="array" ref="AB177">W177-AB$183-AB$3</f>
        <v>19.0713290218884</v>
      </c>
      <c r="AC177" s="6"/>
      <c r="AD177" s="41">
        <v>0.010209657</v>
      </c>
      <c r="AE177" s="35"/>
      <c r="AF177" s="41" cm="1">
        <f t="array" ref="AF177">Y177/$AD177</f>
        <v>504.073917874070</v>
      </c>
      <c r="AG177" s="41" cm="1">
        <f t="array" ref="AG177">Z177/$AD177</f>
        <v>25254.630985775</v>
      </c>
      <c r="AH177" s="41" cm="1">
        <f t="array" ref="AH177">AA177/$AD177</f>
        <v>1025778.40675099</v>
      </c>
      <c r="AI177" s="41" cm="1">
        <f t="array" ref="AI177">AB177/$AD177</f>
        <v>1867.9696117008</v>
      </c>
    </row>
    <row r="178" ht="17" customHeight="1">
      <c r="A178" s="6"/>
      <c r="B178" t="s" s="32">
        <v>96</v>
      </c>
      <c r="C178" s="34">
        <v>6</v>
      </c>
      <c r="D178" t="s" s="32">
        <v>239</v>
      </c>
      <c r="E178" s="37">
        <v>13.9804087898016</v>
      </c>
      <c r="F178" s="38">
        <v>1289.114858171930</v>
      </c>
      <c r="G178" s="42">
        <v>49177.2211954435</v>
      </c>
      <c r="H178" s="34">
        <v>238.231568282763</v>
      </c>
      <c r="I178" s="6"/>
      <c r="J178" s="34">
        <v>1.02934354455745</v>
      </c>
      <c r="K178" s="6"/>
      <c r="L178" s="34" cm="1">
        <f t="array" ref="L178">E178*$J178</f>
        <v>14.3906435380565</v>
      </c>
      <c r="M178" s="34" cm="1">
        <f t="array" ref="M178">F178*$J178</f>
        <v>1326.942057452370</v>
      </c>
      <c r="N178" s="34" cm="1">
        <f t="array" ref="N178">G178*$J178</f>
        <v>50620.2551768036</v>
      </c>
      <c r="O178" s="34" cm="1">
        <f t="array" ref="O178">H178*$J178</f>
        <v>245.222126921659</v>
      </c>
      <c r="P178" s="6"/>
      <c r="Q178" s="34">
        <v>206.2386</v>
      </c>
      <c r="R178" s="34" cm="1">
        <f t="array" ref="R178">Q178/1000</f>
        <v>0.2062386</v>
      </c>
      <c r="S178" s="6"/>
      <c r="T178" s="34" cm="1">
        <f t="array" ref="T178">$R178*L178</f>
        <v>2.96790617638782</v>
      </c>
      <c r="U178" s="34" cm="1">
        <f t="array" ref="U178">$R178*M178</f>
        <v>273.666672210096</v>
      </c>
      <c r="V178" s="34" cm="1">
        <f t="array" ref="V178">$R178*N178</f>
        <v>10439.8505593067</v>
      </c>
      <c r="W178" s="34" cm="1">
        <f t="array" ref="W178">$R178*O178</f>
        <v>50.5742681453453</v>
      </c>
      <c r="X178" s="6"/>
      <c r="Y178" s="34" cm="1">
        <f t="array" ref="Y178">T178-Y$183-Y$3</f>
        <v>2.9188152773399</v>
      </c>
      <c r="Z178" s="34" cm="1">
        <f t="array" ref="Z178">U178-Z$183-Z$3</f>
        <v>273.641686745693</v>
      </c>
      <c r="AA178" s="34" cm="1">
        <f t="array" ref="AA178">V178-AA$183-AA$3</f>
        <v>10439.2930521525</v>
      </c>
      <c r="AB178" s="34" cm="1">
        <f t="array" ref="AB178">W178-AB$183-AB$3</f>
        <v>50.3697520385757</v>
      </c>
      <c r="AC178" s="6"/>
      <c r="AD178" s="41">
        <v>0.010209657</v>
      </c>
      <c r="AE178" s="35"/>
      <c r="AF178" s="41" cm="1">
        <f t="array" ref="AF178">Y178/$AD178</f>
        <v>285.887692146749</v>
      </c>
      <c r="AG178" s="41" cm="1">
        <f t="array" ref="AG178">Z178/$AD178</f>
        <v>26802.2409318641</v>
      </c>
      <c r="AH178" s="41" cm="1">
        <f t="array" ref="AH178">AA178/$AD178</f>
        <v>1022492.04377312</v>
      </c>
      <c r="AI178" s="41" cm="1">
        <f t="array" ref="AI178">AB178/$AD178</f>
        <v>4933.540082548880</v>
      </c>
    </row>
    <row r="179" ht="17" customHeight="1">
      <c r="A179" s="6"/>
      <c r="B179" t="s" s="32">
        <v>98</v>
      </c>
      <c r="C179" s="34">
        <v>6</v>
      </c>
      <c r="D179" t="s" s="32">
        <v>240</v>
      </c>
      <c r="E179" s="37">
        <v>15.8043434135604</v>
      </c>
      <c r="F179" s="38">
        <v>1385.391686103730</v>
      </c>
      <c r="G179" s="39">
        <v>49096.9378984692</v>
      </c>
      <c r="H179" s="40">
        <v>222.686367567855</v>
      </c>
      <c r="I179" s="6"/>
      <c r="J179" s="34">
        <v>1.03508281845668</v>
      </c>
      <c r="K179" s="6"/>
      <c r="L179" s="34" cm="1">
        <f t="array" ref="L179">E179*$J179</f>
        <v>16.3588043243654</v>
      </c>
      <c r="M179" s="34" cm="1">
        <f t="array" ref="M179">F179*$J179</f>
        <v>1433.9951311187</v>
      </c>
      <c r="N179" s="34" cm="1">
        <f t="array" ref="N179">G179*$J179</f>
        <v>50819.3968575401</v>
      </c>
      <c r="O179" s="34" cm="1">
        <f t="array" ref="O179">H179*$J179</f>
        <v>230.498832974016</v>
      </c>
      <c r="P179" s="6"/>
      <c r="Q179" s="34">
        <v>196.16</v>
      </c>
      <c r="R179" s="34" cm="1">
        <f t="array" ref="R179">Q179/1000</f>
        <v>0.19616</v>
      </c>
      <c r="S179" s="6"/>
      <c r="T179" s="34" cm="1">
        <f t="array" ref="T179">$R179*L179</f>
        <v>3.20894305626752</v>
      </c>
      <c r="U179" s="34" cm="1">
        <f t="array" ref="U179">$R179*M179</f>
        <v>281.292484920244</v>
      </c>
      <c r="V179" s="34" cm="1">
        <f t="array" ref="V179">$R179*N179</f>
        <v>9968.732887575070</v>
      </c>
      <c r="W179" s="34" cm="1">
        <f t="array" ref="W179">$R179*O179</f>
        <v>45.214651076183</v>
      </c>
      <c r="X179" s="6"/>
      <c r="Y179" s="34" cm="1">
        <f t="array" ref="Y179">T179-Y$183-Y$3</f>
        <v>3.1598521572196</v>
      </c>
      <c r="Z179" s="34" cm="1">
        <f t="array" ref="Z179">U179-Z$183-Z$3</f>
        <v>281.267499455841</v>
      </c>
      <c r="AA179" s="34" cm="1">
        <f t="array" ref="AA179">V179-AA$183-AA$3</f>
        <v>9968.175380420849</v>
      </c>
      <c r="AB179" s="34" cm="1">
        <f t="array" ref="AB179">W179-AB$183-AB$3</f>
        <v>45.0101349694134</v>
      </c>
      <c r="AC179" s="6"/>
      <c r="AD179" s="41">
        <v>0.010209657</v>
      </c>
      <c r="AE179" s="35"/>
      <c r="AF179" s="41" cm="1">
        <f t="array" ref="AF179">Y179/$AD179</f>
        <v>309.496406903738</v>
      </c>
      <c r="AG179" s="41" cm="1">
        <f t="array" ref="AG179">Z179/$AD179</f>
        <v>27549.1624699871</v>
      </c>
      <c r="AH179" s="41" cm="1">
        <f t="array" ref="AH179">AA179/$AD179</f>
        <v>976347.724553415</v>
      </c>
      <c r="AI179" s="41" cm="1">
        <f t="array" ref="AI179">AB179/$AD179</f>
        <v>4408.584438185670</v>
      </c>
    </row>
    <row r="180" ht="17" customHeight="1">
      <c r="A180" s="6"/>
      <c r="B180" t="s" s="32">
        <v>100</v>
      </c>
      <c r="C180" s="34">
        <v>6</v>
      </c>
      <c r="D180" t="s" s="32">
        <v>241</v>
      </c>
      <c r="E180" s="37">
        <v>3.7858087352399</v>
      </c>
      <c r="F180" s="43">
        <v>0.146117699282796</v>
      </c>
      <c r="G180" s="39">
        <v>2.93334441334838</v>
      </c>
      <c r="H180" s="40">
        <v>1216.451324492770</v>
      </c>
      <c r="I180" s="6"/>
      <c r="J180" s="34">
        <v>1.03530285525664</v>
      </c>
      <c r="K180" s="6"/>
      <c r="L180" s="34" cm="1">
        <f t="array" ref="L180">E180*$J180</f>
        <v>3.9194585930494</v>
      </c>
      <c r="M180" s="34" cm="1">
        <f t="array" ref="M180">F180*$J180</f>
        <v>0.15127607127101</v>
      </c>
      <c r="N180" s="34" cm="1">
        <f t="array" ref="N180">G180*$J180</f>
        <v>3.03689984659069</v>
      </c>
      <c r="O180" s="34" cm="1">
        <f t="array" ref="O180">H180*$J180</f>
        <v>1259.395529528090</v>
      </c>
      <c r="P180" s="6"/>
      <c r="Q180" s="34">
        <v>205.0154</v>
      </c>
      <c r="R180" s="34" cm="1">
        <f t="array" ref="R180">Q180/1000</f>
        <v>0.2050154</v>
      </c>
      <c r="S180" s="6"/>
      <c r="T180" s="34" cm="1">
        <f t="array" ref="T180">$R180*L180</f>
        <v>0.80354937123746</v>
      </c>
      <c r="U180" s="34" cm="1">
        <f t="array" ref="U180">$R180*M180</f>
        <v>0.0310139242620546</v>
      </c>
      <c r="V180" s="34" cm="1">
        <f t="array" ref="V180">$R180*N180</f>
        <v>0.622611236808729</v>
      </c>
      <c r="W180" s="34" cm="1">
        <f t="array" ref="W180">$R180*O180</f>
        <v>258.195478244413</v>
      </c>
      <c r="X180" s="6"/>
      <c r="Y180" s="34" cm="1">
        <f t="array" ref="Y180">T180-Y$183-Y$3</f>
        <v>0.754458472189539</v>
      </c>
      <c r="Z180" s="34" cm="1">
        <f t="array" ref="Z180">U180-Z$183-Z$3</f>
        <v>0.0060284598594587</v>
      </c>
      <c r="AA180" s="34" cm="1">
        <f t="array" ref="AA180">V180-AA$183-AA$3</f>
        <v>0.065104082590333</v>
      </c>
      <c r="AB180" s="34" cm="1">
        <f t="array" ref="AB180">W180-AB$183-AB$3</f>
        <v>257.990962137643</v>
      </c>
      <c r="AC180" s="6"/>
      <c r="AD180" s="41">
        <v>0.010209657</v>
      </c>
      <c r="AE180" s="35"/>
      <c r="AF180" s="41" cm="1">
        <f t="array" ref="AF180">Y180/$AD180</f>
        <v>73.8965542318943</v>
      </c>
      <c r="AG180" s="41" cm="1">
        <f t="array" ref="AG180">Z180/$AD180</f>
        <v>0.5904664436286839</v>
      </c>
      <c r="AH180" s="41" cm="1">
        <f t="array" ref="AH180">AA180/$AD180</f>
        <v>6.37671594553402</v>
      </c>
      <c r="AI180" s="41" cm="1">
        <f t="array" ref="AI180">AB180/$AD180</f>
        <v>25269.3074936448</v>
      </c>
    </row>
    <row r="181" ht="17" customHeight="1">
      <c r="A181" s="6"/>
      <c r="B181" t="s" s="32">
        <v>102</v>
      </c>
      <c r="C181" s="34">
        <v>6</v>
      </c>
      <c r="D181" t="s" s="32">
        <v>242</v>
      </c>
      <c r="E181" s="37">
        <v>1.47551140868422</v>
      </c>
      <c r="F181" s="43">
        <v>0.146117699282796</v>
      </c>
      <c r="G181" s="42">
        <v>1.44126776314864</v>
      </c>
      <c r="H181" s="34">
        <v>1015.507340902960</v>
      </c>
      <c r="I181" s="6"/>
      <c r="J181" s="34">
        <v>1.03330887976649</v>
      </c>
      <c r="K181" s="6"/>
      <c r="L181" s="34" cm="1">
        <f t="array" ref="L181">E181*$J181</f>
        <v>1.52465904079017</v>
      </c>
      <c r="M181" s="34" cm="1">
        <f t="array" ref="M181">F181*$J181</f>
        <v>0.150984716159963</v>
      </c>
      <c r="N181" s="34" cm="1">
        <f t="array" ref="N181">G181*$J181</f>
        <v>1.48927477778268</v>
      </c>
      <c r="O181" s="34" cm="1">
        <f t="array" ref="O181">H181*$J181</f>
        <v>1049.332752823080</v>
      </c>
      <c r="P181" s="6"/>
      <c r="Q181" s="34">
        <v>204.2374</v>
      </c>
      <c r="R181" s="34" cm="1">
        <f t="array" ref="R181">Q181/1000</f>
        <v>0.2042374</v>
      </c>
      <c r="S181" s="6"/>
      <c r="T181" s="34" cm="1">
        <f t="array" ref="T181">$R181*L181</f>
        <v>0.311392398377478</v>
      </c>
      <c r="U181" s="34" cm="1">
        <f t="array" ref="U181">$R181*M181</f>
        <v>0.0308367258682488</v>
      </c>
      <c r="V181" s="34" cm="1">
        <f t="array" ref="V181">$R181*N181</f>
        <v>0.304165608499912</v>
      </c>
      <c r="W181" s="34" cm="1">
        <f t="array" ref="W181">$R181*O181</f>
        <v>214.312993171429</v>
      </c>
      <c r="X181" s="6"/>
      <c r="Y181" s="34" cm="1">
        <f t="array" ref="Y181">T181-Y$183-Y$3</f>
        <v>0.262301499329557</v>
      </c>
      <c r="Z181" s="34" cm="1">
        <f t="array" ref="Z181">U181-Z$183-Z$3</f>
        <v>0.0058512614656529</v>
      </c>
      <c r="AA181" s="34" cm="1">
        <f t="array" ref="AA181">V181-AA$183-AA$3</f>
        <v>-0.253341545718484</v>
      </c>
      <c r="AB181" s="34" cm="1">
        <f t="array" ref="AB181">W181-AB$183-AB$3</f>
        <v>214.108477064659</v>
      </c>
      <c r="AC181" s="6"/>
      <c r="AD181" s="41">
        <v>0.010209657</v>
      </c>
      <c r="AE181" s="35"/>
      <c r="AF181" s="41" cm="1">
        <f t="array" ref="AF181">Y181/$AD181</f>
        <v>25.6915094532125</v>
      </c>
      <c r="AG181" s="41" cm="1">
        <f t="array" ref="AG181">Z181/$AD181</f>
        <v>0.573110484089025</v>
      </c>
      <c r="AH181" s="41" cm="1">
        <f t="array" ref="AH181">AA181/$AD181</f>
        <v>-24.8139135054668</v>
      </c>
      <c r="AI181" s="41" cm="1">
        <f t="array" ref="AI181">AB181/$AD181</f>
        <v>20971.1723973351</v>
      </c>
    </row>
    <row r="182" ht="17" customHeight="1">
      <c r="A182" s="6"/>
      <c r="B182" t="s" s="32">
        <v>104</v>
      </c>
      <c r="C182" s="34">
        <v>6</v>
      </c>
      <c r="D182" t="s" s="32">
        <v>243</v>
      </c>
      <c r="E182" s="37">
        <v>2.36030771172955</v>
      </c>
      <c r="F182" s="43">
        <v>0.146117699282796</v>
      </c>
      <c r="G182" s="39">
        <v>1.21835391492982</v>
      </c>
      <c r="H182" s="40">
        <v>1339.534727464280</v>
      </c>
      <c r="I182" s="6"/>
      <c r="J182" s="34">
        <v>1.03129899626346</v>
      </c>
      <c r="K182" s="6"/>
      <c r="L182" s="34" cm="1">
        <f t="array" ref="L182">E182*$J182</f>
        <v>2.43418297397959</v>
      </c>
      <c r="M182" s="34" cm="1">
        <f t="array" ref="M182">F182*$J182</f>
        <v>0.150691036606674</v>
      </c>
      <c r="N182" s="34" cm="1">
        <f t="array" ref="N182">G182*$J182</f>
        <v>1.25648716956078</v>
      </c>
      <c r="O182" s="34" cm="1">
        <f t="array" ref="O182">H182*$J182</f>
        <v>1381.460819893960</v>
      </c>
      <c r="P182" s="6"/>
      <c r="Q182" s="34">
        <v>205.7604</v>
      </c>
      <c r="R182" s="34" cm="1">
        <f t="array" ref="R182">Q182/1000</f>
        <v>0.2057604</v>
      </c>
      <c r="S182" s="6"/>
      <c r="T182" s="34" cm="1">
        <f t="array" ref="T182">$R182*L182</f>
        <v>0.50085846239923</v>
      </c>
      <c r="U182" s="34" cm="1">
        <f t="array" ref="U182">$R182*M182</f>
        <v>0.0310062479686039</v>
      </c>
      <c r="V182" s="34" cm="1">
        <f t="array" ref="V182">$R182*N182</f>
        <v>0.258535302603694</v>
      </c>
      <c r="W182" s="34" cm="1">
        <f t="array" ref="W182">$R182*O182</f>
        <v>284.249930885709</v>
      </c>
      <c r="X182" s="6"/>
      <c r="Y182" s="34" cm="1">
        <f t="array" ref="Y182">T182-Y$183-Y$3</f>
        <v>0.451767563351309</v>
      </c>
      <c r="Z182" s="34" cm="1">
        <f t="array" ref="Z182">U182-Z$183-Z$3</f>
        <v>0.006020783566008</v>
      </c>
      <c r="AA182" s="34" cm="1">
        <f t="array" ref="AA182">V182-AA$183-AA$3</f>
        <v>-0.298971851614702</v>
      </c>
      <c r="AB182" s="34" cm="1">
        <f t="array" ref="AB182">W182-AB$183-AB$3</f>
        <v>284.045414778939</v>
      </c>
      <c r="AC182" s="6"/>
      <c r="AD182" s="41">
        <v>0.010209657</v>
      </c>
      <c r="AE182" s="35"/>
      <c r="AF182" s="41" cm="1">
        <f t="array" ref="AF182">Y182/$AD182</f>
        <v>44.2490441501912</v>
      </c>
      <c r="AG182" s="41" cm="1">
        <f t="array" ref="AG182">Z182/$AD182</f>
        <v>0.589714577679544</v>
      </c>
      <c r="AH182" s="41" cm="1">
        <f t="array" ref="AH182">AA182/$AD182</f>
        <v>-29.2832415050478</v>
      </c>
      <c r="AI182" s="41" cm="1">
        <f t="array" ref="AI182">AB182/$AD182</f>
        <v>27821.2495071028</v>
      </c>
    </row>
    <row r="183" ht="17" customHeight="1">
      <c r="A183" s="6"/>
      <c r="B183" t="s" s="32">
        <v>106</v>
      </c>
      <c r="C183" s="34">
        <v>6</v>
      </c>
      <c r="D183" t="s" s="32">
        <v>244</v>
      </c>
      <c r="E183" s="37">
        <v>0.0882753170017412</v>
      </c>
      <c r="F183" s="61">
        <v>0.00444367741622345</v>
      </c>
      <c r="G183" s="42">
        <v>1.63506985366272</v>
      </c>
      <c r="H183" s="34">
        <v>0.697306573989422</v>
      </c>
      <c r="I183" s="6"/>
      <c r="J183" s="34">
        <v>1.03409859290981</v>
      </c>
      <c r="K183" s="6"/>
      <c r="L183" s="34" cm="1">
        <f t="array" ref="L183">E183*$J183</f>
        <v>0.091285381100168</v>
      </c>
      <c r="M183" s="34" cm="1">
        <f t="array" ref="M183">F183*$J183</f>
        <v>0.00459520056346177</v>
      </c>
      <c r="N183" s="34" cm="1">
        <f t="array" ref="N183">G183*$J183</f>
        <v>1.69082343498187</v>
      </c>
      <c r="O183" s="34" cm="1">
        <f t="array" ref="O183">H183*$J183</f>
        <v>0.721083746989222</v>
      </c>
      <c r="P183" s="6"/>
      <c r="Q183" s="34">
        <v>205.11</v>
      </c>
      <c r="R183" s="34" cm="1">
        <f t="array" ref="R183">Q183/1000</f>
        <v>0.20511</v>
      </c>
      <c r="S183" s="6"/>
      <c r="T183" s="34" cm="1">
        <f t="array" ref="T183">$R183*L183</f>
        <v>0.0187235445174555</v>
      </c>
      <c r="U183" s="34" cm="1">
        <f t="array" ref="U183">$R183*M183</f>
        <v>0.000942521587571644</v>
      </c>
      <c r="V183" s="34" cm="1">
        <f t="array" ref="V183">$R183*N183</f>
        <v>0.346804794749131</v>
      </c>
      <c r="W183" s="34" cm="1">
        <f t="array" ref="W183">$R183*O183</f>
        <v>0.147901487344959</v>
      </c>
      <c r="X183" s="6"/>
      <c r="Y183" s="34" cm="1">
        <f t="array" ref="Y183">AVERAGE(T183:T185)</f>
        <v>0.0490908990479206</v>
      </c>
      <c r="Z183" s="34" cm="1">
        <f t="array" ref="Z183">AVERAGE(U183:U185)</f>
        <v>0.0249854644025959</v>
      </c>
      <c r="AA183" s="34" cm="1">
        <f t="array" ref="AA183">AVERAGE(V183:V185)</f>
        <v>0.557507154218396</v>
      </c>
      <c r="AB183" s="34" cm="1">
        <f t="array" ref="AB183">AVERAGE(W183:W185)</f>
        <v>0.204516106769627</v>
      </c>
      <c r="AC183" s="6"/>
      <c r="AD183" s="41">
        <v>0.010209657</v>
      </c>
      <c r="AE183" s="35"/>
      <c r="AF183" s="41" cm="1">
        <f t="array" ref="AF183">Y183/$AD183</f>
        <v>4.80828092931238</v>
      </c>
      <c r="AG183" s="41" cm="1">
        <f t="array" ref="AG183">Z183/$AD183</f>
        <v>2.44723837466782</v>
      </c>
      <c r="AH183" s="41" cm="1">
        <f t="array" ref="AH183">AA183/$AD183</f>
        <v>54.6058652331215</v>
      </c>
      <c r="AI183" s="41" cm="1">
        <f t="array" ref="AI183">AB183/$AD183</f>
        <v>20.0316334593441</v>
      </c>
    </row>
    <row r="184" ht="17" customHeight="1">
      <c r="A184" s="6"/>
      <c r="B184" t="s" s="32">
        <v>108</v>
      </c>
      <c r="C184" s="34">
        <v>6</v>
      </c>
      <c r="D184" t="s" s="32">
        <v>245</v>
      </c>
      <c r="E184" s="37">
        <v>0.189455028051811</v>
      </c>
      <c r="F184" s="61">
        <v>0.00444367741622345</v>
      </c>
      <c r="G184" s="39">
        <v>4.66941336552271</v>
      </c>
      <c r="H184" s="40">
        <v>1.15108300018081</v>
      </c>
      <c r="I184" s="6"/>
      <c r="J184" s="34">
        <v>1.0299250112765</v>
      </c>
      <c r="K184" s="6"/>
      <c r="L184" s="34" cm="1">
        <f t="array" ref="L184">E184*$J184</f>
        <v>0.195124471902651</v>
      </c>
      <c r="M184" s="34" cm="1">
        <f t="array" ref="M184">F184*$J184</f>
        <v>0.00457665451301307</v>
      </c>
      <c r="N184" s="34" cm="1">
        <f t="array" ref="N184">G184*$J184</f>
        <v>4.80914561314062</v>
      </c>
      <c r="O184" s="34" cm="1">
        <f t="array" ref="O184">H184*$J184</f>
        <v>1.18552917194141</v>
      </c>
      <c r="P184" s="6"/>
      <c r="Q184" s="34">
        <v>213.79</v>
      </c>
      <c r="R184" s="34" cm="1">
        <f t="array" ref="R184">Q184/1000</f>
        <v>0.21379</v>
      </c>
      <c r="S184" s="6"/>
      <c r="T184" s="34" cm="1">
        <f t="array" ref="T184">$R184*L184</f>
        <v>0.0417156608480678</v>
      </c>
      <c r="U184" s="34" cm="1">
        <f t="array" ref="U184">$R184*M184</f>
        <v>0.0009784429683370639</v>
      </c>
      <c r="V184" s="34" cm="1">
        <f t="array" ref="V184">$R184*N184</f>
        <v>1.02814724063333</v>
      </c>
      <c r="W184" s="34" cm="1">
        <f t="array" ref="W184">$R184*O184</f>
        <v>0.253454281669354</v>
      </c>
      <c r="X184" s="6"/>
      <c r="Y184" s="6"/>
      <c r="Z184" s="6"/>
      <c r="AA184" s="6"/>
      <c r="AB184" s="6"/>
      <c r="AC184" s="6"/>
      <c r="AD184" s="41">
        <v>0.010209657</v>
      </c>
      <c r="AE184" s="35"/>
      <c r="AF184" s="41" cm="1">
        <f t="array" ref="AF184">Y184/$AD184</f>
        <v>0</v>
      </c>
      <c r="AG184" s="41" cm="1">
        <f t="array" ref="AG184">Z184/$AD184</f>
        <v>0</v>
      </c>
      <c r="AH184" s="41" cm="1">
        <f t="array" ref="AH184">AA184/$AD184</f>
        <v>0</v>
      </c>
      <c r="AI184" s="41" cm="1">
        <f t="array" ref="AI184">AB184/$AD184</f>
        <v>0</v>
      </c>
    </row>
    <row r="185" ht="17" customHeight="1">
      <c r="A185" s="6"/>
      <c r="B185" t="s" s="32">
        <v>110</v>
      </c>
      <c r="C185" s="34">
        <v>6</v>
      </c>
      <c r="D185" t="s" s="32">
        <v>246</v>
      </c>
      <c r="E185" s="37">
        <v>0.411608891213305</v>
      </c>
      <c r="F185" s="70">
        <v>0.346203189472823</v>
      </c>
      <c r="G185" s="71">
        <v>1.41054124981533</v>
      </c>
      <c r="H185" s="34">
        <v>1.00583702179264</v>
      </c>
      <c r="I185" s="6"/>
      <c r="J185" s="34">
        <v>1.03321170716559</v>
      </c>
      <c r="K185" s="6"/>
      <c r="L185" s="34" cm="1">
        <f t="array" ref="L185">E185*$J185</f>
        <v>0.425279125175034</v>
      </c>
      <c r="M185" s="34" cm="1">
        <f t="array" ref="M185">F185*$J185</f>
        <v>0.357701188421388</v>
      </c>
      <c r="N185" s="34" cm="1">
        <f t="array" ref="N185">G185*$J185</f>
        <v>1.45738773274918</v>
      </c>
      <c r="O185" s="34" cm="1">
        <f t="array" ref="O185">H185*$J185</f>
        <v>1.03924258641673</v>
      </c>
      <c r="P185" s="6"/>
      <c r="Q185" s="34">
        <v>204.18</v>
      </c>
      <c r="R185" s="34" cm="1">
        <f t="array" ref="R185">Q185/1000</f>
        <v>0.20418</v>
      </c>
      <c r="S185" s="6"/>
      <c r="T185" s="34" cm="1">
        <f t="array" ref="T185">$R185*L185</f>
        <v>0.0868334917782384</v>
      </c>
      <c r="U185" s="34" cm="1">
        <f t="array" ref="U185">$R185*M185</f>
        <v>0.07303542865187899</v>
      </c>
      <c r="V185" s="34" cm="1">
        <f t="array" ref="V185">$R185*N185</f>
        <v>0.297569427272728</v>
      </c>
      <c r="W185" s="34" cm="1">
        <f t="array" ref="W185">$R185*O185</f>
        <v>0.212192551294568</v>
      </c>
      <c r="X185" s="6"/>
      <c r="Y185" s="6"/>
      <c r="Z185" s="6"/>
      <c r="AA185" s="6"/>
      <c r="AB185" s="6"/>
      <c r="AC185" s="6"/>
      <c r="AD185" s="41">
        <v>0.010209657</v>
      </c>
      <c r="AE185" s="35"/>
      <c r="AF185" s="41" cm="1">
        <f t="array" ref="AF185">Y185/$AD185</f>
        <v>0</v>
      </c>
      <c r="AG185" s="41" cm="1">
        <f t="array" ref="AG185">Z185/$AD185</f>
        <v>0</v>
      </c>
      <c r="AH185" s="41" cm="1">
        <f t="array" ref="AH185">AA185/$AD185</f>
        <v>0</v>
      </c>
      <c r="AI185" s="41" cm="1">
        <f t="array" ref="AI185">AB185/$AD185</f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