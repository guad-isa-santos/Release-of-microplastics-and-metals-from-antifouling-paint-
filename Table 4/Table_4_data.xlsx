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isantos/Documents/Tufenkji/Raw data for SI/_manuscript tables/Table 4/"/>
    </mc:Choice>
  </mc:AlternateContent>
  <xr:revisionPtr revIDLastSave="0" documentId="8_{2E2FA5F3-FA64-F84A-853A-8A21A1CEDC0B}" xr6:coauthVersionLast="47" xr6:coauthVersionMax="47" xr10:uidLastSave="{00000000-0000-0000-0000-000000000000}"/>
  <bookViews>
    <workbookView xWindow="10200" yWindow="2240" windowWidth="27640" windowHeight="16940" activeTab="2" xr2:uid="{00385EB7-F1AE-6C41-99AA-10467E6F8F17}"/>
  </bookViews>
  <sheets>
    <sheet name="Zn" sheetId="2" r:id="rId1"/>
    <sheet name="Zn (%)" sheetId="3" r:id="rId2"/>
    <sheet name="Weight difference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F2" i="4"/>
  <c r="E3" i="4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2" i="3"/>
  <c r="L2" i="3"/>
  <c r="N2" i="3"/>
  <c r="K2" i="3" s="1"/>
  <c r="AB2" i="3"/>
  <c r="AC2" i="3"/>
  <c r="E3" i="3"/>
  <c r="F2" i="3" s="1"/>
  <c r="T2" i="3" s="1"/>
  <c r="L3" i="3"/>
  <c r="N3" i="3"/>
  <c r="K3" i="3" s="1"/>
  <c r="AB3" i="3"/>
  <c r="E4" i="3"/>
  <c r="N4" i="3"/>
  <c r="K4" i="3" s="1"/>
  <c r="AB4" i="3"/>
  <c r="E5" i="3"/>
  <c r="F5" i="3" s="1"/>
  <c r="T5" i="3" s="1"/>
  <c r="K5" i="3"/>
  <c r="N5" i="3"/>
  <c r="L5" i="3" s="1"/>
  <c r="O5" i="3"/>
  <c r="Q5" i="3" s="1"/>
  <c r="AB5" i="3"/>
  <c r="AC5" i="3" s="1"/>
  <c r="AD5" i="3" s="1"/>
  <c r="E6" i="3"/>
  <c r="K6" i="3"/>
  <c r="N6" i="3"/>
  <c r="L6" i="3" s="1"/>
  <c r="AB6" i="3"/>
  <c r="E7" i="3"/>
  <c r="K7" i="3"/>
  <c r="L7" i="3"/>
  <c r="M7" i="3"/>
  <c r="N7" i="3"/>
  <c r="AB7" i="3"/>
  <c r="E8" i="3"/>
  <c r="N8" i="3"/>
  <c r="O8" i="3" s="1"/>
  <c r="AB8" i="3"/>
  <c r="E9" i="3"/>
  <c r="F8" i="3" s="1"/>
  <c r="T8" i="3" s="1"/>
  <c r="N9" i="3"/>
  <c r="K9" i="3" s="1"/>
  <c r="AB9" i="3"/>
  <c r="E10" i="3"/>
  <c r="L10" i="3"/>
  <c r="N10" i="3"/>
  <c r="K10" i="3" s="1"/>
  <c r="AB10" i="3"/>
  <c r="AC8" i="3" s="1"/>
  <c r="E11" i="3"/>
  <c r="F11" i="3" s="1"/>
  <c r="T11" i="3" s="1"/>
  <c r="K11" i="3"/>
  <c r="L11" i="3"/>
  <c r="M11" i="3"/>
  <c r="N11" i="3"/>
  <c r="O11" i="3"/>
  <c r="S11" i="3" s="1"/>
  <c r="R11" i="3"/>
  <c r="AB11" i="3"/>
  <c r="AC11" i="3" s="1"/>
  <c r="AD11" i="3" s="1"/>
  <c r="E12" i="3"/>
  <c r="K12" i="3"/>
  <c r="L12" i="3"/>
  <c r="M12" i="3"/>
  <c r="N12" i="3"/>
  <c r="AB12" i="3"/>
  <c r="E13" i="3"/>
  <c r="K13" i="3"/>
  <c r="N13" i="3"/>
  <c r="L13" i="3" s="1"/>
  <c r="AB13" i="3"/>
  <c r="E14" i="3"/>
  <c r="K14" i="3"/>
  <c r="L14" i="3"/>
  <c r="N14" i="3"/>
  <c r="M14" i="3" s="1"/>
  <c r="AB14" i="3"/>
  <c r="AC14" i="3"/>
  <c r="E15" i="3"/>
  <c r="F14" i="3" s="1"/>
  <c r="T14" i="3" s="1"/>
  <c r="K15" i="3"/>
  <c r="L15" i="3"/>
  <c r="N15" i="3"/>
  <c r="M15" i="3" s="1"/>
  <c r="AB15" i="3"/>
  <c r="E16" i="3"/>
  <c r="N16" i="3"/>
  <c r="O14" i="3" s="1"/>
  <c r="AB16" i="3"/>
  <c r="G24" i="3"/>
  <c r="I24" i="3"/>
  <c r="L24" i="3"/>
  <c r="N24" i="3"/>
  <c r="E2" i="2"/>
  <c r="M2" i="2"/>
  <c r="N2" i="2" s="1"/>
  <c r="O2" i="2"/>
  <c r="P2" i="2"/>
  <c r="Q2" i="2"/>
  <c r="R2" i="2"/>
  <c r="S2" i="2"/>
  <c r="T2" i="2"/>
  <c r="U2" i="2"/>
  <c r="AF2" i="2"/>
  <c r="AG2" i="2" s="1"/>
  <c r="AJ2" i="2"/>
  <c r="AK2" i="2"/>
  <c r="AL2" i="2"/>
  <c r="AP2" i="2" s="1"/>
  <c r="AM2" i="2"/>
  <c r="AN2" i="2" s="1"/>
  <c r="AO2" i="2"/>
  <c r="E3" i="2"/>
  <c r="F2" i="2" s="1"/>
  <c r="X2" i="2" s="1"/>
  <c r="M3" i="2"/>
  <c r="AF3" i="2"/>
  <c r="AJ3" i="2"/>
  <c r="AN3" i="2" s="1"/>
  <c r="AK3" i="2"/>
  <c r="AO3" i="2" s="1"/>
  <c r="AL3" i="2"/>
  <c r="AP3" i="2" s="1"/>
  <c r="AM3" i="2"/>
  <c r="E4" i="2"/>
  <c r="M4" i="2"/>
  <c r="AF4" i="2"/>
  <c r="AJ4" i="2"/>
  <c r="AM4" i="2" s="1"/>
  <c r="AP4" i="2" s="1"/>
  <c r="AK4" i="2"/>
  <c r="AL4" i="2"/>
  <c r="E5" i="2"/>
  <c r="M5" i="2"/>
  <c r="O5" i="2"/>
  <c r="P5" i="2"/>
  <c r="Q5" i="2"/>
  <c r="R5" i="2"/>
  <c r="S5" i="2"/>
  <c r="T5" i="2"/>
  <c r="U5" i="2"/>
  <c r="AF5" i="2"/>
  <c r="AG5" i="2" s="1"/>
  <c r="AJ5" i="2"/>
  <c r="AK5" i="2"/>
  <c r="AL5" i="2"/>
  <c r="AP5" i="2" s="1"/>
  <c r="AM5" i="2"/>
  <c r="AN5" i="2" s="1"/>
  <c r="AO5" i="2"/>
  <c r="E6" i="2"/>
  <c r="F5" i="2" s="1"/>
  <c r="X5" i="2" s="1"/>
  <c r="M6" i="2"/>
  <c r="N5" i="2" s="1"/>
  <c r="AF6" i="2"/>
  <c r="AJ6" i="2"/>
  <c r="AN6" i="2" s="1"/>
  <c r="AK6" i="2"/>
  <c r="AO6" i="2" s="1"/>
  <c r="AL6" i="2"/>
  <c r="AP6" i="2" s="1"/>
  <c r="AM6" i="2"/>
  <c r="E7" i="2"/>
  <c r="M7" i="2"/>
  <c r="AF7" i="2"/>
  <c r="AJ7" i="2"/>
  <c r="AM7" i="2" s="1"/>
  <c r="AP7" i="2" s="1"/>
  <c r="AK7" i="2"/>
  <c r="AO7" i="2" s="1"/>
  <c r="AL7" i="2"/>
  <c r="E8" i="2"/>
  <c r="M8" i="2"/>
  <c r="O8" i="2"/>
  <c r="P8" i="2"/>
  <c r="Q8" i="2"/>
  <c r="R8" i="2"/>
  <c r="S8" i="2"/>
  <c r="T8" i="2"/>
  <c r="U8" i="2"/>
  <c r="AF8" i="2"/>
  <c r="AG8" i="2" s="1"/>
  <c r="AJ8" i="2"/>
  <c r="AK8" i="2"/>
  <c r="AL8" i="2"/>
  <c r="AP8" i="2" s="1"/>
  <c r="AM8" i="2"/>
  <c r="AN8" i="2"/>
  <c r="AO8" i="2"/>
  <c r="E9" i="2"/>
  <c r="F8" i="2" s="1"/>
  <c r="X8" i="2" s="1"/>
  <c r="M9" i="2"/>
  <c r="N8" i="2" s="1"/>
  <c r="AF9" i="2"/>
  <c r="AJ9" i="2"/>
  <c r="AN9" i="2" s="1"/>
  <c r="AK9" i="2"/>
  <c r="AO9" i="2" s="1"/>
  <c r="AL9" i="2"/>
  <c r="AP9" i="2" s="1"/>
  <c r="AM9" i="2"/>
  <c r="E10" i="2"/>
  <c r="M10" i="2"/>
  <c r="AF10" i="2"/>
  <c r="AJ10" i="2"/>
  <c r="AM10" i="2" s="1"/>
  <c r="AP10" i="2" s="1"/>
  <c r="AK10" i="2"/>
  <c r="AL10" i="2"/>
  <c r="E11" i="2"/>
  <c r="M11" i="2"/>
  <c r="N11" i="2" s="1"/>
  <c r="O11" i="2"/>
  <c r="P11" i="2"/>
  <c r="Q11" i="2"/>
  <c r="R11" i="2"/>
  <c r="S11" i="2"/>
  <c r="T11" i="2"/>
  <c r="U11" i="2"/>
  <c r="AF11" i="2"/>
  <c r="AG11" i="2" s="1"/>
  <c r="AJ11" i="2"/>
  <c r="AK11" i="2"/>
  <c r="AL11" i="2"/>
  <c r="AP11" i="2" s="1"/>
  <c r="AM11" i="2"/>
  <c r="AN11" i="2"/>
  <c r="AO11" i="2"/>
  <c r="E12" i="2"/>
  <c r="F11" i="2" s="1"/>
  <c r="X11" i="2" s="1"/>
  <c r="M12" i="2"/>
  <c r="AF12" i="2"/>
  <c r="AJ12" i="2"/>
  <c r="AN12" i="2" s="1"/>
  <c r="AK12" i="2"/>
  <c r="AO12" i="2" s="1"/>
  <c r="AL12" i="2"/>
  <c r="AP12" i="2" s="1"/>
  <c r="AM12" i="2"/>
  <c r="E13" i="2"/>
  <c r="M13" i="2"/>
  <c r="AF13" i="2"/>
  <c r="AJ13" i="2"/>
  <c r="AM13" i="2" s="1"/>
  <c r="AP13" i="2" s="1"/>
  <c r="AK13" i="2"/>
  <c r="AL13" i="2"/>
  <c r="E14" i="2"/>
  <c r="M14" i="2"/>
  <c r="N14" i="2" s="1"/>
  <c r="O14" i="2"/>
  <c r="P14" i="2"/>
  <c r="Q14" i="2"/>
  <c r="R14" i="2"/>
  <c r="S14" i="2"/>
  <c r="T14" i="2"/>
  <c r="U14" i="2"/>
  <c r="AF14" i="2"/>
  <c r="AG14" i="2" s="1"/>
  <c r="AJ14" i="2"/>
  <c r="AK14" i="2"/>
  <c r="AL14" i="2"/>
  <c r="AP14" i="2" s="1"/>
  <c r="AM14" i="2"/>
  <c r="AN14" i="2"/>
  <c r="AO14" i="2"/>
  <c r="E15" i="2"/>
  <c r="F14" i="2" s="1"/>
  <c r="X14" i="2" s="1"/>
  <c r="M15" i="2"/>
  <c r="AF15" i="2"/>
  <c r="AJ15" i="2"/>
  <c r="AN15" i="2" s="1"/>
  <c r="AK15" i="2"/>
  <c r="AO15" i="2" s="1"/>
  <c r="AL15" i="2"/>
  <c r="AP15" i="2" s="1"/>
  <c r="AM15" i="2"/>
  <c r="E16" i="2"/>
  <c r="M16" i="2"/>
  <c r="AF16" i="2"/>
  <c r="AJ16" i="2"/>
  <c r="AM16" i="2" s="1"/>
  <c r="AP16" i="2" s="1"/>
  <c r="AK16" i="2"/>
  <c r="AO16" i="2" s="1"/>
  <c r="AL16" i="2"/>
  <c r="G24" i="2"/>
  <c r="I24" i="2"/>
  <c r="K24" i="2"/>
  <c r="M24" i="2"/>
  <c r="W8" i="3" l="1"/>
  <c r="W2" i="3"/>
  <c r="W5" i="3"/>
  <c r="X5" i="3"/>
  <c r="W14" i="3"/>
  <c r="X14" i="3"/>
  <c r="W11" i="3"/>
  <c r="X11" i="3"/>
  <c r="Q8" i="3"/>
  <c r="R8" i="3"/>
  <c r="AD8" i="3"/>
  <c r="S8" i="3"/>
  <c r="V5" i="3" s="1"/>
  <c r="Q14" i="3"/>
  <c r="R14" i="3"/>
  <c r="AD14" i="3"/>
  <c r="S14" i="3"/>
  <c r="V14" i="3" s="1"/>
  <c r="V11" i="3"/>
  <c r="V8" i="3"/>
  <c r="M16" i="3"/>
  <c r="Q11" i="3"/>
  <c r="M9" i="3"/>
  <c r="M8" i="3"/>
  <c r="S5" i="3"/>
  <c r="O2" i="3"/>
  <c r="L9" i="3"/>
  <c r="L8" i="3"/>
  <c r="R5" i="3"/>
  <c r="L16" i="3"/>
  <c r="K16" i="3"/>
  <c r="M10" i="3"/>
  <c r="K8" i="3"/>
  <c r="M3" i="3"/>
  <c r="M2" i="3"/>
  <c r="M4" i="3"/>
  <c r="M13" i="3"/>
  <c r="M6" i="3"/>
  <c r="M5" i="3"/>
  <c r="L4" i="3"/>
  <c r="AA2" i="2"/>
  <c r="AB2" i="2"/>
  <c r="AH11" i="2"/>
  <c r="Z11" i="2"/>
  <c r="AB11" i="2"/>
  <c r="AA11" i="2"/>
  <c r="AH5" i="2"/>
  <c r="Z5" i="2"/>
  <c r="AH14" i="2"/>
  <c r="Z14" i="2"/>
  <c r="AO10" i="2"/>
  <c r="AA5" i="2"/>
  <c r="AB5" i="2"/>
  <c r="AR10" i="2"/>
  <c r="AS16" i="2"/>
  <c r="AR13" i="2"/>
  <c r="AS4" i="2"/>
  <c r="AB14" i="2"/>
  <c r="AA14" i="2"/>
  <c r="AR7" i="2"/>
  <c r="AO4" i="2"/>
  <c r="AR4" i="2" s="1"/>
  <c r="AR16" i="2"/>
  <c r="AS13" i="2"/>
  <c r="AH8" i="2"/>
  <c r="Z8" i="2"/>
  <c r="AQ7" i="2"/>
  <c r="AH2" i="2"/>
  <c r="Z2" i="2"/>
  <c r="AQ10" i="2"/>
  <c r="AS10" i="2"/>
  <c r="AO13" i="2"/>
  <c r="AA8" i="2"/>
  <c r="AB8" i="2"/>
  <c r="AS7" i="2"/>
  <c r="AN16" i="2"/>
  <c r="AQ16" i="2" s="1"/>
  <c r="AN13" i="2"/>
  <c r="AQ13" i="2" s="1"/>
  <c r="AN10" i="2"/>
  <c r="AN7" i="2"/>
  <c r="AN4" i="2"/>
  <c r="AQ4" i="2" s="1"/>
  <c r="R2" i="3" l="1"/>
  <c r="AD2" i="3"/>
  <c r="S2" i="3"/>
  <c r="Q2" i="3"/>
  <c r="X8" i="3"/>
  <c r="V2" i="3" l="1"/>
  <c r="X2" i="3"/>
</calcChain>
</file>

<file path=xl/sharedStrings.xml><?xml version="1.0" encoding="utf-8"?>
<sst xmlns="http://schemas.openxmlformats.org/spreadsheetml/2006/main" count="128" uniqueCount="66">
  <si>
    <t>Lower limit</t>
  </si>
  <si>
    <t>UV</t>
  </si>
  <si>
    <t>C</t>
  </si>
  <si>
    <t>FT</t>
  </si>
  <si>
    <t>UF</t>
  </si>
  <si>
    <t>F0</t>
  </si>
  <si>
    <t>Upper limit</t>
  </si>
  <si>
    <t>UV1-3</t>
  </si>
  <si>
    <t>UV1-2</t>
  </si>
  <si>
    <t>UV1-1</t>
  </si>
  <si>
    <t>C1-3</t>
  </si>
  <si>
    <t>C1-2</t>
  </si>
  <si>
    <t>C1-1</t>
  </si>
  <si>
    <t>UV-FT1-3</t>
  </si>
  <si>
    <t>UV-FT1-2</t>
  </si>
  <si>
    <t>UV-FT1-1</t>
  </si>
  <si>
    <t>FT1-3</t>
  </si>
  <si>
    <t>FT1-2</t>
  </si>
  <si>
    <t>FT1-1</t>
  </si>
  <si>
    <t>H1-3</t>
  </si>
  <si>
    <t>H1-2</t>
  </si>
  <si>
    <t>H1-1</t>
  </si>
  <si>
    <t>F3 (ug/g) %</t>
  </si>
  <si>
    <t>F2 (ug/g) %</t>
  </si>
  <si>
    <t>F1 (ug/g) %</t>
  </si>
  <si>
    <t>F1+F2+F3 (ug/g)</t>
  </si>
  <si>
    <t>F3 (ug/g)</t>
  </si>
  <si>
    <t>F2 (ug/g)</t>
  </si>
  <si>
    <t>F1 (ug/g)</t>
  </si>
  <si>
    <t>(F1+F2+F3)/initial (%)</t>
  </si>
  <si>
    <t>Average weight</t>
  </si>
  <si>
    <t>Weight of Zn (ug)</t>
  </si>
  <si>
    <t>Weight of Zn in paint (ug/g)</t>
  </si>
  <si>
    <t>Weight of initial paint (g)</t>
  </si>
  <si>
    <t>Paint difference/F0</t>
  </si>
  <si>
    <t>Paint difference/(F1+F2+F3)</t>
  </si>
  <si>
    <t>F0/(F1+F2+F3)</t>
  </si>
  <si>
    <t>Paint lost average(ug)</t>
  </si>
  <si>
    <t>F0 average</t>
  </si>
  <si>
    <t>F3 (ug) SD</t>
  </si>
  <si>
    <t>F2 (ug) SD</t>
  </si>
  <si>
    <t>F1 (ug) SD</t>
  </si>
  <si>
    <t>F3 average</t>
  </si>
  <si>
    <t>F2 average</t>
  </si>
  <si>
    <t>F1 average</t>
  </si>
  <si>
    <t>SD</t>
  </si>
  <si>
    <t>Total (F1+F2+F3) average</t>
  </si>
  <si>
    <t>Total (F1+F2+F3)</t>
  </si>
  <si>
    <t>F3 (ug)</t>
  </si>
  <si>
    <t>F2 (ug)</t>
  </si>
  <si>
    <t>F1 (ug)</t>
  </si>
  <si>
    <t>Paint (ug)</t>
  </si>
  <si>
    <t>Paint (ug/g) (average)</t>
  </si>
  <si>
    <t>Diff. weight coupons (g)</t>
  </si>
  <si>
    <t>Zn</t>
  </si>
  <si>
    <t>Metals</t>
  </si>
  <si>
    <t>F3/(F1+F2+F3)</t>
  </si>
  <si>
    <t>F2/(F1+F2+F3)</t>
  </si>
  <si>
    <t>F1/(F1+F2+F3)</t>
  </si>
  <si>
    <t>F3 (ug) %</t>
  </si>
  <si>
    <t>F2 (ug) %</t>
  </si>
  <si>
    <t>F1 (ug) %</t>
  </si>
  <si>
    <t>Percentage difference</t>
  </si>
  <si>
    <t>Diff weight minus F1</t>
  </si>
  <si>
    <t>F1 (g)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</si>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</sst>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3B47-EBAC-DF49-B028-F4065A132F60}">
  <dimension ref="A1:AS27"/>
  <sheetViews>
    <sheetView zoomScale="134" zoomScaleNormal="159" workbookViewId="0">
      <pane xSplit="2" topLeftCell="AE1" activePane="topRight" state="frozen"/>
      <selection pane="topRight" activeCell="AM11" sqref="AM11:AM13"/>
    </sheetView>
  </sheetViews>
  <sheetFormatPr baseColWidth="10" defaultRowHeight="16" x14ac:dyDescent="0.2"/>
  <cols>
    <col min="3" max="3" width="26.83203125" customWidth="1"/>
    <col min="4" max="4" width="13" customWidth="1"/>
    <col min="8" max="8" width="13" bestFit="1" customWidth="1"/>
    <col min="9" max="9" width="11" bestFit="1" customWidth="1"/>
    <col min="10" max="10" width="12" bestFit="1" customWidth="1"/>
    <col min="14" max="14" width="11" bestFit="1" customWidth="1"/>
    <col min="15" max="19" width="11" customWidth="1"/>
    <col min="23" max="23" width="12" bestFit="1" customWidth="1"/>
    <col min="27" max="27" width="26.33203125" customWidth="1"/>
    <col min="28" max="28" width="13" customWidth="1"/>
  </cols>
  <sheetData>
    <row r="1" spans="1:45" ht="51" x14ac:dyDescent="0.2">
      <c r="A1" s="1" t="s">
        <v>55</v>
      </c>
      <c r="B1" s="1" t="s">
        <v>54</v>
      </c>
      <c r="C1" s="1" t="s">
        <v>53</v>
      </c>
      <c r="D1" s="1" t="s">
        <v>52</v>
      </c>
      <c r="E1" s="1" t="s">
        <v>51</v>
      </c>
      <c r="F1" s="1" t="s">
        <v>37</v>
      </c>
      <c r="G1" s="1"/>
      <c r="H1" s="1" t="s">
        <v>50</v>
      </c>
      <c r="I1" s="1" t="s">
        <v>49</v>
      </c>
      <c r="J1" s="1" t="s">
        <v>48</v>
      </c>
      <c r="K1" s="1"/>
      <c r="L1" s="1"/>
      <c r="M1" s="1" t="s">
        <v>47</v>
      </c>
      <c r="N1" s="1" t="s">
        <v>46</v>
      </c>
      <c r="O1" s="1" t="s">
        <v>45</v>
      </c>
      <c r="P1" s="1" t="s">
        <v>44</v>
      </c>
      <c r="Q1" s="1" t="s">
        <v>43</v>
      </c>
      <c r="R1" s="1" t="s">
        <v>42</v>
      </c>
      <c r="S1" s="1" t="s">
        <v>41</v>
      </c>
      <c r="T1" s="1" t="s">
        <v>40</v>
      </c>
      <c r="U1" s="1" t="s">
        <v>39</v>
      </c>
      <c r="V1" s="1"/>
      <c r="W1" s="1" t="s">
        <v>38</v>
      </c>
      <c r="X1" s="1" t="s">
        <v>37</v>
      </c>
      <c r="Y1" s="1"/>
      <c r="Z1" s="7" t="s">
        <v>36</v>
      </c>
      <c r="AA1" s="8" t="s">
        <v>35</v>
      </c>
      <c r="AB1" s="7" t="s">
        <v>34</v>
      </c>
      <c r="AD1" s="7" t="s">
        <v>33</v>
      </c>
      <c r="AE1" s="7" t="s">
        <v>32</v>
      </c>
      <c r="AF1" s="7" t="s">
        <v>31</v>
      </c>
      <c r="AG1" s="7" t="s">
        <v>30</v>
      </c>
      <c r="AH1" s="7" t="s">
        <v>29</v>
      </c>
      <c r="AJ1" s="1" t="s">
        <v>28</v>
      </c>
      <c r="AK1" s="1" t="s">
        <v>27</v>
      </c>
      <c r="AL1" s="1" t="s">
        <v>26</v>
      </c>
      <c r="AM1" s="1" t="s">
        <v>25</v>
      </c>
      <c r="AN1" s="1" t="s">
        <v>24</v>
      </c>
      <c r="AO1" s="1" t="s">
        <v>23</v>
      </c>
      <c r="AP1" s="1" t="s">
        <v>22</v>
      </c>
      <c r="AQ1" s="1" t="s">
        <v>24</v>
      </c>
      <c r="AR1" s="1" t="s">
        <v>23</v>
      </c>
      <c r="AS1" s="1" t="s">
        <v>22</v>
      </c>
    </row>
    <row r="2" spans="1:45" x14ac:dyDescent="0.2">
      <c r="B2" t="s">
        <v>21</v>
      </c>
      <c r="C2">
        <v>0.13219999999999743</v>
      </c>
      <c r="D2">
        <v>80360</v>
      </c>
      <c r="E2" s="3">
        <f>C2*D2</f>
        <v>10623.591999999793</v>
      </c>
      <c r="F2" s="3">
        <f>AVERAGE(E2:E4)</f>
        <v>10912.88800000007</v>
      </c>
      <c r="H2" s="3">
        <v>42.3373272261572</v>
      </c>
      <c r="I2" s="3">
        <v>2.9342444866472825</v>
      </c>
      <c r="J2" s="3">
        <v>6632.7033013513465</v>
      </c>
      <c r="M2" s="3">
        <f>SUM(H2:J2)</f>
        <v>6677.9748730641513</v>
      </c>
      <c r="N2" s="3">
        <f>AVERAGE(M2:M4)</f>
        <v>5349.7748344035153</v>
      </c>
      <c r="O2" s="3">
        <f>SQRT(((S2^2)+(T2^2)+(U2^2))/3)</f>
        <v>666.29405129708368</v>
      </c>
      <c r="P2" s="6">
        <f>AVERAGE(H2:H4)</f>
        <v>45.68238549227987</v>
      </c>
      <c r="Q2" s="6">
        <f>AVERAGE(I2:I4)</f>
        <v>3.293850201636888</v>
      </c>
      <c r="R2" s="6">
        <f>AVERAGE(J2:J4)</f>
        <v>5300.798598709599</v>
      </c>
      <c r="S2" s="6">
        <f>STDEV(H2:H4)</f>
        <v>5.0778044257410455</v>
      </c>
      <c r="T2" s="6">
        <f>STDEV(I2:I4)</f>
        <v>0.96705196554376671</v>
      </c>
      <c r="U2" s="6">
        <f>STDEV(J2:J4)</f>
        <v>1154.0435733083705</v>
      </c>
      <c r="V2" s="3"/>
      <c r="W2" s="3"/>
      <c r="X2" s="3">
        <f>F2</f>
        <v>10912.88800000007</v>
      </c>
      <c r="Z2" s="6">
        <f>W2/N2</f>
        <v>0</v>
      </c>
      <c r="AA2" s="6">
        <f>X2/N2</f>
        <v>2.0398780019340434</v>
      </c>
      <c r="AB2" s="6" t="e">
        <f>X2/W2</f>
        <v>#DIV/0!</v>
      </c>
      <c r="AD2" s="4">
        <v>4.1509999999999962</v>
      </c>
      <c r="AE2" s="4">
        <v>202925.21202061069</v>
      </c>
      <c r="AF2" s="4">
        <f>AE2*AD2</f>
        <v>842342.55509755423</v>
      </c>
      <c r="AG2" s="4">
        <f>AVERAGE(AF2:AF4)</f>
        <v>872781.33690064645</v>
      </c>
      <c r="AH2" s="4">
        <f>(N2/AG2)*100</f>
        <v>0.61295706131861405</v>
      </c>
      <c r="AJ2" s="5">
        <f>H2/$AD2</f>
        <v>10.199307932102442</v>
      </c>
      <c r="AK2" s="5">
        <f>I2/$AD2</f>
        <v>0.70687653255776561</v>
      </c>
      <c r="AL2" s="5">
        <f>J2/$AD2</f>
        <v>1597.8567336428216</v>
      </c>
      <c r="AM2" s="5">
        <f>SUM(AJ2:AL2)</f>
        <v>1608.7629181074817</v>
      </c>
      <c r="AN2">
        <f>(AJ2/$AM2)*100</f>
        <v>0.63398452421446383</v>
      </c>
      <c r="AO2">
        <f>(AK2/$AM2)*100</f>
        <v>4.3939136376248765E-2</v>
      </c>
      <c r="AP2">
        <f>(AL2/$AM2)*100</f>
        <v>99.322076339409293</v>
      </c>
    </row>
    <row r="3" spans="1:45" x14ac:dyDescent="0.2">
      <c r="B3" t="s">
        <v>20</v>
      </c>
      <c r="C3">
        <v>0.13330000000000553</v>
      </c>
      <c r="D3">
        <v>80360</v>
      </c>
      <c r="E3" s="3">
        <f>C3*D3</f>
        <v>10711.988000000443</v>
      </c>
      <c r="H3" s="3">
        <v>51.525290709492204</v>
      </c>
      <c r="I3" s="3">
        <v>4.3891869478393524</v>
      </c>
      <c r="J3" s="3">
        <v>4598.2543575093168</v>
      </c>
      <c r="M3" s="3">
        <f>SUM(H3:J3)</f>
        <v>4654.168835166648</v>
      </c>
      <c r="N3" s="3"/>
      <c r="O3" s="3"/>
      <c r="P3" s="3"/>
      <c r="Q3" s="3"/>
      <c r="R3" s="3"/>
      <c r="S3" s="6"/>
      <c r="T3" s="6"/>
      <c r="U3" s="6"/>
      <c r="V3" s="3"/>
      <c r="W3" s="3"/>
      <c r="Z3" s="6"/>
      <c r="AA3" s="6"/>
      <c r="AB3" s="6"/>
      <c r="AD3" s="4">
        <v>4.2742000000000004</v>
      </c>
      <c r="AE3" s="4">
        <v>202925.21202061069</v>
      </c>
      <c r="AF3" s="4">
        <f>AE3*AD3</f>
        <v>867342.94121849432</v>
      </c>
      <c r="AG3" s="4"/>
      <c r="AH3" s="4"/>
      <c r="AJ3" s="5">
        <f>H3/$AD3</f>
        <v>12.05495547926915</v>
      </c>
      <c r="AK3" s="5">
        <f>I3/$AD3</f>
        <v>1.0269025660566544</v>
      </c>
      <c r="AL3" s="5">
        <f>J3/$AD3</f>
        <v>1075.816376751045</v>
      </c>
      <c r="AM3" s="5">
        <f>SUM(AJ3:AL3)</f>
        <v>1088.8982347963708</v>
      </c>
      <c r="AN3">
        <f>(AJ3/$AM3)*100</f>
        <v>1.1070782460698436</v>
      </c>
      <c r="AO3">
        <f>(AK3/$AM3)*100</f>
        <v>9.4306569084363523E-2</v>
      </c>
      <c r="AP3">
        <f>(AL3/$AM3)*100</f>
        <v>98.798615184845801</v>
      </c>
    </row>
    <row r="4" spans="1:45" x14ac:dyDescent="0.2">
      <c r="B4" t="s">
        <v>19</v>
      </c>
      <c r="C4">
        <v>0.14189999999999969</v>
      </c>
      <c r="D4">
        <v>80360</v>
      </c>
      <c r="E4" s="3">
        <f>C4*D4</f>
        <v>11403.083999999975</v>
      </c>
      <c r="H4" s="3">
        <v>43.184538541190193</v>
      </c>
      <c r="I4" s="3">
        <v>2.5581191704240291</v>
      </c>
      <c r="J4" s="3">
        <v>4671.4381372681319</v>
      </c>
      <c r="M4" s="3">
        <f>SUM(H4:J4)</f>
        <v>4717.1807949797458</v>
      </c>
      <c r="N4" s="3"/>
      <c r="O4" s="3"/>
      <c r="P4" s="3"/>
      <c r="Q4" s="3"/>
      <c r="R4" s="3"/>
      <c r="S4" s="6"/>
      <c r="T4" s="6"/>
      <c r="U4" s="6"/>
      <c r="V4" s="3"/>
      <c r="W4" s="3"/>
      <c r="Z4" s="6"/>
      <c r="AA4" s="6"/>
      <c r="AB4" s="6"/>
      <c r="AD4" s="4">
        <v>4.477800000000002</v>
      </c>
      <c r="AE4" s="4">
        <v>202925.21202061069</v>
      </c>
      <c r="AF4" s="4">
        <f>AE4*AD4</f>
        <v>908658.51438589091</v>
      </c>
      <c r="AG4" s="4"/>
      <c r="AH4" s="4"/>
      <c r="AJ4" s="5">
        <f>H4/$AD4</f>
        <v>9.6441418869065547</v>
      </c>
      <c r="AK4" s="5">
        <f>I4/$AD4</f>
        <v>0.57128928724463535</v>
      </c>
      <c r="AL4" s="5">
        <f>J4/$AD4</f>
        <v>1043.244034407104</v>
      </c>
      <c r="AM4" s="5">
        <f>SUM(AJ4:AL4)</f>
        <v>1053.4594655812552</v>
      </c>
      <c r="AN4">
        <f>(AJ4/$AM4)*100</f>
        <v>0.91547346642192029</v>
      </c>
      <c r="AO4">
        <f>(AK4/$AM4)*100</f>
        <v>5.4229830943653974E-2</v>
      </c>
      <c r="AP4">
        <f>(AL4/$AM4)*100</f>
        <v>99.030296702634431</v>
      </c>
      <c r="AQ4" s="4">
        <f>AVERAGE(AN2:AN4)</f>
        <v>0.88551207890207584</v>
      </c>
      <c r="AR4" s="4">
        <f>AVERAGE(AO2:AO4)</f>
        <v>6.4158512134755416E-2</v>
      </c>
      <c r="AS4" s="4">
        <f>AVERAGE(AP2:AP4)</f>
        <v>99.050329408963179</v>
      </c>
    </row>
    <row r="5" spans="1:45" x14ac:dyDescent="0.2">
      <c r="B5" t="s">
        <v>18</v>
      </c>
      <c r="C5">
        <v>5.1800000000000068E-2</v>
      </c>
      <c r="D5">
        <v>80360</v>
      </c>
      <c r="E5" s="3">
        <f>C5*D5</f>
        <v>4162.6480000000056</v>
      </c>
      <c r="F5" s="3">
        <f>AVERAGE(E5:E7)</f>
        <v>5210.0066666666107</v>
      </c>
      <c r="H5" s="3">
        <v>4409.0849399632198</v>
      </c>
      <c r="I5" s="3">
        <v>2.6845625251425602</v>
      </c>
      <c r="J5" s="3">
        <v>689.69522975757843</v>
      </c>
      <c r="M5" s="3">
        <f>SUM(H5:J5)</f>
        <v>5101.4647322459405</v>
      </c>
      <c r="N5" s="3">
        <f>AVERAGE(M5:M7)</f>
        <v>6551.7465771294374</v>
      </c>
      <c r="O5" s="3">
        <f>SQRT(((S5^2)+(T5^2)+(U5^2))/3)</f>
        <v>2128.3517494359235</v>
      </c>
      <c r="P5" s="6">
        <f>AVERAGE(H5:H7)</f>
        <v>5734.5363123208772</v>
      </c>
      <c r="Q5" s="6">
        <f>AVERAGE(I5:I7)</f>
        <v>4.6223621873322172</v>
      </c>
      <c r="R5" s="6">
        <f>AVERAGE(J5:J7)</f>
        <v>812.58790262122932</v>
      </c>
      <c r="S5" s="6">
        <f>STDEV(H5:H7)</f>
        <v>3682.4653049691256</v>
      </c>
      <c r="T5" s="6">
        <f>STDEV(I5:I7)</f>
        <v>2.2889491830825759</v>
      </c>
      <c r="U5" s="6">
        <f>STDEV(J5:J7)</f>
        <v>170.55071501213249</v>
      </c>
      <c r="V5" s="3"/>
      <c r="W5">
        <v>3675.3734140171823</v>
      </c>
      <c r="X5" s="3">
        <f>F5</f>
        <v>5210.0066666666107</v>
      </c>
      <c r="Z5" s="6">
        <f>W8/N5</f>
        <v>5.8407722119391119</v>
      </c>
      <c r="AA5" s="6">
        <f>X5/N5</f>
        <v>0.79520882032487095</v>
      </c>
      <c r="AB5" s="6">
        <f>X5/W5</f>
        <v>1.4175448532104591</v>
      </c>
      <c r="AD5" s="4">
        <v>4.5326000000000022</v>
      </c>
      <c r="AE5" s="4">
        <v>202925.21202061069</v>
      </c>
      <c r="AF5" s="4">
        <f>AE5*AD5</f>
        <v>919778.81600462052</v>
      </c>
      <c r="AG5" s="4">
        <f>AVERAGE(AF5:AF7)</f>
        <v>926394.17791649187</v>
      </c>
      <c r="AH5" s="4">
        <f>(N5/AG5)*100</f>
        <v>0.70723097503318211</v>
      </c>
      <c r="AJ5" s="5">
        <f>H5/$AD5</f>
        <v>972.74962272497407</v>
      </c>
      <c r="AK5" s="5">
        <f>I5/$AD5</f>
        <v>0.59227871975081825</v>
      </c>
      <c r="AL5" s="5">
        <f>J5/$AD5</f>
        <v>152.16326826933286</v>
      </c>
      <c r="AM5" s="5">
        <f>SUM(AJ5:AL5)</f>
        <v>1125.5051697140577</v>
      </c>
      <c r="AN5">
        <f>(AJ5/$AM5)*100</f>
        <v>86.427823603165479</v>
      </c>
      <c r="AO5">
        <f>(AK5/$AM5)*100</f>
        <v>5.2623367327694348E-2</v>
      </c>
      <c r="AP5">
        <f>(AL5/$AM5)*100</f>
        <v>13.519553029506829</v>
      </c>
      <c r="AQ5" s="4"/>
      <c r="AR5" s="4"/>
      <c r="AS5" s="4"/>
    </row>
    <row r="6" spans="1:45" x14ac:dyDescent="0.2">
      <c r="B6" t="s">
        <v>17</v>
      </c>
      <c r="C6">
        <v>3.6899999999995714E-2</v>
      </c>
      <c r="D6">
        <v>80360</v>
      </c>
      <c r="E6" s="3">
        <f>C6*D6</f>
        <v>2965.2839999996554</v>
      </c>
      <c r="H6" s="3">
        <v>2898.2714702276207</v>
      </c>
      <c r="I6" s="3">
        <v>4.0346671081669498</v>
      </c>
      <c r="J6" s="3">
        <v>740.76537694164392</v>
      </c>
      <c r="M6" s="3">
        <f>SUM(H6:J6)</f>
        <v>3643.0715142774316</v>
      </c>
      <c r="N6" s="3"/>
      <c r="O6" s="3"/>
      <c r="P6" s="3"/>
      <c r="Q6" s="3"/>
      <c r="R6" s="3"/>
      <c r="S6" s="6"/>
      <c r="T6" s="6"/>
      <c r="U6" s="6"/>
      <c r="V6" s="3"/>
      <c r="W6" s="3"/>
      <c r="Z6" s="6"/>
      <c r="AA6" s="6"/>
      <c r="AB6" s="6"/>
      <c r="AD6" s="4">
        <v>4.6811999999999969</v>
      </c>
      <c r="AE6" s="4">
        <v>202925.21202061069</v>
      </c>
      <c r="AF6" s="4">
        <f>AE6*AD6</f>
        <v>949933.5025108821</v>
      </c>
      <c r="AG6" s="4"/>
      <c r="AH6" s="4"/>
      <c r="AJ6" s="5">
        <f>H6/$AD6</f>
        <v>619.13002440135494</v>
      </c>
      <c r="AK6" s="5">
        <f>I6/$AD6</f>
        <v>0.86188735968703589</v>
      </c>
      <c r="AL6" s="5">
        <f>J6/$AD6</f>
        <v>158.24262516911142</v>
      </c>
      <c r="AM6" s="5">
        <f>SUM(AJ6:AL6)</f>
        <v>778.23453693015335</v>
      </c>
      <c r="AN6">
        <f>(AJ6/$AM6)*100</f>
        <v>79.555711680901922</v>
      </c>
      <c r="AO6">
        <f>(AK6/$AM6)*100</f>
        <v>0.11074905041953829</v>
      </c>
      <c r="AP6">
        <f>(AL6/$AM6)*100</f>
        <v>20.333539268678553</v>
      </c>
      <c r="AQ6" s="4"/>
      <c r="AR6" s="4"/>
      <c r="AS6" s="4"/>
    </row>
    <row r="7" spans="1:45" x14ac:dyDescent="0.2">
      <c r="B7" t="s">
        <v>16</v>
      </c>
      <c r="C7">
        <v>0.10580000000000211</v>
      </c>
      <c r="D7">
        <v>80360</v>
      </c>
      <c r="E7" s="3">
        <f>C7*D7</f>
        <v>8502.0880000001707</v>
      </c>
      <c r="H7" s="3">
        <v>9896.2525267717901</v>
      </c>
      <c r="I7" s="3">
        <v>7.1478569286871405</v>
      </c>
      <c r="J7" s="3">
        <v>1007.3031011644657</v>
      </c>
      <c r="M7" s="3">
        <f>SUM(H7:J7)</f>
        <v>10910.703484864942</v>
      </c>
      <c r="N7" s="3"/>
      <c r="O7" s="3"/>
      <c r="P7" s="3"/>
      <c r="Q7" s="3"/>
      <c r="R7" s="3"/>
      <c r="S7" s="6"/>
      <c r="T7" s="6"/>
      <c r="U7" s="6"/>
      <c r="V7" s="3"/>
      <c r="W7" s="3"/>
      <c r="Z7" s="6"/>
      <c r="AA7" s="6"/>
      <c r="AB7" s="6"/>
      <c r="AD7" s="4">
        <v>4.4817999999999998</v>
      </c>
      <c r="AE7" s="4">
        <v>202925.21202061069</v>
      </c>
      <c r="AF7" s="4">
        <f>AE7*AD7</f>
        <v>909470.21523397299</v>
      </c>
      <c r="AG7" s="4"/>
      <c r="AH7" s="4"/>
      <c r="AJ7" s="5">
        <f>H7/$AD7</f>
        <v>2208.0977568771009</v>
      </c>
      <c r="AK7" s="5">
        <f>I7/$AD7</f>
        <v>1.5948629855609668</v>
      </c>
      <c r="AL7" s="5">
        <f>J7/$AD7</f>
        <v>224.75413922184518</v>
      </c>
      <c r="AM7" s="5">
        <f>SUM(AJ7:AL7)</f>
        <v>2434.446759084507</v>
      </c>
      <c r="AN7">
        <f>(AJ7/$AM7)*100</f>
        <v>90.702240607121496</v>
      </c>
      <c r="AO7">
        <f>(AK7/$AM7)*100</f>
        <v>6.5512337848814883E-2</v>
      </c>
      <c r="AP7">
        <f>(AL7/$AM7)*100</f>
        <v>9.232247055029692</v>
      </c>
      <c r="AQ7" s="4">
        <f>AVERAGE(AN5:AN7)</f>
        <v>85.561925297062956</v>
      </c>
      <c r="AR7" s="4">
        <f>AVERAGE(AO5:AO7)</f>
        <v>7.6294918532015851E-2</v>
      </c>
      <c r="AS7" s="4">
        <f>AVERAGE(AP5:AP7)</f>
        <v>14.361779784405025</v>
      </c>
    </row>
    <row r="8" spans="1:45" x14ac:dyDescent="0.2">
      <c r="B8" t="s">
        <v>15</v>
      </c>
      <c r="C8">
        <v>0.42879999999999541</v>
      </c>
      <c r="D8">
        <v>80360</v>
      </c>
      <c r="E8" s="3">
        <f>C8*D8</f>
        <v>34458.367999999631</v>
      </c>
      <c r="F8" s="3">
        <f>AVERAGE(E8:E10)</f>
        <v>39333.541333333211</v>
      </c>
      <c r="H8" s="3">
        <v>46708.845526282494</v>
      </c>
      <c r="I8" s="3">
        <v>142.8285401446704</v>
      </c>
      <c r="J8" s="3">
        <v>10690.765984499856</v>
      </c>
      <c r="M8" s="3">
        <f>SUM(H8:J8)</f>
        <v>57542.44005092702</v>
      </c>
      <c r="N8" s="3">
        <f>AVERAGE(M8:M10)</f>
        <v>77511.032242997389</v>
      </c>
      <c r="O8" s="3">
        <f>SQRT(((S8^2)+(T8^2)+(U8^2))/3)</f>
        <v>22604.514560189033</v>
      </c>
      <c r="P8" s="6">
        <f>AVERAGE(H8:H10)</f>
        <v>66326.618128604649</v>
      </c>
      <c r="Q8" s="6">
        <f>AVERAGE(I8:I10)</f>
        <v>126.90510664888014</v>
      </c>
      <c r="R8" s="6">
        <f>AVERAGE(J8:J10)</f>
        <v>11057.509007743882</v>
      </c>
      <c r="S8" s="6">
        <f>STDEV(H8:H10)</f>
        <v>39150.000364837768</v>
      </c>
      <c r="T8" s="6">
        <f>STDEV(I8:I10)</f>
        <v>31.974745271115413</v>
      </c>
      <c r="U8" s="6">
        <f>STDEV(J8:J10)</f>
        <v>410.7122523881128</v>
      </c>
      <c r="V8" s="3"/>
      <c r="W8" s="3">
        <v>38267.259347364808</v>
      </c>
      <c r="X8" s="3">
        <f>F8</f>
        <v>39333.541333333211</v>
      </c>
      <c r="Z8" s="6">
        <f>W11/N8</f>
        <v>2.0395881745446518E-2</v>
      </c>
      <c r="AA8" s="6">
        <f>X8/N8</f>
        <v>0.50745732826808965</v>
      </c>
      <c r="AB8" s="6">
        <f>X8/W8</f>
        <v>1.0278640802647871</v>
      </c>
      <c r="AD8" s="4">
        <v>3.9573999999999998</v>
      </c>
      <c r="AE8" s="4">
        <v>202925.21202061069</v>
      </c>
      <c r="AF8" s="4">
        <f>AE8*AD8</f>
        <v>803056.2340503647</v>
      </c>
      <c r="AG8" s="4">
        <f>AVERAGE(AF8:AF10)</f>
        <v>902137.85090629465</v>
      </c>
      <c r="AH8" s="4">
        <f>(N8/AG8)*100</f>
        <v>8.5919277375546557</v>
      </c>
      <c r="AJ8" s="5">
        <f>H8/$AD8</f>
        <v>11802.912398615883</v>
      </c>
      <c r="AK8" s="5">
        <f>I8/$AD8</f>
        <v>36.091509613551928</v>
      </c>
      <c r="AL8" s="5">
        <f>J8/$AD8</f>
        <v>2701.4620671400053</v>
      </c>
      <c r="AM8" s="5">
        <f>SUM(AJ8:AL8)</f>
        <v>14540.46597536944</v>
      </c>
      <c r="AN8">
        <f>(AJ8/$AM8)*100</f>
        <v>81.172862125665119</v>
      </c>
      <c r="AO8">
        <f>(AK8/$AM8)*100</f>
        <v>0.24821425719566684</v>
      </c>
      <c r="AP8">
        <f>(AL8/$AM8)*100</f>
        <v>18.578923617139218</v>
      </c>
      <c r="AQ8" s="4"/>
      <c r="AR8" s="4"/>
      <c r="AS8" s="4"/>
    </row>
    <row r="9" spans="1:45" x14ac:dyDescent="0.2">
      <c r="B9" t="s">
        <v>14</v>
      </c>
      <c r="C9">
        <v>0.44700000000000273</v>
      </c>
      <c r="D9">
        <v>80360</v>
      </c>
      <c r="E9" s="3">
        <f>C9*D9</f>
        <v>35920.920000000217</v>
      </c>
      <c r="H9" s="3">
        <v>40863.989333877304</v>
      </c>
      <c r="I9" s="3">
        <v>90.095209118974211</v>
      </c>
      <c r="J9" s="3">
        <v>10980.478483202409</v>
      </c>
      <c r="M9" s="3">
        <f>SUM(H9:J9)</f>
        <v>51934.563026198688</v>
      </c>
      <c r="N9" s="3"/>
      <c r="O9" s="3"/>
      <c r="P9" s="3"/>
      <c r="Q9" s="3"/>
      <c r="R9" s="3"/>
      <c r="S9" s="6"/>
      <c r="T9" s="6"/>
      <c r="U9" s="6"/>
      <c r="V9" s="3"/>
      <c r="W9" s="3"/>
      <c r="Z9" s="6"/>
      <c r="AA9" s="6"/>
      <c r="AB9" s="6"/>
      <c r="AD9" s="4">
        <v>4.3855999999999966</v>
      </c>
      <c r="AE9" s="4">
        <v>202925.21202061069</v>
      </c>
      <c r="AF9" s="4">
        <f>AE9*AD9</f>
        <v>889948.80983758951</v>
      </c>
      <c r="AG9" s="4"/>
      <c r="AH9" s="4"/>
      <c r="AJ9" s="5">
        <f>H9/$AD9</f>
        <v>9317.7648061559048</v>
      </c>
      <c r="AK9" s="5">
        <f>I9/$AD9</f>
        <v>20.5434168914115</v>
      </c>
      <c r="AL9" s="5">
        <f>J9/$AD9</f>
        <v>2503.7574067863957</v>
      </c>
      <c r="AM9" s="5">
        <f>SUM(AJ9:AL9)</f>
        <v>11842.065629833711</v>
      </c>
      <c r="AN9">
        <f>(AJ9/$AM9)*100</f>
        <v>78.683610591396018</v>
      </c>
      <c r="AO9">
        <f>(AK9/$AM9)*100</f>
        <v>0.17347832323827422</v>
      </c>
      <c r="AP9">
        <f>(AL9/$AM9)*100</f>
        <v>21.142911085365721</v>
      </c>
      <c r="AQ9" s="4"/>
      <c r="AR9" s="4"/>
      <c r="AS9" s="4"/>
    </row>
    <row r="10" spans="1:45" x14ac:dyDescent="0.2">
      <c r="B10" t="s">
        <v>13</v>
      </c>
      <c r="C10">
        <v>0.59259999999999735</v>
      </c>
      <c r="D10">
        <v>80360</v>
      </c>
      <c r="E10" s="3">
        <f>C10*D10</f>
        <v>47621.335999999785</v>
      </c>
      <c r="H10" s="3">
        <v>111407.01952565412</v>
      </c>
      <c r="I10" s="3">
        <v>147.7915706829958</v>
      </c>
      <c r="J10" s="3">
        <v>11501.282555529384</v>
      </c>
      <c r="M10" s="3">
        <f>SUM(H10:J10)</f>
        <v>123056.0936518665</v>
      </c>
      <c r="N10" s="3"/>
      <c r="O10" s="3"/>
      <c r="P10" s="3"/>
      <c r="Q10" s="3"/>
      <c r="R10" s="3"/>
      <c r="S10" s="6"/>
      <c r="T10" s="6"/>
      <c r="U10" s="6"/>
      <c r="V10" s="3"/>
      <c r="W10" s="3"/>
      <c r="Z10" s="6"/>
      <c r="AA10" s="6"/>
      <c r="AB10" s="6"/>
      <c r="AD10" s="4">
        <v>4.9939999999999998</v>
      </c>
      <c r="AE10" s="4">
        <v>202925.21202061069</v>
      </c>
      <c r="AF10" s="4">
        <f>AE10*AD10</f>
        <v>1013408.5088309298</v>
      </c>
      <c r="AG10" s="4"/>
      <c r="AH10" s="4"/>
      <c r="AJ10" s="5">
        <f>H10/$AD10</f>
        <v>22308.17371358713</v>
      </c>
      <c r="AK10" s="5">
        <f>I10/$AD10</f>
        <v>29.593826728673569</v>
      </c>
      <c r="AL10" s="5">
        <f>J10/$AD10</f>
        <v>2303.0201352681988</v>
      </c>
      <c r="AM10" s="5">
        <f>SUM(AJ10:AL10)</f>
        <v>24640.787675584001</v>
      </c>
      <c r="AN10">
        <f>(AJ10/$AM10)*100</f>
        <v>90.533525174975608</v>
      </c>
      <c r="AO10">
        <f>(AK10/$AM10)*100</f>
        <v>0.12010097695861169</v>
      </c>
      <c r="AP10">
        <f>(AL10/$AM10)*100</f>
        <v>9.3463738480657792</v>
      </c>
      <c r="AQ10" s="4">
        <f>AVERAGE(AN8:AN10)</f>
        <v>83.46333263067892</v>
      </c>
      <c r="AR10" s="4">
        <f>AVERAGE(AO8:AO10)</f>
        <v>0.18059785246418425</v>
      </c>
      <c r="AS10" s="4">
        <f>AVERAGE(AP8:AP10)</f>
        <v>16.356069516856905</v>
      </c>
    </row>
    <row r="11" spans="1:45" x14ac:dyDescent="0.2">
      <c r="B11" t="s">
        <v>12</v>
      </c>
      <c r="C11">
        <v>1.4000000000002899E-2</v>
      </c>
      <c r="D11">
        <v>80360</v>
      </c>
      <c r="E11" s="3">
        <f>C11*D11</f>
        <v>1125.040000000233</v>
      </c>
      <c r="F11" s="3">
        <f>AVERAGE(E11:E13)</f>
        <v>1167.89866666699</v>
      </c>
      <c r="H11" s="3">
        <v>7.201036271702403</v>
      </c>
      <c r="I11" s="3">
        <v>0.10554244858933894</v>
      </c>
      <c r="J11" s="3">
        <v>235.98973616154629</v>
      </c>
      <c r="M11" s="3">
        <f>SUM(H11:J11)</f>
        <v>243.29631488183804</v>
      </c>
      <c r="N11" s="3">
        <f>AVERAGE(M11:M13)</f>
        <v>451.87094076402565</v>
      </c>
      <c r="O11" s="3">
        <f>SQRT(((S11^2)+(T11^2)+(U11^2))/3)</f>
        <v>97.936795062892315</v>
      </c>
      <c r="P11" s="6">
        <f>AVERAGE(H11:H13)</f>
        <v>51.713950211217423</v>
      </c>
      <c r="Q11" s="6">
        <f>AVERAGE(I11:I13)</f>
        <v>0.16524569414739168</v>
      </c>
      <c r="R11" s="6">
        <f>AVERAGE(J11:J13)</f>
        <v>399.99174485866087</v>
      </c>
      <c r="S11" s="6">
        <f>STDEV(H11:H13)</f>
        <v>66.646878425888772</v>
      </c>
      <c r="T11" s="6">
        <f>STDEV(I11:I13)</f>
        <v>6.4680001554933503E-2</v>
      </c>
      <c r="U11" s="6">
        <f>STDEV(J11:J13)</f>
        <v>155.99050257677584</v>
      </c>
      <c r="V11" s="3"/>
      <c r="W11" s="3">
        <v>1580.905847595667</v>
      </c>
      <c r="X11" s="3">
        <f>F11</f>
        <v>1167.89866666699</v>
      </c>
      <c r="Z11" s="6">
        <f>W11/N11</f>
        <v>3.4985782553812013</v>
      </c>
      <c r="AA11" s="6">
        <f>X11/N11</f>
        <v>2.5845845822532891</v>
      </c>
      <c r="AB11" s="6">
        <f>X11/W11</f>
        <v>0.7387528286034224</v>
      </c>
      <c r="AD11" s="4">
        <v>4.3892000000000024</v>
      </c>
      <c r="AE11" s="4">
        <v>202925.21202061069</v>
      </c>
      <c r="AF11" s="4">
        <f>AE11*AD11</f>
        <v>890679.34060086496</v>
      </c>
      <c r="AG11" s="4">
        <f>AVERAGE(AF11:AF13)</f>
        <v>883401.0896630591</v>
      </c>
      <c r="AH11" s="4">
        <f>(N11/AG11)*100</f>
        <v>5.1151277268219719E-2</v>
      </c>
      <c r="AJ11" s="5">
        <f>H11/$AD11</f>
        <v>1.6406261441042558</v>
      </c>
      <c r="AK11" s="5">
        <f>I11/$AD11</f>
        <v>2.4045941991556293E-2</v>
      </c>
      <c r="AL11" s="5">
        <f>J11/$AD11</f>
        <v>53.766002041726544</v>
      </c>
      <c r="AM11" s="5">
        <f>SUM(AJ11:AL11)</f>
        <v>55.430674127822357</v>
      </c>
      <c r="AN11">
        <f>(AJ11/$AM11)*100</f>
        <v>2.9597802478840416</v>
      </c>
      <c r="AO11">
        <f>(AK11/$AM11)*100</f>
        <v>4.3380208467439327E-2</v>
      </c>
      <c r="AP11">
        <f>(AL11/$AM11)*100</f>
        <v>96.99683954364852</v>
      </c>
      <c r="AQ11" s="4"/>
      <c r="AR11" s="4"/>
      <c r="AS11" s="4"/>
    </row>
    <row r="12" spans="1:45" x14ac:dyDescent="0.2">
      <c r="B12" t="s">
        <v>11</v>
      </c>
      <c r="C12">
        <v>1.4500000000005286E-2</v>
      </c>
      <c r="D12">
        <v>80360</v>
      </c>
      <c r="E12" s="3">
        <f>C12*D12</f>
        <v>1165.2200000004248</v>
      </c>
      <c r="H12" s="3">
        <v>19.603535159722913</v>
      </c>
      <c r="I12" s="3">
        <v>0.15623673981384373</v>
      </c>
      <c r="J12" s="3">
        <v>546.49501855984442</v>
      </c>
      <c r="M12" s="3">
        <f>SUM(H12:J12)</f>
        <v>566.25479045938118</v>
      </c>
      <c r="N12" s="3"/>
      <c r="O12" s="3"/>
      <c r="P12" s="3"/>
      <c r="Q12" s="3"/>
      <c r="R12" s="3"/>
      <c r="S12" s="6"/>
      <c r="T12" s="6"/>
      <c r="U12" s="6"/>
      <c r="V12" s="3"/>
      <c r="W12" s="3"/>
      <c r="Z12" s="6"/>
      <c r="AA12" s="6"/>
      <c r="AB12" s="6"/>
      <c r="AD12" s="4">
        <v>4.4682000000000031</v>
      </c>
      <c r="AE12" s="4">
        <v>202925.21202061069</v>
      </c>
      <c r="AF12" s="4">
        <f>AE12*AD12</f>
        <v>906710.43235049327</v>
      </c>
      <c r="AG12" s="4"/>
      <c r="AH12" s="4"/>
      <c r="AJ12" s="5">
        <f>H12/$AD12</f>
        <v>4.3873450516366548</v>
      </c>
      <c r="AK12" s="5">
        <f>I12/$AD12</f>
        <v>3.4966371204029276E-2</v>
      </c>
      <c r="AL12" s="5">
        <f>J12/$AD12</f>
        <v>122.30764481443177</v>
      </c>
      <c r="AM12" s="5">
        <f>SUM(AJ12:AL12)</f>
        <v>126.72995623727245</v>
      </c>
      <c r="AN12">
        <f>(AJ12/$AM12)*100</f>
        <v>3.4619636760722687</v>
      </c>
      <c r="AO12">
        <f>(AK12/$AM12)*100</f>
        <v>2.7591243808656303E-2</v>
      </c>
      <c r="AP12">
        <f>(AL12/$AM12)*100</f>
        <v>96.510445080119084</v>
      </c>
      <c r="AQ12" s="4"/>
      <c r="AR12" s="4"/>
      <c r="AS12" s="4"/>
    </row>
    <row r="13" spans="1:45" x14ac:dyDescent="0.2">
      <c r="B13" t="s">
        <v>10</v>
      </c>
      <c r="C13">
        <v>1.5100000000003888E-2</v>
      </c>
      <c r="D13">
        <v>80360</v>
      </c>
      <c r="E13" s="3">
        <f>C13*D13</f>
        <v>1213.4360000003126</v>
      </c>
      <c r="H13" s="3">
        <v>128.33727920222694</v>
      </c>
      <c r="I13" s="3">
        <v>0.23395789403899236</v>
      </c>
      <c r="J13" s="3">
        <v>417.49047985459185</v>
      </c>
      <c r="M13" s="3">
        <f>SUM(H13:J13)</f>
        <v>546.06171695085777</v>
      </c>
      <c r="N13" s="3"/>
      <c r="O13" s="3"/>
      <c r="P13" s="3"/>
      <c r="Q13" s="3"/>
      <c r="R13" s="3"/>
      <c r="S13" s="6"/>
      <c r="T13" s="6"/>
      <c r="U13" s="6"/>
      <c r="V13" s="3"/>
      <c r="W13" s="3"/>
      <c r="Z13" s="6"/>
      <c r="AA13" s="6"/>
      <c r="AB13" s="6"/>
      <c r="AD13" s="4">
        <v>4.2026000000000039</v>
      </c>
      <c r="AE13" s="4">
        <v>202925.21202061069</v>
      </c>
      <c r="AF13" s="4">
        <f>AE13*AD13</f>
        <v>852813.49603781931</v>
      </c>
      <c r="AG13" s="4"/>
      <c r="AH13" s="4"/>
      <c r="AJ13" s="5">
        <f>H13/$AD13</f>
        <v>30.537590825257418</v>
      </c>
      <c r="AK13" s="5">
        <f>I13/$AD13</f>
        <v>5.5669798229427532E-2</v>
      </c>
      <c r="AL13" s="5">
        <f>J13/$AD13</f>
        <v>99.340998394943952</v>
      </c>
      <c r="AM13" s="5">
        <f>SUM(AJ13:AL13)</f>
        <v>129.93425901843079</v>
      </c>
      <c r="AN13">
        <f>(AJ13/$AM13)*100</f>
        <v>23.502339610776364</v>
      </c>
      <c r="AO13">
        <f>(AK13/$AM13)*100</f>
        <v>4.2844588217131357E-2</v>
      </c>
      <c r="AP13">
        <f>(AL13/$AM13)*100</f>
        <v>76.454815801006518</v>
      </c>
      <c r="AQ13" s="4">
        <f>AVERAGE(AN11:AN13)</f>
        <v>9.9746945115775585</v>
      </c>
      <c r="AR13" s="4">
        <f>AVERAGE(AO11:AO13)</f>
        <v>3.7938680164408996E-2</v>
      </c>
      <c r="AS13" s="4">
        <f>AVERAGE(AP11:AP13)</f>
        <v>89.987366808258045</v>
      </c>
    </row>
    <row r="14" spans="1:45" x14ac:dyDescent="0.2">
      <c r="B14" t="s">
        <v>9</v>
      </c>
      <c r="C14">
        <v>0.14629999999999654</v>
      </c>
      <c r="D14">
        <v>80360</v>
      </c>
      <c r="E14" s="3">
        <f>C14*D14</f>
        <v>11756.667999999721</v>
      </c>
      <c r="F14" s="3">
        <f>AVERAGE(E14:E16)</f>
        <v>11820.955999999953</v>
      </c>
      <c r="H14" s="3">
        <v>191.25339948898542</v>
      </c>
      <c r="I14" s="3">
        <v>4.2510648449775319</v>
      </c>
      <c r="J14" s="3">
        <v>10472.845690934009</v>
      </c>
      <c r="M14" s="3">
        <f>SUM(H14:J14)</f>
        <v>10668.350155267972</v>
      </c>
      <c r="N14" s="3">
        <f>AVERAGE(M14:M16)</f>
        <v>10433.365847344574</v>
      </c>
      <c r="O14" s="3">
        <f>SQRT(((S14^2)+(T14^2)+(U14^2))/3)</f>
        <v>168.55745054488065</v>
      </c>
      <c r="P14" s="6">
        <f>AVERAGE(H14:H16)</f>
        <v>134.82222953925066</v>
      </c>
      <c r="Q14" s="6">
        <f>AVERAGE(I14:I16)</f>
        <v>5.1055766362063331</v>
      </c>
      <c r="R14" s="6">
        <f>AVERAGE(J14:J16)</f>
        <v>10293.438041169116</v>
      </c>
      <c r="S14" s="6">
        <f>STDEV(H14:H16)</f>
        <v>74.87321445645496</v>
      </c>
      <c r="T14" s="6">
        <f>STDEV(I14:I16)</f>
        <v>0.74189585408324954</v>
      </c>
      <c r="U14" s="6">
        <f>STDEV(J14:J16)</f>
        <v>282.18485740746092</v>
      </c>
      <c r="V14" s="3"/>
      <c r="W14" s="3">
        <v>10957.978859111856</v>
      </c>
      <c r="X14" s="3">
        <f>F14</f>
        <v>11820.955999999953</v>
      </c>
      <c r="Z14" s="6">
        <f>W14/N14</f>
        <v>1.0502822405964805</v>
      </c>
      <c r="AA14" s="6">
        <f>X14/N14</f>
        <v>1.1329954468153285</v>
      </c>
      <c r="AB14" s="6">
        <f>X14/W14</f>
        <v>1.0787533131778684</v>
      </c>
      <c r="AD14" s="4">
        <v>4.3192000000000021</v>
      </c>
      <c r="AE14" s="4">
        <v>202925.21202061069</v>
      </c>
      <c r="AF14" s="4">
        <f>AE14*AD14</f>
        <v>876474.57575942215</v>
      </c>
      <c r="AG14" s="4">
        <f>AVERAGE(AF14:AF16)</f>
        <v>882061.78326372243</v>
      </c>
      <c r="AH14" s="4">
        <f>(N14/AG14)*100</f>
        <v>1.1828384411735888</v>
      </c>
      <c r="AJ14" s="5">
        <f>H14/$AD14</f>
        <v>44.279820218787123</v>
      </c>
      <c r="AK14" s="5">
        <f>I14/$AD14</f>
        <v>0.98422505208777777</v>
      </c>
      <c r="AL14" s="5">
        <f>J14/$AD14</f>
        <v>2424.7188578750706</v>
      </c>
      <c r="AM14" s="5">
        <f>SUM(AJ14:AL14)</f>
        <v>2469.9829031459453</v>
      </c>
      <c r="AN14">
        <f>(AJ14/$AM14)*100</f>
        <v>1.7927176808547625</v>
      </c>
      <c r="AO14">
        <f>(AK14/$AM14)*100</f>
        <v>3.9847443916886993E-2</v>
      </c>
      <c r="AP14">
        <f>(AL14/$AM14)*100</f>
        <v>98.167434875228352</v>
      </c>
      <c r="AQ14" s="4"/>
      <c r="AR14" s="4"/>
      <c r="AS14" s="4"/>
    </row>
    <row r="15" spans="1:45" x14ac:dyDescent="0.2">
      <c r="B15" t="s">
        <v>8</v>
      </c>
      <c r="C15">
        <v>0.14880000000000138</v>
      </c>
      <c r="D15">
        <v>80360</v>
      </c>
      <c r="E15" s="3">
        <f>C15*D15</f>
        <v>11957.56800000011</v>
      </c>
      <c r="H15" s="3">
        <v>49.882394577094615</v>
      </c>
      <c r="I15" s="3">
        <v>5.5854315555200618</v>
      </c>
      <c r="J15" s="3">
        <v>10439.293052152463</v>
      </c>
      <c r="M15" s="3">
        <f>SUM(H15:J15)</f>
        <v>10494.760878285078</v>
      </c>
      <c r="N15" s="3"/>
      <c r="O15" s="3"/>
      <c r="P15" s="3"/>
      <c r="Q15" s="3"/>
      <c r="R15" s="3"/>
      <c r="S15" s="6"/>
      <c r="T15" s="6"/>
      <c r="U15" s="6"/>
      <c r="V15" s="3"/>
      <c r="W15" s="3"/>
      <c r="AD15" s="4">
        <v>4.3817999999999984</v>
      </c>
      <c r="AE15" s="4">
        <v>202925.21202061069</v>
      </c>
      <c r="AF15" s="4">
        <f>AE15*AD15</f>
        <v>889177.69403191155</v>
      </c>
      <c r="AG15" s="4"/>
      <c r="AH15" s="4"/>
      <c r="AJ15" s="5">
        <f>H15/$AD15</f>
        <v>11.38399620637515</v>
      </c>
      <c r="AK15" s="5">
        <f>I15/$AD15</f>
        <v>1.2746888391802602</v>
      </c>
      <c r="AL15" s="5">
        <f>J15/$AD15</f>
        <v>2382.421163027173</v>
      </c>
      <c r="AM15" s="5">
        <f>SUM(AJ15:AL15)</f>
        <v>2395.0798480727285</v>
      </c>
      <c r="AN15">
        <f>(AJ15/$AM15)*100</f>
        <v>0.47530758590514705</v>
      </c>
      <c r="AO15">
        <f>(AK15/$AM15)*100</f>
        <v>5.3221141675338139E-2</v>
      </c>
      <c r="AP15">
        <f>(AL15/$AM15)*100</f>
        <v>99.471471272419507</v>
      </c>
      <c r="AQ15" s="4"/>
      <c r="AR15" s="4"/>
      <c r="AS15" s="4"/>
    </row>
    <row r="16" spans="1:45" x14ac:dyDescent="0.2">
      <c r="B16" t="s">
        <v>7</v>
      </c>
      <c r="C16">
        <v>0.14620000000000033</v>
      </c>
      <c r="D16">
        <v>80360</v>
      </c>
      <c r="E16" s="3">
        <f>C16*D16</f>
        <v>11748.632000000027</v>
      </c>
      <c r="H16" s="3">
        <v>163.33089455167192</v>
      </c>
      <c r="I16" s="3">
        <v>5.4802335081214046</v>
      </c>
      <c r="J16" s="3">
        <v>9968.1753804208784</v>
      </c>
      <c r="M16" s="3">
        <f>SUM(H16:J16)</f>
        <v>10136.986508480672</v>
      </c>
      <c r="N16" s="3"/>
      <c r="O16" s="3"/>
      <c r="P16" s="3"/>
      <c r="Q16" s="3"/>
      <c r="R16" s="3"/>
      <c r="S16" s="6"/>
      <c r="T16" s="6"/>
      <c r="U16" s="6"/>
      <c r="V16" s="3"/>
      <c r="W16" s="3"/>
      <c r="AD16" s="4">
        <v>4.3391999999999982</v>
      </c>
      <c r="AE16" s="4">
        <v>202925.21202061069</v>
      </c>
      <c r="AF16" s="4">
        <f>AE16*AD16</f>
        <v>880533.0799998336</v>
      </c>
      <c r="AG16" s="4"/>
      <c r="AH16" s="4"/>
      <c r="AJ16" s="5">
        <f>H16/$AD16</f>
        <v>37.64078506445243</v>
      </c>
      <c r="AK16" s="5">
        <f>I16/$AD16</f>
        <v>1.2629594183539379</v>
      </c>
      <c r="AL16" s="5">
        <f>J16/$AD16</f>
        <v>2297.2380578034849</v>
      </c>
      <c r="AM16" s="5">
        <f>SUM(AJ16:AL16)</f>
        <v>2336.1418022862913</v>
      </c>
      <c r="AN16">
        <f>(AJ16/$AM16)*100</f>
        <v>1.6112371700902253</v>
      </c>
      <c r="AO16">
        <f>(AK16/$AM16)*100</f>
        <v>5.406176188097523E-2</v>
      </c>
      <c r="AP16">
        <f>(AL16/$AM16)*100</f>
        <v>98.334701068028792</v>
      </c>
      <c r="AQ16" s="4">
        <f>AVERAGE(AN14:AN16)</f>
        <v>1.2930874789500448</v>
      </c>
      <c r="AR16" s="4">
        <f>AVERAGE(AO14:AO16)</f>
        <v>4.9043449157733454E-2</v>
      </c>
      <c r="AS16" s="4">
        <f>AVERAGE(AP14:AP16)</f>
        <v>98.657869071892208</v>
      </c>
    </row>
    <row r="17" spans="3:24" x14ac:dyDescent="0.2">
      <c r="X17" s="3"/>
    </row>
    <row r="18" spans="3:24" x14ac:dyDescent="0.2">
      <c r="C18" t="s">
        <v>6</v>
      </c>
      <c r="D18">
        <v>241100</v>
      </c>
      <c r="E18" t="s">
        <v>5</v>
      </c>
      <c r="F18" t="s">
        <v>4</v>
      </c>
      <c r="H18" t="s">
        <v>3</v>
      </c>
      <c r="J18" t="s">
        <v>2</v>
      </c>
      <c r="L18" t="s">
        <v>1</v>
      </c>
      <c r="P18" s="2"/>
      <c r="Q18" s="2"/>
      <c r="R18" s="2"/>
      <c r="U18" s="2"/>
    </row>
    <row r="19" spans="3:24" x14ac:dyDescent="0.2">
      <c r="C19" t="s">
        <v>0</v>
      </c>
      <c r="D19">
        <v>80360</v>
      </c>
      <c r="F19">
        <v>46926.506857856497</v>
      </c>
      <c r="H19">
        <v>4130.6467213201022</v>
      </c>
      <c r="J19">
        <v>1605.6053591020229</v>
      </c>
      <c r="L19">
        <v>11717.197318218403</v>
      </c>
    </row>
    <row r="20" spans="3:24" x14ac:dyDescent="0.2">
      <c r="F20">
        <v>34912.524217822189</v>
      </c>
      <c r="H20">
        <v>5260.2877763792521</v>
      </c>
      <c r="J20">
        <v>1248.2237318953808</v>
      </c>
      <c r="L20">
        <v>10545.957223538111</v>
      </c>
    </row>
    <row r="21" spans="3:24" x14ac:dyDescent="0.2">
      <c r="F21">
        <v>29873.988174001552</v>
      </c>
      <c r="H21">
        <v>2739.4978704726054</v>
      </c>
      <c r="J21">
        <v>1350.1083275664303</v>
      </c>
      <c r="L21">
        <v>10658.126609875579</v>
      </c>
    </row>
    <row r="22" spans="3:24" x14ac:dyDescent="0.2">
      <c r="F22">
        <v>39750.213113094607</v>
      </c>
      <c r="H22">
        <v>3489.3449064450174</v>
      </c>
      <c r="J22">
        <v>1422.4029519785461</v>
      </c>
      <c r="L22">
        <v>10910.634284815331</v>
      </c>
    </row>
    <row r="23" spans="3:24" x14ac:dyDescent="0.2">
      <c r="F23">
        <v>42766.691489316894</v>
      </c>
      <c r="H23">
        <v>2757.0897954689335</v>
      </c>
      <c r="J23">
        <v>2346.4577788589372</v>
      </c>
    </row>
    <row r="24" spans="3:24" x14ac:dyDescent="0.2">
      <c r="F24">
        <v>35373.632232097108</v>
      </c>
      <c r="G24">
        <f>AVERAGE(F19:F24)</f>
        <v>38267.259347364808</v>
      </c>
      <c r="I24">
        <f>AVERAGE(H19:H24)</f>
        <v>3675.3734140171823</v>
      </c>
      <c r="J24">
        <v>1512.6369361726831</v>
      </c>
      <c r="K24">
        <f>AVERAGE(J19:J24)</f>
        <v>1580.905847595667</v>
      </c>
      <c r="M24">
        <f>AVERAGE(L19:L24)</f>
        <v>10957.978859111856</v>
      </c>
    </row>
    <row r="25" spans="3:24" x14ac:dyDescent="0.2">
      <c r="U25">
        <v>3007.8986891220102</v>
      </c>
    </row>
    <row r="27" spans="3:24" x14ac:dyDescent="0.2">
      <c r="S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486E-A961-5441-BAEB-CC8082F8316B}">
  <dimension ref="A1:AD24"/>
  <sheetViews>
    <sheetView zoomScale="159" zoomScaleNormal="159" workbookViewId="0">
      <pane xSplit="2" topLeftCell="O1" activePane="topRight" state="frozen"/>
      <selection pane="topRight" activeCell="P1" sqref="P1:P1048576"/>
    </sheetView>
  </sheetViews>
  <sheetFormatPr baseColWidth="10" defaultRowHeight="16" x14ac:dyDescent="0.2"/>
  <cols>
    <col min="3" max="3" width="26.83203125" customWidth="1"/>
    <col min="4" max="4" width="13" customWidth="1"/>
    <col min="8" max="8" width="13" bestFit="1" customWidth="1"/>
    <col min="9" max="9" width="11" bestFit="1" customWidth="1"/>
    <col min="10" max="10" width="12" bestFit="1" customWidth="1"/>
    <col min="11" max="11" width="12" customWidth="1"/>
    <col min="15" max="15" width="11" bestFit="1" customWidth="1"/>
    <col min="16" max="16" width="11" customWidth="1"/>
    <col min="19" max="19" width="12" bestFit="1" customWidth="1"/>
    <col min="23" max="23" width="26.33203125" customWidth="1"/>
    <col min="24" max="24" width="13" customWidth="1"/>
  </cols>
  <sheetData>
    <row r="1" spans="1:30" ht="51" x14ac:dyDescent="0.2">
      <c r="A1" s="1" t="s">
        <v>55</v>
      </c>
      <c r="B1" s="1" t="s">
        <v>54</v>
      </c>
      <c r="C1" s="1" t="s">
        <v>53</v>
      </c>
      <c r="D1" s="1" t="s">
        <v>52</v>
      </c>
      <c r="E1" s="1" t="s">
        <v>51</v>
      </c>
      <c r="F1" s="1" t="s">
        <v>37</v>
      </c>
      <c r="G1" s="1"/>
      <c r="H1" s="1" t="s">
        <v>50</v>
      </c>
      <c r="I1" s="1" t="s">
        <v>49</v>
      </c>
      <c r="J1" s="1" t="s">
        <v>48</v>
      </c>
      <c r="K1" s="1" t="s">
        <v>61</v>
      </c>
      <c r="L1" s="1" t="s">
        <v>60</v>
      </c>
      <c r="M1" s="1" t="s">
        <v>59</v>
      </c>
      <c r="N1" s="1" t="s">
        <v>47</v>
      </c>
      <c r="O1" s="1" t="s">
        <v>46</v>
      </c>
      <c r="P1" s="1"/>
      <c r="Q1" s="1" t="s">
        <v>58</v>
      </c>
      <c r="R1" s="1" t="s">
        <v>57</v>
      </c>
      <c r="S1" s="1" t="s">
        <v>56</v>
      </c>
      <c r="T1" s="1" t="s">
        <v>37</v>
      </c>
      <c r="U1" s="1"/>
      <c r="V1" s="7" t="s">
        <v>36</v>
      </c>
      <c r="W1" s="8" t="s">
        <v>35</v>
      </c>
      <c r="X1" s="7" t="s">
        <v>34</v>
      </c>
      <c r="Z1" s="7" t="s">
        <v>33</v>
      </c>
      <c r="AA1" s="7" t="s">
        <v>32</v>
      </c>
      <c r="AB1" s="7" t="s">
        <v>31</v>
      </c>
      <c r="AC1" s="7" t="s">
        <v>30</v>
      </c>
      <c r="AD1" s="7" t="s">
        <v>29</v>
      </c>
    </row>
    <row r="2" spans="1:30" x14ac:dyDescent="0.2">
      <c r="B2" t="s">
        <v>21</v>
      </c>
      <c r="C2">
        <v>0.13219999999999743</v>
      </c>
      <c r="D2">
        <v>80360</v>
      </c>
      <c r="E2" s="3">
        <f>C2*D2</f>
        <v>10623.591999999793</v>
      </c>
      <c r="F2" s="3">
        <f>AVERAGE(E2:E4)</f>
        <v>10912.88800000007</v>
      </c>
      <c r="H2" s="3">
        <v>42.3373272261572</v>
      </c>
      <c r="I2" s="3">
        <v>2.9342444866472825</v>
      </c>
      <c r="J2" s="3">
        <v>6632.7033013513465</v>
      </c>
      <c r="K2" s="6">
        <f>(H2/$N2)*100</f>
        <v>0.63398452421446383</v>
      </c>
      <c r="L2" s="6">
        <f>(I2/$N2)*100</f>
        <v>4.3939136376248758E-2</v>
      </c>
      <c r="M2" s="6">
        <f>(J2/$N2)*100</f>
        <v>99.322076339409278</v>
      </c>
      <c r="N2" s="3">
        <f>SUM(H2:J2)</f>
        <v>6677.9748730641513</v>
      </c>
      <c r="O2" s="3">
        <f>AVERAGE(N2:N4)</f>
        <v>5349.7748344035153</v>
      </c>
      <c r="P2" s="3"/>
      <c r="Q2" s="6">
        <f>(AVERAGE(H2:H4)/$O2)*100</f>
        <v>0.85391230297215537</v>
      </c>
      <c r="R2" s="6">
        <f>(AVERAGE(I2:I4)/$O2)*100</f>
        <v>6.1569884781966587E-2</v>
      </c>
      <c r="S2" s="6">
        <f>(AVERAGE(J2:J4)/$O2)*100</f>
        <v>99.084517812245892</v>
      </c>
      <c r="T2" s="3">
        <f>F2</f>
        <v>10912.88800000007</v>
      </c>
      <c r="V2" s="6">
        <f>S2/O2</f>
        <v>1.8521250123472447E-2</v>
      </c>
      <c r="W2" s="6">
        <f>T2/O2</f>
        <v>2.0398780019340434</v>
      </c>
      <c r="X2" s="6">
        <f>T2/S2</f>
        <v>110.13716613809208</v>
      </c>
      <c r="Z2" s="4">
        <v>4.1509999999999962</v>
      </c>
      <c r="AA2" s="4">
        <v>202925.21202061069</v>
      </c>
      <c r="AB2" s="4">
        <f>AA2*Z2</f>
        <v>842342.55509755423</v>
      </c>
      <c r="AC2" s="4">
        <f>AVERAGE(AB2:AB4)</f>
        <v>872781.33690064645</v>
      </c>
      <c r="AD2" s="4">
        <f>(O2/AC2)*100</f>
        <v>0.61295706131861405</v>
      </c>
    </row>
    <row r="3" spans="1:30" x14ac:dyDescent="0.2">
      <c r="B3" t="s">
        <v>20</v>
      </c>
      <c r="C3">
        <v>0.13330000000000553</v>
      </c>
      <c r="D3">
        <v>80360</v>
      </c>
      <c r="E3" s="3">
        <f>C3*D3</f>
        <v>10711.988000000443</v>
      </c>
      <c r="H3" s="3">
        <v>51.525290709492204</v>
      </c>
      <c r="I3" s="3">
        <v>4.3891869478393524</v>
      </c>
      <c r="J3" s="3">
        <v>4598.2543575093168</v>
      </c>
      <c r="K3" s="6">
        <f>(H3/$N3)*100</f>
        <v>1.1070782460698436</v>
      </c>
      <c r="L3" s="6">
        <f>(I3/$N3)*100</f>
        <v>9.4306569084363537E-2</v>
      </c>
      <c r="M3" s="6">
        <f>(J3/$N3)*100</f>
        <v>98.798615184845801</v>
      </c>
      <c r="N3" s="3">
        <f>SUM(H3:J3)</f>
        <v>4654.168835166648</v>
      </c>
      <c r="O3" s="3"/>
      <c r="P3" s="3"/>
      <c r="Q3" s="3"/>
      <c r="R3" s="3"/>
      <c r="S3" s="3"/>
      <c r="V3" s="6"/>
      <c r="W3" s="6"/>
      <c r="X3" s="6"/>
      <c r="Z3" s="4">
        <v>4.2742000000000004</v>
      </c>
      <c r="AA3" s="4">
        <v>202925.21202061069</v>
      </c>
      <c r="AB3" s="4">
        <f>AA3*Z3</f>
        <v>867342.94121849432</v>
      </c>
      <c r="AC3" s="4"/>
      <c r="AD3" s="4"/>
    </row>
    <row r="4" spans="1:30" x14ac:dyDescent="0.2">
      <c r="B4" t="s">
        <v>19</v>
      </c>
      <c r="C4">
        <v>0.14189999999999969</v>
      </c>
      <c r="D4">
        <v>80360</v>
      </c>
      <c r="E4" s="3">
        <f>C4*D4</f>
        <v>11403.083999999975</v>
      </c>
      <c r="H4" s="3">
        <v>43.184538541190193</v>
      </c>
      <c r="I4" s="3">
        <v>2.5581191704240291</v>
      </c>
      <c r="J4" s="3">
        <v>4671.4381372681319</v>
      </c>
      <c r="K4" s="6">
        <f>(H4/$N4)*100</f>
        <v>0.91547346642192073</v>
      </c>
      <c r="L4" s="6">
        <f>(I4/$N4)*100</f>
        <v>5.4229830943653981E-2</v>
      </c>
      <c r="M4" s="6">
        <f>(J4/$N4)*100</f>
        <v>99.030296702634431</v>
      </c>
      <c r="N4" s="3">
        <f>SUM(H4:J4)</f>
        <v>4717.1807949797458</v>
      </c>
      <c r="O4" s="3"/>
      <c r="P4" s="3"/>
      <c r="Q4" s="3"/>
      <c r="R4" s="3"/>
      <c r="S4" s="3"/>
      <c r="V4" s="6"/>
      <c r="W4" s="6"/>
      <c r="X4" s="6"/>
      <c r="Z4" s="4">
        <v>4.477800000000002</v>
      </c>
      <c r="AA4" s="4">
        <v>202925.21202061069</v>
      </c>
      <c r="AB4" s="4">
        <f>AA4*Z4</f>
        <v>908658.51438589091</v>
      </c>
      <c r="AC4" s="4"/>
      <c r="AD4" s="4"/>
    </row>
    <row r="5" spans="1:30" x14ac:dyDescent="0.2">
      <c r="B5" t="s">
        <v>18</v>
      </c>
      <c r="C5">
        <v>5.1800000000000068E-2</v>
      </c>
      <c r="D5">
        <v>80360</v>
      </c>
      <c r="E5" s="3">
        <f>C5*D5</f>
        <v>4162.6480000000056</v>
      </c>
      <c r="F5" s="3">
        <f>AVERAGE(E5:E7)</f>
        <v>5210.0066666666107</v>
      </c>
      <c r="H5" s="3">
        <v>4409.0849399632198</v>
      </c>
      <c r="I5" s="3">
        <v>2.6845625251425602</v>
      </c>
      <c r="J5" s="3">
        <v>689.69522975757843</v>
      </c>
      <c r="K5" s="6">
        <f>(H5/$N5)*100</f>
        <v>86.427823603165493</v>
      </c>
      <c r="L5" s="6">
        <f>(I5/$N5)*100</f>
        <v>5.2623367327694348E-2</v>
      </c>
      <c r="M5" s="6">
        <f>(J5/$N5)*100</f>
        <v>13.519553029506829</v>
      </c>
      <c r="N5" s="3">
        <f>SUM(H5:J5)</f>
        <v>5101.4647322459405</v>
      </c>
      <c r="O5" s="3">
        <f>AVERAGE(N5:N7)</f>
        <v>6551.7465771294374</v>
      </c>
      <c r="P5" s="3"/>
      <c r="Q5" s="6">
        <f>(AVERAGE(H5:H7)/$O5)*100</f>
        <v>87.526833414753185</v>
      </c>
      <c r="R5" s="6">
        <f>(AVERAGE(I5:I7)/$O5)*100</f>
        <v>7.0551602277593661E-2</v>
      </c>
      <c r="S5" s="6">
        <f>(AVERAGE(J5:J7)/$O5)*100</f>
        <v>12.402614982969231</v>
      </c>
      <c r="T5" s="3">
        <f>F5</f>
        <v>5210.0066666666107</v>
      </c>
      <c r="V5" s="6">
        <f>S8/O5</f>
        <v>2.177392340054026E-3</v>
      </c>
      <c r="W5" s="6">
        <f>T5/O5</f>
        <v>0.79520882032487095</v>
      </c>
      <c r="X5" s="6">
        <f>T5/S5</f>
        <v>420.07324050781074</v>
      </c>
      <c r="Z5" s="4">
        <v>4.5326000000000022</v>
      </c>
      <c r="AA5" s="4">
        <v>202925.21202061069</v>
      </c>
      <c r="AB5" s="4">
        <f>AA5*Z5</f>
        <v>919778.81600462052</v>
      </c>
      <c r="AC5" s="4">
        <f>AVERAGE(AB5:AB7)</f>
        <v>926394.17791649187</v>
      </c>
      <c r="AD5" s="4">
        <f>(O5/AC5)*100</f>
        <v>0.70723097503318211</v>
      </c>
    </row>
    <row r="6" spans="1:30" x14ac:dyDescent="0.2">
      <c r="B6" t="s">
        <v>17</v>
      </c>
      <c r="C6">
        <v>3.6899999999995714E-2</v>
      </c>
      <c r="D6">
        <v>80360</v>
      </c>
      <c r="E6" s="3">
        <f>C6*D6</f>
        <v>2965.2839999996554</v>
      </c>
      <c r="H6" s="3">
        <v>2898.2714702276207</v>
      </c>
      <c r="I6" s="3">
        <v>4.0346671081669498</v>
      </c>
      <c r="J6" s="3">
        <v>740.76537694164392</v>
      </c>
      <c r="K6" s="6">
        <f>(H6/$N6)*100</f>
        <v>79.555711680901908</v>
      </c>
      <c r="L6" s="6">
        <f>(I6/$N6)*100</f>
        <v>0.11074905041953829</v>
      </c>
      <c r="M6" s="6">
        <f>(J6/$N6)*100</f>
        <v>20.333539268678553</v>
      </c>
      <c r="N6" s="3">
        <f>SUM(H6:J6)</f>
        <v>3643.0715142774316</v>
      </c>
      <c r="O6" s="3"/>
      <c r="P6" s="3"/>
      <c r="Q6" s="3"/>
      <c r="R6" s="3"/>
      <c r="V6" s="6"/>
      <c r="W6" s="6"/>
      <c r="X6" s="6"/>
      <c r="Z6" s="4">
        <v>4.6811999999999969</v>
      </c>
      <c r="AA6" s="4">
        <v>202925.21202061069</v>
      </c>
      <c r="AB6" s="4">
        <f>AA6*Z6</f>
        <v>949933.5025108821</v>
      </c>
      <c r="AC6" s="4"/>
      <c r="AD6" s="4"/>
    </row>
    <row r="7" spans="1:30" x14ac:dyDescent="0.2">
      <c r="B7" t="s">
        <v>16</v>
      </c>
      <c r="C7">
        <v>0.10580000000000211</v>
      </c>
      <c r="D7">
        <v>80360</v>
      </c>
      <c r="E7" s="3">
        <f>C7*D7</f>
        <v>8502.0880000001707</v>
      </c>
      <c r="H7" s="3">
        <v>9896.2525267717901</v>
      </c>
      <c r="I7" s="3">
        <v>7.1478569286871405</v>
      </c>
      <c r="J7" s="3">
        <v>1007.3031011644657</v>
      </c>
      <c r="K7" s="6">
        <f>(H7/$N7)*100</f>
        <v>90.702240607121496</v>
      </c>
      <c r="L7" s="6">
        <f>(I7/$N7)*100</f>
        <v>6.5512337848814883E-2</v>
      </c>
      <c r="M7" s="6">
        <f>(J7/$N7)*100</f>
        <v>9.2322470550296938</v>
      </c>
      <c r="N7" s="3">
        <f>SUM(H7:J7)</f>
        <v>10910.703484864942</v>
      </c>
      <c r="O7" s="3"/>
      <c r="P7" s="3"/>
      <c r="Q7" s="3"/>
      <c r="R7" s="3"/>
      <c r="V7" s="6"/>
      <c r="W7" s="6"/>
      <c r="X7" s="6"/>
      <c r="Z7" s="4">
        <v>4.4817999999999998</v>
      </c>
      <c r="AA7" s="4">
        <v>202925.21202061069</v>
      </c>
      <c r="AB7" s="4">
        <f>AA7*Z7</f>
        <v>909470.21523397299</v>
      </c>
      <c r="AC7" s="4"/>
      <c r="AD7" s="4"/>
    </row>
    <row r="8" spans="1:30" x14ac:dyDescent="0.2">
      <c r="B8" t="s">
        <v>15</v>
      </c>
      <c r="C8">
        <v>0.42879999999999541</v>
      </c>
      <c r="D8">
        <v>80360</v>
      </c>
      <c r="E8" s="3">
        <f>C8*D8</f>
        <v>34458.367999999631</v>
      </c>
      <c r="F8" s="3">
        <f>AVERAGE(E8:E10)</f>
        <v>39333.541333333211</v>
      </c>
      <c r="H8" s="3">
        <v>46708.845526282494</v>
      </c>
      <c r="I8" s="3">
        <v>142.8285401446704</v>
      </c>
      <c r="J8" s="3">
        <v>10690.765984499856</v>
      </c>
      <c r="K8" s="6">
        <f>(H8/$N8)*100</f>
        <v>81.172862125665119</v>
      </c>
      <c r="L8" s="6">
        <f>(I8/$N8)*100</f>
        <v>0.24821425719566684</v>
      </c>
      <c r="M8" s="6">
        <f>(J8/$N8)*100</f>
        <v>18.578923617139218</v>
      </c>
      <c r="N8" s="3">
        <f>SUM(H8:J8)</f>
        <v>57542.44005092702</v>
      </c>
      <c r="O8" s="3">
        <f>AVERAGE(N8:N10)</f>
        <v>77511.032242997389</v>
      </c>
      <c r="P8" s="3"/>
      <c r="Q8" s="6">
        <f>(AVERAGE(H8:H10)/$O8)*100</f>
        <v>85.570551970809063</v>
      </c>
      <c r="R8" s="6">
        <f>(AVERAGE(I8:I10)/$O8)*100</f>
        <v>0.16372521817414601</v>
      </c>
      <c r="S8" s="6">
        <f>(AVERAGE(J8:J10)/$O8)*100</f>
        <v>14.26572281101682</v>
      </c>
      <c r="T8" s="3">
        <f>F8</f>
        <v>39333.541333333211</v>
      </c>
      <c r="V8" s="6">
        <f>S11/O8</f>
        <v>1.1420183820851481E-3</v>
      </c>
      <c r="W8" s="6">
        <f>T8/O8</f>
        <v>0.50745732826808965</v>
      </c>
      <c r="X8" s="6">
        <f>T8/S8</f>
        <v>2757.2063367835499</v>
      </c>
      <c r="Z8" s="4">
        <v>3.9573999999999998</v>
      </c>
      <c r="AA8" s="4">
        <v>202925.21202061069</v>
      </c>
      <c r="AB8" s="4">
        <f>AA8*Z8</f>
        <v>803056.2340503647</v>
      </c>
      <c r="AC8" s="4">
        <f>AVERAGE(AB8:AB10)</f>
        <v>902137.85090629465</v>
      </c>
      <c r="AD8" s="4">
        <f>(O8/AC8)*100</f>
        <v>8.5919277375546557</v>
      </c>
    </row>
    <row r="9" spans="1:30" x14ac:dyDescent="0.2">
      <c r="B9" t="s">
        <v>14</v>
      </c>
      <c r="C9">
        <v>0.44700000000000273</v>
      </c>
      <c r="D9">
        <v>80360</v>
      </c>
      <c r="E9" s="3">
        <f>C9*D9</f>
        <v>35920.920000000217</v>
      </c>
      <c r="H9" s="3">
        <v>40863.989333877304</v>
      </c>
      <c r="I9" s="3">
        <v>90.095209118974211</v>
      </c>
      <c r="J9" s="3">
        <v>10980.478483202409</v>
      </c>
      <c r="K9" s="6">
        <f>(H9/$N9)*100</f>
        <v>78.683610591396004</v>
      </c>
      <c r="L9" s="6">
        <f>(I9/$N9)*100</f>
        <v>0.17347832323827422</v>
      </c>
      <c r="M9" s="6">
        <f>(J9/$N9)*100</f>
        <v>21.142911085365721</v>
      </c>
      <c r="N9" s="3">
        <f>SUM(H9:J9)</f>
        <v>51934.563026198688</v>
      </c>
      <c r="O9" s="3"/>
      <c r="P9" s="3"/>
      <c r="Q9" s="3"/>
      <c r="R9" s="3"/>
      <c r="V9" s="6"/>
      <c r="W9" s="6"/>
      <c r="X9" s="6"/>
      <c r="Z9" s="4">
        <v>4.3855999999999966</v>
      </c>
      <c r="AA9" s="4">
        <v>202925.21202061069</v>
      </c>
      <c r="AB9" s="4">
        <f>AA9*Z9</f>
        <v>889948.80983758951</v>
      </c>
      <c r="AC9" s="4"/>
      <c r="AD9" s="4"/>
    </row>
    <row r="10" spans="1:30" x14ac:dyDescent="0.2">
      <c r="B10" t="s">
        <v>13</v>
      </c>
      <c r="C10">
        <v>0.59259999999999735</v>
      </c>
      <c r="D10">
        <v>80360</v>
      </c>
      <c r="E10" s="3">
        <f>C10*D10</f>
        <v>47621.335999999785</v>
      </c>
      <c r="H10" s="3">
        <v>111407.01952565412</v>
      </c>
      <c r="I10" s="3">
        <v>147.7915706829958</v>
      </c>
      <c r="J10" s="3">
        <v>11501.282555529384</v>
      </c>
      <c r="K10" s="6">
        <f>(H10/$N10)*100</f>
        <v>90.533525174975608</v>
      </c>
      <c r="L10" s="6">
        <f>(I10/$N10)*100</f>
        <v>0.12010097695861169</v>
      </c>
      <c r="M10" s="6">
        <f>(J10/$N10)*100</f>
        <v>9.3463738480657792</v>
      </c>
      <c r="N10" s="3">
        <f>SUM(H10:J10)</f>
        <v>123056.0936518665</v>
      </c>
      <c r="O10" s="3"/>
      <c r="P10" s="3"/>
      <c r="Q10" s="3"/>
      <c r="R10" s="3"/>
      <c r="V10" s="6"/>
      <c r="W10" s="6"/>
      <c r="X10" s="6"/>
      <c r="Z10" s="4">
        <v>4.9939999999999998</v>
      </c>
      <c r="AA10" s="4">
        <v>202925.21202061069</v>
      </c>
      <c r="AB10" s="4">
        <f>AA10*Z10</f>
        <v>1013408.5088309298</v>
      </c>
      <c r="AC10" s="4"/>
      <c r="AD10" s="4"/>
    </row>
    <row r="11" spans="1:30" x14ac:dyDescent="0.2">
      <c r="B11" t="s">
        <v>12</v>
      </c>
      <c r="C11">
        <v>1.4000000000002899E-2</v>
      </c>
      <c r="D11">
        <v>80360</v>
      </c>
      <c r="E11" s="3">
        <f>C11*D11</f>
        <v>1125.040000000233</v>
      </c>
      <c r="F11" s="3">
        <f>AVERAGE(E11:E13)</f>
        <v>1167.89866666699</v>
      </c>
      <c r="H11" s="3">
        <v>7.201036271702403</v>
      </c>
      <c r="I11" s="3">
        <v>0.10554244858933894</v>
      </c>
      <c r="J11" s="3">
        <v>235.98973616154629</v>
      </c>
      <c r="K11" s="6">
        <f>(H11/$N11)*100</f>
        <v>2.9597802478840411</v>
      </c>
      <c r="L11" s="6">
        <f>(I11/$N11)*100</f>
        <v>4.338020846743932E-2</v>
      </c>
      <c r="M11" s="6">
        <f>(J11/$N11)*100</f>
        <v>96.99683954364852</v>
      </c>
      <c r="N11" s="3">
        <f>SUM(H11:J11)</f>
        <v>243.29631488183804</v>
      </c>
      <c r="O11" s="3">
        <f>AVERAGE(N11:N13)</f>
        <v>451.87094076402565</v>
      </c>
      <c r="P11" s="3"/>
      <c r="Q11" s="6">
        <f>(AVERAGE(H11:H13)/$O11)*100</f>
        <v>11.444407140627193</v>
      </c>
      <c r="R11" s="6">
        <f>(AVERAGE(I11:I13)/$O11)*100</f>
        <v>3.656922347517931E-2</v>
      </c>
      <c r="S11" s="6">
        <f>(AVERAGE(J11:J13)/$O11)*100</f>
        <v>88.519023635897625</v>
      </c>
      <c r="T11" s="3">
        <f>F11</f>
        <v>1167.89866666699</v>
      </c>
      <c r="V11" s="6">
        <f>S11/O11</f>
        <v>0.19589448147789548</v>
      </c>
      <c r="W11" s="6">
        <f>T11/O11</f>
        <v>2.5845845822532891</v>
      </c>
      <c r="X11" s="6">
        <f>T11/S11</f>
        <v>13.193759021460393</v>
      </c>
      <c r="Z11" s="4">
        <v>4.3892000000000024</v>
      </c>
      <c r="AA11" s="4">
        <v>202925.21202061069</v>
      </c>
      <c r="AB11" s="4">
        <f>AA11*Z11</f>
        <v>890679.34060086496</v>
      </c>
      <c r="AC11" s="4">
        <f>AVERAGE(AB11:AB13)</f>
        <v>883401.0896630591</v>
      </c>
      <c r="AD11" s="4">
        <f>(O11/AC11)*100</f>
        <v>5.1151277268219719E-2</v>
      </c>
    </row>
    <row r="12" spans="1:30" x14ac:dyDescent="0.2">
      <c r="B12" t="s">
        <v>11</v>
      </c>
      <c r="C12">
        <v>1.4500000000005286E-2</v>
      </c>
      <c r="D12">
        <v>80360</v>
      </c>
      <c r="E12" s="3">
        <f>C12*D12</f>
        <v>1165.2200000004248</v>
      </c>
      <c r="H12" s="3">
        <v>19.603535159722913</v>
      </c>
      <c r="I12" s="3">
        <v>0.15623673981384373</v>
      </c>
      <c r="J12" s="3">
        <v>546.49501855984442</v>
      </c>
      <c r="K12" s="6">
        <f>(H12/$N12)*100</f>
        <v>3.4619636760722683</v>
      </c>
      <c r="L12" s="6">
        <f>(I12/$N12)*100</f>
        <v>2.7591243808656303E-2</v>
      </c>
      <c r="M12" s="6">
        <f>(J12/$N12)*100</f>
        <v>96.510445080119084</v>
      </c>
      <c r="N12" s="3">
        <f>SUM(H12:J12)</f>
        <v>566.25479045938118</v>
      </c>
      <c r="O12" s="3"/>
      <c r="P12" s="3"/>
      <c r="Q12" s="3"/>
      <c r="R12" s="3"/>
      <c r="V12" s="6"/>
      <c r="W12" s="6"/>
      <c r="X12" s="6"/>
      <c r="Z12" s="4">
        <v>4.4682000000000031</v>
      </c>
      <c r="AA12" s="4">
        <v>202925.21202061069</v>
      </c>
      <c r="AB12" s="4">
        <f>AA12*Z12</f>
        <v>906710.43235049327</v>
      </c>
      <c r="AC12" s="4"/>
      <c r="AD12" s="4"/>
    </row>
    <row r="13" spans="1:30" x14ac:dyDescent="0.2">
      <c r="B13" t="s">
        <v>10</v>
      </c>
      <c r="C13">
        <v>1.5100000000003888E-2</v>
      </c>
      <c r="D13">
        <v>80360</v>
      </c>
      <c r="E13" s="3">
        <f>C13*D13</f>
        <v>1213.4360000003126</v>
      </c>
      <c r="H13" s="3">
        <v>128.33727920222694</v>
      </c>
      <c r="I13" s="3">
        <v>0.23395789403899236</v>
      </c>
      <c r="J13" s="3">
        <v>417.49047985459185</v>
      </c>
      <c r="K13" s="6">
        <f>(H13/$N13)*100</f>
        <v>23.50233961077636</v>
      </c>
      <c r="L13" s="6">
        <f>(I13/$N13)*100</f>
        <v>4.2844588217131357E-2</v>
      </c>
      <c r="M13" s="6">
        <f>(J13/$N13)*100</f>
        <v>76.454815801006518</v>
      </c>
      <c r="N13" s="3">
        <f>SUM(H13:J13)</f>
        <v>546.06171695085777</v>
      </c>
      <c r="O13" s="3"/>
      <c r="P13" s="3"/>
      <c r="Q13" s="3"/>
      <c r="R13" s="3"/>
      <c r="V13" s="6"/>
      <c r="W13" s="6"/>
      <c r="X13" s="6"/>
      <c r="Z13" s="4">
        <v>4.2026000000000039</v>
      </c>
      <c r="AA13" s="4">
        <v>202925.21202061069</v>
      </c>
      <c r="AB13" s="4">
        <f>AA13*Z13</f>
        <v>852813.49603781931</v>
      </c>
      <c r="AC13" s="4"/>
      <c r="AD13" s="4"/>
    </row>
    <row r="14" spans="1:30" x14ac:dyDescent="0.2">
      <c r="B14" t="s">
        <v>9</v>
      </c>
      <c r="C14">
        <v>0.14629999999999654</v>
      </c>
      <c r="D14">
        <v>80360</v>
      </c>
      <c r="E14" s="3">
        <f>C14*D14</f>
        <v>11756.667999999721</v>
      </c>
      <c r="F14" s="3">
        <f>AVERAGE(E14:E16)</f>
        <v>11820.955999999953</v>
      </c>
      <c r="H14" s="3">
        <v>191.25339948898542</v>
      </c>
      <c r="I14" s="3">
        <v>4.2510648449775319</v>
      </c>
      <c r="J14" s="3">
        <v>10472.845690934009</v>
      </c>
      <c r="K14" s="6">
        <f>(H14/$N14)*100</f>
        <v>1.7927176808547625</v>
      </c>
      <c r="L14" s="6">
        <f>(I14/$N14)*100</f>
        <v>3.9847443916886993E-2</v>
      </c>
      <c r="M14" s="6">
        <f>(J14/$N14)*100</f>
        <v>98.167434875228352</v>
      </c>
      <c r="N14" s="3">
        <f>SUM(H14:J14)</f>
        <v>10668.350155267972</v>
      </c>
      <c r="O14" s="3">
        <f>AVERAGE(N14:N16)</f>
        <v>10433.365847344574</v>
      </c>
      <c r="P14" s="3"/>
      <c r="Q14" s="6">
        <f>(AVERAGE(H14:H16)/$O14)*100</f>
        <v>1.2922218152022786</v>
      </c>
      <c r="R14" s="6">
        <f>(AVERAGE(I14:I16)/$O14)*100</f>
        <v>4.8935086825367756E-2</v>
      </c>
      <c r="S14" s="6">
        <f>(AVERAGE(J14:J16)/$O14)*100</f>
        <v>98.658843097972351</v>
      </c>
      <c r="T14" s="3">
        <f>F14</f>
        <v>11820.955999999953</v>
      </c>
      <c r="V14" s="6">
        <f>S14/O14</f>
        <v>9.4560896782012391E-3</v>
      </c>
      <c r="W14" s="6">
        <f>T14/O14</f>
        <v>1.1329954468153285</v>
      </c>
      <c r="X14" s="6">
        <f>T14/S14</f>
        <v>119.81648708632484</v>
      </c>
      <c r="Z14" s="4">
        <v>4.3192000000000021</v>
      </c>
      <c r="AA14" s="4">
        <v>202925.21202061069</v>
      </c>
      <c r="AB14" s="4">
        <f>AA14*Z14</f>
        <v>876474.57575942215</v>
      </c>
      <c r="AC14" s="4">
        <f>AVERAGE(AB14:AB16)</f>
        <v>882061.78326372243</v>
      </c>
      <c r="AD14" s="4">
        <f>(O14/AC14)*100</f>
        <v>1.1828384411735888</v>
      </c>
    </row>
    <row r="15" spans="1:30" x14ac:dyDescent="0.2">
      <c r="B15" t="s">
        <v>8</v>
      </c>
      <c r="C15">
        <v>0.14880000000000138</v>
      </c>
      <c r="D15">
        <v>80360</v>
      </c>
      <c r="E15" s="3">
        <f>C15*D15</f>
        <v>11957.56800000011</v>
      </c>
      <c r="H15" s="3">
        <v>49.882394577094615</v>
      </c>
      <c r="I15" s="3">
        <v>5.5854315555200618</v>
      </c>
      <c r="J15" s="3">
        <v>10439.293052152463</v>
      </c>
      <c r="K15" s="6">
        <f>(H15/$N15)*100</f>
        <v>0.47530758590514705</v>
      </c>
      <c r="L15" s="6">
        <f>(I15/$N15)*100</f>
        <v>5.3221141675338125E-2</v>
      </c>
      <c r="M15" s="6">
        <f>(J15/$N15)*100</f>
        <v>99.471471272419507</v>
      </c>
      <c r="N15" s="3">
        <f>SUM(H15:J15)</f>
        <v>10494.760878285078</v>
      </c>
      <c r="O15" s="3"/>
      <c r="P15" s="3"/>
      <c r="Q15" s="3"/>
      <c r="R15" s="3"/>
      <c r="Z15" s="4">
        <v>4.3817999999999984</v>
      </c>
      <c r="AA15" s="4">
        <v>202925.21202061069</v>
      </c>
      <c r="AB15" s="4">
        <f>AA15*Z15</f>
        <v>889177.69403191155</v>
      </c>
      <c r="AC15" s="4"/>
      <c r="AD15" s="4"/>
    </row>
    <row r="16" spans="1:30" x14ac:dyDescent="0.2">
      <c r="B16" t="s">
        <v>7</v>
      </c>
      <c r="C16">
        <v>0.14620000000000033</v>
      </c>
      <c r="D16">
        <v>80360</v>
      </c>
      <c r="E16" s="3">
        <f>C16*D16</f>
        <v>11748.632000000027</v>
      </c>
      <c r="H16" s="3">
        <v>163.33089455167192</v>
      </c>
      <c r="I16" s="3">
        <v>5.4802335081214046</v>
      </c>
      <c r="J16" s="3">
        <v>9968.1753804208784</v>
      </c>
      <c r="K16" s="6">
        <f>(H16/$N16)*100</f>
        <v>1.6112371700902253</v>
      </c>
      <c r="L16" s="6">
        <f>(I16/$N16)*100</f>
        <v>5.4061761880975223E-2</v>
      </c>
      <c r="M16" s="6">
        <f>(J16/$N16)*100</f>
        <v>98.334701068028792</v>
      </c>
      <c r="N16" s="3">
        <f>SUM(H16:J16)</f>
        <v>10136.986508480672</v>
      </c>
      <c r="O16" s="3"/>
      <c r="P16" s="3"/>
      <c r="Q16" s="3"/>
      <c r="R16" s="3"/>
      <c r="Z16" s="4">
        <v>4.3391999999999982</v>
      </c>
      <c r="AA16" s="4">
        <v>202925.21202061069</v>
      </c>
      <c r="AB16" s="4">
        <f>AA16*Z16</f>
        <v>880533.0799998336</v>
      </c>
      <c r="AC16" s="4"/>
      <c r="AD16" s="4"/>
    </row>
    <row r="17" spans="3:20" x14ac:dyDescent="0.2">
      <c r="T17" s="3"/>
    </row>
    <row r="18" spans="3:20" x14ac:dyDescent="0.2">
      <c r="C18" t="s">
        <v>6</v>
      </c>
      <c r="D18">
        <v>241100</v>
      </c>
      <c r="E18" t="s">
        <v>5</v>
      </c>
      <c r="F18" t="s">
        <v>4</v>
      </c>
      <c r="H18" t="s">
        <v>3</v>
      </c>
      <c r="J18" t="s">
        <v>2</v>
      </c>
      <c r="M18" t="s">
        <v>1</v>
      </c>
    </row>
    <row r="19" spans="3:20" x14ac:dyDescent="0.2">
      <c r="C19" t="s">
        <v>0</v>
      </c>
      <c r="D19">
        <v>80360</v>
      </c>
      <c r="F19">
        <v>46926.506857856497</v>
      </c>
      <c r="H19">
        <v>4130.6467213201022</v>
      </c>
      <c r="J19">
        <v>1605.6053591020229</v>
      </c>
      <c r="M19">
        <v>11717.197318218403</v>
      </c>
    </row>
    <row r="20" spans="3:20" x14ac:dyDescent="0.2">
      <c r="F20">
        <v>34912.524217822189</v>
      </c>
      <c r="H20">
        <v>5260.2877763792521</v>
      </c>
      <c r="J20">
        <v>1248.2237318953808</v>
      </c>
      <c r="M20">
        <v>10545.957223538111</v>
      </c>
    </row>
    <row r="21" spans="3:20" x14ac:dyDescent="0.2">
      <c r="F21">
        <v>29873.988174001552</v>
      </c>
      <c r="H21">
        <v>2739.4978704726054</v>
      </c>
      <c r="J21">
        <v>1350.1083275664303</v>
      </c>
      <c r="M21">
        <v>10658.126609875579</v>
      </c>
    </row>
    <row r="22" spans="3:20" x14ac:dyDescent="0.2">
      <c r="F22">
        <v>39750.213113094607</v>
      </c>
      <c r="H22">
        <v>3489.3449064450174</v>
      </c>
      <c r="J22">
        <v>1422.4029519785461</v>
      </c>
      <c r="M22">
        <v>10910.634284815331</v>
      </c>
    </row>
    <row r="23" spans="3:20" x14ac:dyDescent="0.2">
      <c r="F23">
        <v>42766.691489316894</v>
      </c>
      <c r="H23">
        <v>2757.0897954689335</v>
      </c>
      <c r="J23">
        <v>2346.4577788589372</v>
      </c>
    </row>
    <row r="24" spans="3:20" x14ac:dyDescent="0.2">
      <c r="F24">
        <v>35373.632232097108</v>
      </c>
      <c r="G24">
        <f>AVERAGE(F19:F24)</f>
        <v>38267.259347364808</v>
      </c>
      <c r="I24">
        <f>AVERAGE(H19:H24)</f>
        <v>3675.3734140171823</v>
      </c>
      <c r="J24">
        <v>1512.6369361726831</v>
      </c>
      <c r="L24">
        <f>AVERAGE(J19:J24)</f>
        <v>1580.905847595667</v>
      </c>
      <c r="N24">
        <f>AVERAGE(M19:M24)</f>
        <v>10957.978859111856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5AEC-A458-F541-B0A9-1D573C9A0366}">
  <dimension ref="A1:F16"/>
  <sheetViews>
    <sheetView tabSelected="1" zoomScale="172" workbookViewId="0">
      <selection activeCell="F3" sqref="F3"/>
    </sheetView>
  </sheetViews>
  <sheetFormatPr baseColWidth="10" defaultRowHeight="16" x14ac:dyDescent="0.2"/>
  <sheetData>
    <row r="1" spans="1:6" x14ac:dyDescent="0.2">
      <c r="A1" t="s">
        <v>65</v>
      </c>
      <c r="B1" t="s">
        <v>53</v>
      </c>
      <c r="D1" t="s">
        <v>64</v>
      </c>
      <c r="E1" t="s">
        <v>63</v>
      </c>
      <c r="F1" t="s">
        <v>62</v>
      </c>
    </row>
    <row r="2" spans="1:6" x14ac:dyDescent="0.2">
      <c r="A2" t="s">
        <v>21</v>
      </c>
      <c r="B2" s="5">
        <v>0.13219999999999743</v>
      </c>
      <c r="C2" s="5"/>
      <c r="D2" s="5">
        <v>1.63999999999902E-2</v>
      </c>
      <c r="E2" s="5">
        <f>B2-D2</f>
        <v>0.11580000000000723</v>
      </c>
      <c r="F2" s="5">
        <f>((B2-D2)/B2)*100</f>
        <v>87.594553706512471</v>
      </c>
    </row>
    <row r="3" spans="1:6" x14ac:dyDescent="0.2">
      <c r="A3" t="s">
        <v>20</v>
      </c>
      <c r="B3" s="5">
        <v>0.13330000000000553</v>
      </c>
      <c r="C3" s="5"/>
      <c r="D3" s="5">
        <v>1.1999999999972033E-3</v>
      </c>
      <c r="E3" s="5">
        <f>B3-D3</f>
        <v>0.13210000000000832</v>
      </c>
      <c r="F3" s="5">
        <f>((B3-D3)/B3)*100</f>
        <v>99.099774943738069</v>
      </c>
    </row>
    <row r="4" spans="1:6" x14ac:dyDescent="0.2">
      <c r="A4" t="s">
        <v>19</v>
      </c>
      <c r="B4" s="5">
        <v>0.14189999999999969</v>
      </c>
      <c r="C4" s="5"/>
      <c r="D4" s="5">
        <v>1.90000000000623E-3</v>
      </c>
      <c r="E4" s="5">
        <f>B4-D4</f>
        <v>0.13999999999999346</v>
      </c>
      <c r="F4" s="5">
        <f>((B4-D4)/B4)*100</f>
        <v>98.661028893582639</v>
      </c>
    </row>
    <row r="5" spans="1:6" x14ac:dyDescent="0.2">
      <c r="A5" t="s">
        <v>18</v>
      </c>
      <c r="B5" s="5">
        <v>5.1800000000000068E-2</v>
      </c>
      <c r="C5" s="5"/>
      <c r="D5" s="5">
        <v>3.4199999999998454E-2</v>
      </c>
      <c r="E5" s="5">
        <f>B5-D5</f>
        <v>1.7600000000001614E-2</v>
      </c>
      <c r="F5" s="5">
        <f>((B5-D5)/B5)*100</f>
        <v>33.97683397683705</v>
      </c>
    </row>
    <row r="6" spans="1:6" x14ac:dyDescent="0.2">
      <c r="A6" t="s">
        <v>17</v>
      </c>
      <c r="B6" s="5">
        <v>3.6899999999995714E-2</v>
      </c>
      <c r="C6" s="5"/>
      <c r="D6" s="5">
        <v>2.2399999999990428E-2</v>
      </c>
      <c r="E6" s="5">
        <f>B6-D6</f>
        <v>1.4500000000005286E-2</v>
      </c>
      <c r="F6" s="5">
        <f>((B6-D6)/B6)*100</f>
        <v>39.295392953948429</v>
      </c>
    </row>
    <row r="7" spans="1:6" x14ac:dyDescent="0.2">
      <c r="A7" t="s">
        <v>16</v>
      </c>
      <c r="B7" s="5">
        <v>0.10580000000000211</v>
      </c>
      <c r="C7" s="5"/>
      <c r="D7" s="5">
        <v>6.799999999999784E-2</v>
      </c>
      <c r="E7" s="5">
        <f>B7-D7</f>
        <v>3.7800000000004275E-2</v>
      </c>
      <c r="F7" s="5">
        <f>((B7-D7)/B7)*100</f>
        <v>35.727788279776483</v>
      </c>
    </row>
    <row r="8" spans="1:6" x14ac:dyDescent="0.2">
      <c r="A8" t="s">
        <v>15</v>
      </c>
      <c r="B8" s="5">
        <v>0.42879999999999541</v>
      </c>
      <c r="C8" s="5"/>
      <c r="D8" s="5">
        <v>0.26219999999999288</v>
      </c>
      <c r="E8" s="5">
        <f>B8-D8</f>
        <v>0.16660000000000252</v>
      </c>
      <c r="F8" s="5">
        <f>((B8-D8)/B8)*100</f>
        <v>38.852611940299511</v>
      </c>
    </row>
    <row r="9" spans="1:6" x14ac:dyDescent="0.2">
      <c r="A9" t="s">
        <v>14</v>
      </c>
      <c r="B9" s="5">
        <v>0.44700000000000273</v>
      </c>
      <c r="C9" s="5"/>
      <c r="D9" s="5">
        <v>0.2844999999999942</v>
      </c>
      <c r="E9" s="5">
        <f>B9-D9</f>
        <v>0.16250000000000853</v>
      </c>
      <c r="F9" s="5">
        <f>((B9-D9)/B9)*100</f>
        <v>36.35346756152294</v>
      </c>
    </row>
    <row r="10" spans="1:6" x14ac:dyDescent="0.2">
      <c r="A10" t="s">
        <v>13</v>
      </c>
      <c r="B10" s="5">
        <v>0.59259999999999735</v>
      </c>
      <c r="C10" s="5"/>
      <c r="D10" s="5">
        <v>0.56439999999999202</v>
      </c>
      <c r="E10" s="5">
        <f>B10-D10</f>
        <v>2.8200000000005332E-2</v>
      </c>
      <c r="F10" s="5">
        <f>((B10-D10)/B10)*100</f>
        <v>4.7586905163694659</v>
      </c>
    </row>
    <row r="11" spans="1:6" x14ac:dyDescent="0.2">
      <c r="A11" t="s">
        <v>12</v>
      </c>
      <c r="B11" s="5">
        <v>1.4000000000002899E-2</v>
      </c>
      <c r="C11" s="5"/>
      <c r="D11" s="5">
        <v>1.0000000000047748E-3</v>
      </c>
      <c r="E11" s="5">
        <f>B11-D11</f>
        <v>1.2999999999998124E-2</v>
      </c>
      <c r="F11" s="5">
        <f>((B11-D11)/B11)*100</f>
        <v>92.857142857110233</v>
      </c>
    </row>
    <row r="12" spans="1:6" x14ac:dyDescent="0.2">
      <c r="A12" t="s">
        <v>11</v>
      </c>
      <c r="B12" s="5">
        <v>1.4500000000005286E-2</v>
      </c>
      <c r="C12" s="5"/>
      <c r="D12" s="5">
        <v>7.0000000000902673E-4</v>
      </c>
      <c r="E12" s="5">
        <f>B12-D12</f>
        <v>1.379999999999626E-2</v>
      </c>
      <c r="F12" s="5">
        <f>((B12-D12)/B12)*100</f>
        <v>95.172413793042949</v>
      </c>
    </row>
    <row r="13" spans="1:6" x14ac:dyDescent="0.2">
      <c r="A13" t="s">
        <v>10</v>
      </c>
      <c r="B13" s="5">
        <v>1.5100000000003888E-2</v>
      </c>
      <c r="C13" s="5"/>
      <c r="D13" s="5">
        <v>1.5000000000071623E-3</v>
      </c>
      <c r="E13" s="5">
        <f>B13-D13</f>
        <v>1.3599999999996726E-2</v>
      </c>
      <c r="F13" s="5">
        <f>((B13-D13)/B13)*100</f>
        <v>90.066225165518048</v>
      </c>
    </row>
    <row r="14" spans="1:6" x14ac:dyDescent="0.2">
      <c r="A14" t="s">
        <v>9</v>
      </c>
      <c r="B14" s="5">
        <v>0.14629999999999654</v>
      </c>
      <c r="C14" s="5"/>
      <c r="D14" s="5">
        <v>5.0000000000238742E-4</v>
      </c>
      <c r="E14" s="5">
        <f>B14-D14</f>
        <v>0.14579999999999416</v>
      </c>
      <c r="F14" s="5">
        <f>((B14-D14)/B14)*100</f>
        <v>99.658236500340124</v>
      </c>
    </row>
    <row r="15" spans="1:6" x14ac:dyDescent="0.2">
      <c r="A15" t="s">
        <v>8</v>
      </c>
      <c r="B15" s="5">
        <v>0.14880000000000138</v>
      </c>
      <c r="C15" s="5"/>
      <c r="D15" s="5">
        <v>1.6999999999995907E-3</v>
      </c>
      <c r="E15" s="5">
        <f>B15-D15</f>
        <v>0.14710000000000178</v>
      </c>
      <c r="F15" s="5">
        <f>((B15-D15)/B15)*100</f>
        <v>98.857526881720716</v>
      </c>
    </row>
    <row r="16" spans="1:6" x14ac:dyDescent="0.2">
      <c r="A16" t="s">
        <v>7</v>
      </c>
      <c r="B16" s="5">
        <v>0.14620000000000033</v>
      </c>
      <c r="C16" s="5"/>
      <c r="D16" s="5">
        <v>7.9999999999813597E-4</v>
      </c>
      <c r="E16" s="5">
        <f>B16-D16</f>
        <v>0.14540000000000219</v>
      </c>
      <c r="F16" s="5">
        <f>((B16-D16)/B16)*100</f>
        <v>99.452804377566252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Zn</vt:lpstr>
      <vt:lpstr>Zn (%)</vt:lpstr>
      <vt:lpstr>Weight 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Santos</dc:creator>
  <cp:lastModifiedBy>Guadalupe Santos</cp:lastModifiedBy>
  <dcterms:created xsi:type="dcterms:W3CDTF">2025-10-30T00:38:17Z</dcterms:created>
  <dcterms:modified xsi:type="dcterms:W3CDTF">2025-10-30T00:39:18Z</dcterms:modified>
</cp:coreProperties>
</file>